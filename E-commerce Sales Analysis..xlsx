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ata" sheetId="1" r:id="rId5"/>
    <sheet state="visible" name="Product_data" sheetId="2" r:id="rId6"/>
    <sheet state="visible" name="Store_data" sheetId="3" r:id="rId7"/>
    <sheet state="visible" name="Sales_data" sheetId="4" r:id="rId8"/>
    <sheet state="visible" name="Final_Dataset" sheetId="5" r:id="rId9"/>
    <sheet state="visible" name="Pivot Table" sheetId="6" r:id="rId10"/>
    <sheet state="visible" name="Dashboard" sheetId="7" r:id="rId11"/>
    <sheet state="visible" name="Summary" sheetId="8" r:id="rId12"/>
  </sheets>
  <definedNames>
    <definedName hidden="1" localSheetId="1" name="_xlnm._FilterDatabase">Product_data!$A$1:$H$101</definedName>
    <definedName hidden="1" localSheetId="3" name="_xlnm._FilterDatabase">Sales_data!$A$1:$K$2001</definedName>
    <definedName hidden="1" localSheetId="4" name="_xlnm._FilterDatabase">Final_Dataset!$A$1:$L$2001</definedName>
  </definedNames>
  <calcPr/>
  <pivotCaches>
    <pivotCache cacheId="0" r:id="rId13"/>
  </pivotCaches>
</workbook>
</file>

<file path=xl/sharedStrings.xml><?xml version="1.0" encoding="utf-8"?>
<sst xmlns="http://schemas.openxmlformats.org/spreadsheetml/2006/main" count="18836" uniqueCount="4052">
  <si>
    <t>Customer_ID</t>
  </si>
  <si>
    <t>Name</t>
  </si>
  <si>
    <t>Name(Cleaned)</t>
  </si>
  <si>
    <t>Age</t>
  </si>
  <si>
    <t>Gender</t>
  </si>
  <si>
    <t>Gender M or F</t>
  </si>
  <si>
    <t>City</t>
  </si>
  <si>
    <t>State</t>
  </si>
  <si>
    <t>Country</t>
  </si>
  <si>
    <t>Loyalty_Level</t>
  </si>
  <si>
    <t>Loyalty_Level(Cleaned)</t>
  </si>
  <si>
    <t>Count Of Loyalty_level</t>
  </si>
  <si>
    <t>CUST1000</t>
  </si>
  <si>
    <t>sheena bonilla</t>
  </si>
  <si>
    <t>Male</t>
  </si>
  <si>
    <t>Donaldton</t>
  </si>
  <si>
    <t>North Carolina</t>
  </si>
  <si>
    <t>USA</t>
  </si>
  <si>
    <t>Platinum</t>
  </si>
  <si>
    <t>CUST1001</t>
  </si>
  <si>
    <t>Eugene Nelson</t>
  </si>
  <si>
    <t>Female</t>
  </si>
  <si>
    <t>Phillipsmouth</t>
  </si>
  <si>
    <t>North Dakota</t>
  </si>
  <si>
    <t>Gold</t>
  </si>
  <si>
    <t>CUST1002</t>
  </si>
  <si>
    <t>dr. Benjamin Price</t>
  </si>
  <si>
    <t>Kylebury</t>
  </si>
  <si>
    <t>Alabama</t>
  </si>
  <si>
    <t>Bronze</t>
  </si>
  <si>
    <t>CUST1003</t>
  </si>
  <si>
    <t>jeremy harris</t>
  </si>
  <si>
    <t>Thomastown</t>
  </si>
  <si>
    <t>Ohio</t>
  </si>
  <si>
    <t>Silver</t>
  </si>
  <si>
    <t>CUST1004</t>
  </si>
  <si>
    <t>Caroline Collins</t>
  </si>
  <si>
    <t>Nicholasshire</t>
  </si>
  <si>
    <t>California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</si>
  <si>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</si>
  <si>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</si>
  <si>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</si>
  <si>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</si>
  <si>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</si>
  <si>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</si>
  <si>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</si>
  <si>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</si>
  <si>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</si>
  <si>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</si>
  <si>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</si>
  <si>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</si>
  <si>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</si>
  <si>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</si>
  <si>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</si>
  <si>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</si>
  <si>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</si>
  <si>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</si>
  <si>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</si>
  <si>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</si>
  <si>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</si>
  <si>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</si>
  <si>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</si>
  <si>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</si>
  <si>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</si>
  <si>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</si>
  <si>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</si>
  <si>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</si>
  <si>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</si>
  <si>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</si>
  <si>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</si>
  <si>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</si>
  <si>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</si>
  <si>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</si>
  <si>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</si>
  <si>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</si>
  <si>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</si>
  <si>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</si>
  <si>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</si>
  <si>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</si>
  <si>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</si>
  <si>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</si>
  <si>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</si>
  <si>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</si>
  <si>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</si>
  <si>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</si>
  <si>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</si>
  <si>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</si>
  <si>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</si>
  <si>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</si>
  <si>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</si>
  <si>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</si>
  <si>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</si>
  <si>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</si>
  <si>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</si>
  <si>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</si>
  <si>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</si>
  <si>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</si>
  <si>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</si>
  <si>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</si>
  <si>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</si>
  <si>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</si>
  <si>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</si>
  <si>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</si>
  <si>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</si>
  <si>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</si>
  <si>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</si>
  <si>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</si>
  <si>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</si>
  <si>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</si>
  <si>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</si>
  <si>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</si>
  <si>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</si>
  <si>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</si>
  <si>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</si>
  <si>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</si>
  <si>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</si>
  <si>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</si>
  <si>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</si>
  <si>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</si>
  <si>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</si>
  <si>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</si>
  <si>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</si>
  <si>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</si>
  <si>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</si>
  <si>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</si>
  <si>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</si>
  <si>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</si>
  <si>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</si>
  <si>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</si>
  <si>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</si>
  <si>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</si>
  <si>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</si>
  <si>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</si>
  <si>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</si>
  <si>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</si>
  <si>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</si>
  <si>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</si>
  <si>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</si>
  <si>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</si>
  <si>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</si>
  <si>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</si>
  <si>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</si>
  <si>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</si>
  <si>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</si>
  <si>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</si>
  <si>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</si>
  <si>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</si>
  <si>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</si>
  <si>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</si>
  <si>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</si>
  <si>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</si>
  <si>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</si>
  <si>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</si>
  <si>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</si>
  <si>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</si>
  <si>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</si>
  <si>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</si>
  <si>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</si>
  <si>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</si>
  <si>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</si>
  <si>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</si>
  <si>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</si>
  <si>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</si>
  <si>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</si>
  <si>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</si>
  <si>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</si>
  <si>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</si>
  <si>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</si>
  <si>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</si>
  <si>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</si>
  <si>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</si>
  <si>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</si>
  <si>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</si>
  <si>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</si>
  <si>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</si>
  <si>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</si>
  <si>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</si>
  <si>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</si>
  <si>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</si>
  <si>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</si>
  <si>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</si>
  <si>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</si>
  <si>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</si>
  <si>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</si>
  <si>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</si>
  <si>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</si>
  <si>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</si>
  <si>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</si>
  <si>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</si>
  <si>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</si>
  <si>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</si>
  <si>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</si>
  <si>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</si>
  <si>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</si>
  <si>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</si>
  <si>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</si>
  <si>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</si>
  <si>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</si>
  <si>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</si>
  <si>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</si>
  <si>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</si>
  <si>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</si>
  <si>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</si>
  <si>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</si>
  <si>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</si>
  <si>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</si>
  <si>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</si>
  <si>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</si>
  <si>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</si>
  <si>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</si>
  <si>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</si>
  <si>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</si>
  <si>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</si>
  <si>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</si>
  <si>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</si>
  <si>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</si>
  <si>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</si>
  <si>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</si>
  <si>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</si>
  <si>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</si>
  <si>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</si>
  <si>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</si>
  <si>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</si>
  <si>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</si>
  <si>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</si>
  <si>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</si>
  <si>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</si>
  <si>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</si>
  <si>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</si>
  <si>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</si>
  <si>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</si>
  <si>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</si>
  <si>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</si>
  <si>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</si>
  <si>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</si>
  <si>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</si>
  <si>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</si>
  <si>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</si>
  <si>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</si>
  <si>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</si>
  <si>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</si>
  <si>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</si>
  <si>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</si>
  <si>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</si>
  <si>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</si>
  <si>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</si>
  <si>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</si>
  <si>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</si>
  <si>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</si>
  <si>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</si>
  <si>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</si>
  <si>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</si>
  <si>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</si>
  <si>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</si>
  <si>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</si>
  <si>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</si>
  <si>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</si>
  <si>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</si>
  <si>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</si>
  <si>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</si>
  <si>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</si>
  <si>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</si>
  <si>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</si>
  <si>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</si>
  <si>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</si>
  <si>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</si>
  <si>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</si>
  <si>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</si>
  <si>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</si>
  <si>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</si>
  <si>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</si>
  <si>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</si>
  <si>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</si>
  <si>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</si>
  <si>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</si>
  <si>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</si>
  <si>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</si>
  <si>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</si>
  <si>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</si>
  <si>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</si>
  <si>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</si>
  <si>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</si>
  <si>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</si>
  <si>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</si>
  <si>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</si>
  <si>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</si>
  <si>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</si>
  <si>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</si>
  <si>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</si>
  <si>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</si>
  <si>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</si>
  <si>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</si>
  <si>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</si>
  <si>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</si>
  <si>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</si>
  <si>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</si>
  <si>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</si>
  <si>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</si>
  <si>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</si>
  <si>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</si>
  <si>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</si>
  <si>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</si>
  <si>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</si>
  <si>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</si>
  <si>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</si>
  <si>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</si>
  <si>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</si>
  <si>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</si>
  <si>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</si>
  <si>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</si>
  <si>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</si>
  <si>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</si>
  <si>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</si>
  <si>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</si>
  <si>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</si>
  <si>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</si>
  <si>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</si>
  <si>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</si>
  <si>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</si>
  <si>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</si>
  <si>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</si>
  <si>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</si>
  <si>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</si>
  <si>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</si>
  <si>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</si>
  <si>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</si>
  <si>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</si>
  <si>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</si>
  <si>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</si>
  <si>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</si>
  <si>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</si>
  <si>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</si>
  <si>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</si>
  <si>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</si>
  <si>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</si>
  <si>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</si>
  <si>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</si>
  <si>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</si>
  <si>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</si>
  <si>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</si>
  <si>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</si>
  <si>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</si>
  <si>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</si>
  <si>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</si>
  <si>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</si>
  <si>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</si>
  <si>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</si>
  <si>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</si>
  <si>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</si>
  <si>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</si>
  <si>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</si>
  <si>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</si>
  <si>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</si>
  <si>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</si>
  <si>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</si>
  <si>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</si>
  <si>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</si>
  <si>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</si>
  <si>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</si>
  <si>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</si>
  <si>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</si>
  <si>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</si>
  <si>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</si>
  <si>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</si>
  <si>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</si>
  <si>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</si>
  <si>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</si>
  <si>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</si>
  <si>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</si>
  <si>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</si>
  <si>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</si>
  <si>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</si>
  <si>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</si>
  <si>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</si>
  <si>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</si>
  <si>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</si>
  <si>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</si>
  <si>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</si>
  <si>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</si>
  <si>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</si>
  <si>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</si>
  <si>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</si>
  <si>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</si>
  <si>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</si>
  <si>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</si>
  <si>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</si>
  <si>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</si>
  <si>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</si>
  <si>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</si>
  <si>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</si>
  <si>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</si>
  <si>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</si>
  <si>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</si>
  <si>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</si>
  <si>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</si>
  <si>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</si>
  <si>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</si>
  <si>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</si>
  <si>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</si>
  <si>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</si>
  <si>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</si>
  <si>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</si>
  <si>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</si>
  <si>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</si>
  <si>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</si>
  <si>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</si>
  <si>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</si>
  <si>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</si>
  <si>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</si>
  <si>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</si>
  <si>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</si>
  <si>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</si>
  <si>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</si>
  <si>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</si>
  <si>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</si>
  <si>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</si>
  <si>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</si>
  <si>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</si>
  <si>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</si>
  <si>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</si>
  <si>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</si>
  <si>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</si>
  <si>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</si>
  <si>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</si>
  <si>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</si>
  <si>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</si>
  <si>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</si>
  <si>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</si>
  <si>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</si>
  <si>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</si>
  <si>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</si>
  <si>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</si>
  <si>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</si>
  <si>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</si>
  <si>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</si>
  <si>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</si>
  <si>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</si>
  <si>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</si>
  <si>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</si>
  <si>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</si>
  <si>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</si>
  <si>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</si>
  <si>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</si>
  <si>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</si>
  <si>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</si>
  <si>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</si>
  <si>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</si>
  <si>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</si>
  <si>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</si>
  <si>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</si>
  <si>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</si>
  <si>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</si>
  <si>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</si>
  <si>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</si>
  <si>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</si>
  <si>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</si>
  <si>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</si>
  <si>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</si>
  <si>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jonesbury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</si>
  <si>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</si>
  <si>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</si>
  <si>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</si>
  <si>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</si>
  <si>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</si>
  <si>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</si>
  <si>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</si>
  <si>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</si>
  <si>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</si>
  <si>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</si>
  <si>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</si>
  <si>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</si>
  <si>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</si>
  <si>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</si>
  <si>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</si>
  <si>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</si>
  <si>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</si>
  <si>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</si>
  <si>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</si>
  <si>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</si>
  <si>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</si>
  <si>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</si>
  <si>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</si>
  <si>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</si>
  <si>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</si>
  <si>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</si>
  <si>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</si>
  <si>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</si>
  <si>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</si>
  <si>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</si>
  <si>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</si>
  <si>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</si>
  <si>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</si>
  <si>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</si>
  <si>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</si>
  <si>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</si>
  <si>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</si>
  <si>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</si>
  <si>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</si>
  <si>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</si>
  <si>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</si>
  <si>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</si>
  <si>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</si>
  <si>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</si>
  <si>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</si>
  <si>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</si>
  <si>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</si>
  <si>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</si>
  <si>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</si>
  <si>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</si>
  <si>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</si>
  <si>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</si>
  <si>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</si>
  <si>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</si>
  <si>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</si>
  <si>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</si>
  <si>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</si>
  <si>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</si>
  <si>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</si>
  <si>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</si>
  <si>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</si>
  <si>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</si>
  <si>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</si>
  <si>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</si>
  <si>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</si>
  <si>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</si>
  <si>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</si>
  <si>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</si>
  <si>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</si>
  <si>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</si>
  <si>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</si>
  <si>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</si>
  <si>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</si>
  <si>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</si>
  <si>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</si>
  <si>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</si>
  <si>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</si>
  <si>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</si>
  <si>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</si>
  <si>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</si>
  <si>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</si>
  <si>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</si>
  <si>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</si>
  <si>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</si>
  <si>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</si>
  <si>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</si>
  <si>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</si>
  <si>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</si>
  <si>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</si>
  <si>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</si>
  <si>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</si>
  <si>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</si>
  <si>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</si>
  <si>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</si>
  <si>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</si>
  <si>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</si>
  <si>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</si>
  <si>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</si>
  <si>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</si>
  <si>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</si>
  <si>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</si>
  <si>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</si>
  <si>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</si>
  <si>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</si>
  <si>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</si>
  <si>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</si>
  <si>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</si>
  <si>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</si>
  <si>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</si>
  <si>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</si>
  <si>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</si>
  <si>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</si>
  <si>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</si>
  <si>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</si>
  <si>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</si>
  <si>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</si>
  <si>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</si>
  <si>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</si>
  <si>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</si>
  <si>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</si>
  <si>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</si>
  <si>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</si>
  <si>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</si>
  <si>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</si>
  <si>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</si>
  <si>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</si>
  <si>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</si>
  <si>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</si>
  <si>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</si>
  <si>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</si>
  <si>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</si>
  <si>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</si>
  <si>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</si>
  <si>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</si>
  <si>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</si>
  <si>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</si>
  <si>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</si>
  <si>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</si>
  <si>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</si>
  <si>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</si>
  <si>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</si>
  <si>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</si>
  <si>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</si>
  <si>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</si>
  <si>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</si>
  <si>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</si>
  <si>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</si>
  <si>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</si>
  <si>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</si>
  <si>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</si>
  <si>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</si>
  <si>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</si>
  <si>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</si>
  <si>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</si>
  <si>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</si>
  <si>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</si>
  <si>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</si>
  <si>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</si>
  <si>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</si>
  <si>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</si>
  <si>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</si>
  <si>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</si>
  <si>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</si>
  <si>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</si>
  <si>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</si>
  <si>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</si>
  <si>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</si>
  <si>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</si>
  <si>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</si>
  <si>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</si>
  <si>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</si>
  <si>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</si>
  <si>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</si>
  <si>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</si>
  <si>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</si>
  <si>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</si>
  <si>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</si>
  <si>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</si>
  <si>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</si>
  <si>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</si>
  <si>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</si>
  <si>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</si>
  <si>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</si>
  <si>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</si>
  <si>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</si>
  <si>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</si>
  <si>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</si>
  <si>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</si>
  <si>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</si>
  <si>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</si>
  <si>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</si>
  <si>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</si>
  <si>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</si>
  <si>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</si>
  <si>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</si>
  <si>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</si>
  <si>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</si>
  <si>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</si>
  <si>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</si>
  <si>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</si>
  <si>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</si>
  <si>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</si>
  <si>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</si>
  <si>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</si>
  <si>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</si>
  <si>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</si>
  <si>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</si>
  <si>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</si>
  <si>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</si>
  <si>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</si>
  <si>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</si>
  <si>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</si>
  <si>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</si>
  <si>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</si>
  <si>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</si>
  <si>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</si>
  <si>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</si>
  <si>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</si>
  <si>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</si>
  <si>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</si>
  <si>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</si>
  <si>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</si>
  <si>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</si>
  <si>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</si>
  <si>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</si>
  <si>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</si>
  <si>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</si>
  <si>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</si>
  <si>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</si>
  <si>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</si>
  <si>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</si>
  <si>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</si>
  <si>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</si>
  <si>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</si>
  <si>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</si>
  <si>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</si>
  <si>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</si>
  <si>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</si>
  <si>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</si>
  <si>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</si>
  <si>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</si>
  <si>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</si>
  <si>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</si>
  <si>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</si>
  <si>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</si>
  <si>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</si>
  <si>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</si>
  <si>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</si>
  <si>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</si>
  <si>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</si>
  <si>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</si>
  <si>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</si>
  <si>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</si>
  <si>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</si>
  <si>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</si>
  <si>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</si>
  <si>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</si>
  <si>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</si>
  <si>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</si>
  <si>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</si>
  <si>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</si>
  <si>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</si>
  <si>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</si>
  <si>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</si>
  <si>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</si>
  <si>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</si>
  <si>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Phillipschester</t>
  </si>
  <si>
    <t>CUST1220</t>
  </si>
  <si>
    <t>George Davis</t>
  </si>
  <si>
    <t>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</si>
  <si>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</si>
  <si>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</si>
  <si>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</si>
  <si>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</si>
  <si>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</si>
  <si>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</si>
  <si>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</si>
  <si>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</si>
  <si>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</si>
  <si>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</si>
  <si>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</si>
  <si>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</si>
  <si>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</si>
  <si>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</si>
  <si>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</si>
  <si>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</si>
  <si>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</si>
  <si>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</si>
  <si>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</si>
  <si>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</si>
  <si>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</si>
  <si>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</si>
  <si>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</si>
  <si>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</si>
  <si>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</si>
  <si>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</si>
  <si>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</si>
  <si>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</si>
  <si>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</si>
  <si>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</si>
  <si>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</si>
  <si>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</si>
  <si>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</si>
  <si>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</si>
  <si>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</si>
  <si>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</si>
  <si>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</si>
  <si>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</si>
  <si>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</si>
  <si>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</si>
  <si>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</si>
  <si>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</si>
  <si>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</si>
  <si>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</si>
  <si>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</si>
  <si>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</si>
  <si>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</si>
  <si>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</si>
  <si>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</si>
  <si>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</si>
  <si>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</si>
  <si>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</si>
  <si>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</si>
  <si>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</si>
  <si>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</si>
  <si>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</si>
  <si>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</si>
  <si>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</si>
  <si>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</si>
  <si>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</si>
  <si>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</si>
  <si>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</si>
  <si>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</si>
  <si>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</si>
  <si>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</si>
  <si>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</si>
  <si>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</si>
  <si>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</si>
  <si>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</si>
  <si>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</si>
  <si>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</si>
  <si>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</si>
  <si>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</si>
  <si>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</si>
  <si>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</si>
  <si>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</si>
  <si>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</si>
  <si>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</si>
  <si>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</si>
  <si>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</si>
  <si>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</si>
  <si>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</si>
  <si>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</si>
  <si>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</si>
  <si>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</si>
  <si>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</si>
  <si>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</si>
  <si>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</si>
  <si>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</si>
  <si>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</si>
  <si>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</si>
  <si>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</si>
  <si>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</si>
  <si>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</si>
  <si>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</si>
  <si>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</si>
  <si>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</si>
  <si>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</si>
  <si>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</si>
  <si>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</si>
  <si>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</si>
  <si>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</si>
  <si>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</si>
  <si>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</si>
  <si>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</si>
  <si>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</si>
  <si>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</si>
  <si>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</si>
  <si>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</si>
  <si>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</si>
  <si>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</si>
  <si>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</si>
  <si>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</si>
  <si>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</si>
  <si>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</si>
  <si>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</si>
  <si>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</si>
  <si>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</si>
  <si>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</si>
  <si>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</si>
  <si>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</si>
  <si>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</si>
  <si>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</si>
  <si>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</si>
  <si>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</si>
  <si>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</si>
  <si>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</si>
  <si>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</si>
  <si>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</si>
  <si>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</si>
  <si>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</si>
  <si>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</si>
  <si>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</si>
  <si>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</si>
  <si>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</si>
  <si>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</si>
  <si>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</si>
  <si>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</si>
  <si>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</si>
  <si>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</si>
  <si>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</si>
  <si>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</si>
  <si>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</si>
  <si>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</si>
  <si>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</si>
  <si>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</si>
  <si>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</si>
  <si>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</si>
  <si>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</si>
  <si>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</si>
  <si>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</si>
  <si>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</si>
  <si>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</si>
  <si>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</si>
  <si>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</si>
  <si>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</si>
  <si>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</si>
  <si>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</si>
  <si>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</si>
  <si>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</si>
  <si>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</si>
  <si>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</si>
  <si>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</si>
  <si>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</si>
  <si>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</si>
  <si>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</si>
  <si>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</si>
  <si>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</si>
  <si>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</si>
  <si>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</si>
  <si>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</si>
  <si>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</si>
  <si>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</si>
  <si>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</si>
  <si>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</si>
  <si>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</si>
  <si>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</si>
  <si>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</si>
  <si>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</si>
  <si>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</si>
  <si>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</si>
  <si>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</si>
  <si>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</si>
  <si>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</si>
  <si>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</si>
  <si>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</si>
  <si>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</si>
  <si>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</si>
  <si>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</si>
  <si>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</si>
  <si>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</si>
  <si>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</si>
  <si>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</si>
  <si>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</si>
  <si>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</si>
  <si>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</si>
  <si>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</si>
  <si>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</si>
  <si>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</si>
  <si>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</si>
  <si>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</si>
  <si>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</si>
  <si>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</si>
  <si>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</si>
  <si>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</si>
  <si>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</si>
  <si>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</si>
  <si>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</si>
  <si>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</si>
  <si>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</si>
  <si>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</si>
  <si>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</si>
  <si>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</si>
  <si>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</si>
  <si>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</si>
  <si>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</si>
  <si>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</si>
  <si>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</si>
  <si>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</si>
  <si>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</si>
  <si>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</si>
  <si>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</si>
  <si>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</si>
  <si>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</si>
  <si>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</si>
  <si>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</si>
  <si>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</si>
  <si>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</si>
  <si>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</si>
  <si>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</si>
  <si>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</si>
  <si>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</si>
  <si>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</si>
  <si>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</si>
  <si>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</si>
  <si>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</si>
  <si>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</si>
  <si>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</si>
  <si>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</si>
  <si>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</si>
  <si>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</si>
  <si>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</si>
  <si>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</si>
  <si>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</si>
  <si>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</si>
  <si>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</si>
  <si>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</si>
  <si>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</si>
  <si>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</si>
  <si>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</si>
  <si>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</si>
  <si>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</si>
  <si>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</si>
  <si>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</si>
  <si>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</si>
  <si>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</si>
  <si>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</si>
  <si>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</si>
  <si>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</si>
  <si>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</si>
  <si>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</si>
  <si>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</si>
  <si>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</si>
  <si>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</si>
  <si>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</si>
  <si>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</si>
  <si>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</si>
  <si>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</si>
  <si>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</si>
  <si>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</si>
  <si>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</si>
  <si>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</si>
  <si>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</si>
  <si>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</si>
  <si>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</si>
  <si>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</si>
  <si>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</si>
  <si>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</si>
  <si>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</si>
  <si>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</si>
  <si>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</si>
  <si>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</si>
  <si>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</si>
  <si>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</si>
  <si>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</si>
  <si>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</si>
  <si>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</si>
  <si>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</si>
  <si>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</si>
  <si>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</si>
  <si>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</si>
  <si>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</si>
  <si>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</si>
  <si>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</si>
  <si>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</si>
  <si>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</si>
  <si>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</si>
  <si>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</si>
  <si>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</si>
  <si>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</si>
  <si>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</si>
  <si>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</si>
  <si>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</si>
  <si>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</si>
  <si>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</si>
  <si>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</si>
  <si>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</si>
  <si>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</si>
  <si>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</si>
  <si>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</si>
  <si>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</si>
  <si>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</si>
  <si>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</si>
  <si>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</si>
  <si>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</si>
  <si>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</si>
  <si>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</si>
  <si>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</si>
  <si>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</si>
  <si>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</si>
  <si>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</si>
  <si>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</si>
  <si>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</si>
  <si>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</si>
  <si>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</si>
  <si>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</si>
  <si>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</si>
  <si>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</si>
  <si>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</si>
  <si>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</si>
  <si>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</si>
  <si>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</si>
  <si>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</si>
  <si>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</si>
  <si>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</si>
  <si>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</si>
  <si>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</si>
  <si>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</si>
  <si>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</si>
  <si>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</si>
  <si>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</si>
  <si>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</si>
  <si>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</si>
  <si>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</si>
  <si>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</si>
  <si>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</si>
  <si>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</si>
  <si>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</si>
  <si>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</si>
  <si>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</si>
  <si>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</si>
  <si>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</si>
  <si>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</si>
  <si>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</si>
  <si>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</si>
  <si>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</si>
  <si>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</si>
  <si>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</si>
  <si>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</si>
  <si>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</si>
  <si>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</si>
  <si>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</si>
  <si>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</si>
  <si>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</si>
  <si>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</si>
  <si>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</si>
  <si>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</si>
  <si>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</si>
  <si>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</si>
  <si>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</si>
  <si>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</si>
  <si>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</si>
  <si>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</si>
  <si>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</si>
  <si>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</si>
  <si>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</si>
  <si>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</si>
  <si>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</si>
  <si>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</si>
  <si>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</si>
  <si>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</si>
  <si>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</si>
  <si>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</si>
  <si>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</si>
  <si>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</si>
  <si>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</si>
  <si>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</si>
  <si>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</si>
  <si>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</si>
  <si>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</si>
  <si>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</si>
  <si>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</si>
  <si>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</si>
  <si>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</si>
  <si>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</si>
  <si>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</si>
  <si>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</si>
  <si>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</si>
  <si>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</si>
  <si>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</si>
  <si>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</si>
  <si>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</si>
  <si>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</si>
  <si>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</si>
  <si>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</si>
  <si>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</si>
  <si>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</si>
  <si>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</si>
  <si>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</si>
  <si>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</si>
  <si>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</si>
  <si>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</si>
  <si>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</si>
  <si>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</si>
  <si>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</si>
  <si>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</si>
  <si>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</si>
  <si>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</si>
  <si>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</si>
  <si>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</si>
  <si>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</si>
  <si>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</si>
  <si>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</si>
  <si>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</si>
  <si>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</si>
  <si>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</si>
  <si>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</si>
  <si>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</si>
  <si>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</si>
  <si>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</si>
  <si>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</si>
  <si>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</si>
  <si>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</si>
  <si>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</si>
  <si>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</si>
  <si>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</si>
  <si>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</si>
  <si>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</si>
  <si>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</si>
  <si>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</si>
  <si>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</si>
  <si>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</si>
  <si>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</si>
  <si>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</si>
  <si>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</si>
  <si>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</si>
  <si>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</si>
  <si>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</si>
  <si>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</si>
  <si>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</si>
  <si>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</si>
  <si>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</si>
  <si>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</si>
  <si>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</si>
  <si>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</si>
  <si>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</si>
  <si>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</si>
  <si>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</si>
  <si>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</si>
  <si>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</si>
  <si>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</si>
  <si>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</si>
  <si>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</si>
  <si>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</si>
  <si>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</si>
  <si>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</si>
  <si>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</si>
  <si>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</si>
  <si>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</si>
  <si>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</si>
  <si>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</si>
  <si>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</si>
  <si>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</si>
  <si>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</si>
  <si>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</si>
  <si>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</si>
  <si>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</si>
  <si>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</si>
  <si>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</si>
  <si>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</si>
  <si>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</si>
  <si>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</si>
  <si>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</si>
  <si>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</si>
  <si>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</si>
  <si>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</si>
  <si>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</si>
  <si>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</si>
  <si>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</si>
  <si>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</si>
  <si>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</si>
  <si>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</si>
  <si>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</si>
  <si>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</si>
  <si>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</si>
  <si>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</si>
  <si>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</si>
  <si>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</si>
  <si>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</si>
  <si>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</si>
  <si>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</si>
  <si>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</si>
  <si>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</si>
  <si>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</si>
  <si>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</si>
  <si>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</si>
  <si>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</si>
  <si>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</si>
  <si>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</si>
  <si>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</si>
  <si>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</si>
  <si>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</si>
  <si>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</si>
  <si>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</si>
  <si>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</si>
  <si>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</si>
  <si>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</si>
  <si>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</si>
  <si>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</si>
  <si>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</si>
  <si>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</si>
  <si>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</si>
  <si>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</si>
  <si>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</si>
  <si>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</si>
  <si>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</si>
  <si>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</si>
  <si>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</si>
  <si>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</si>
  <si>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</si>
  <si>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</si>
  <si>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</si>
  <si>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</si>
  <si>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</si>
  <si>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</si>
  <si>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</si>
  <si>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</si>
  <si>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</si>
  <si>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</si>
  <si>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</si>
  <si>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</si>
  <si>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</si>
  <si>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</si>
  <si>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</si>
  <si>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</si>
  <si>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</si>
  <si>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</si>
  <si>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</si>
  <si>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</si>
  <si>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</si>
  <si>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</si>
  <si>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</si>
  <si>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</si>
  <si>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</si>
  <si>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</si>
  <si>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</si>
  <si>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</si>
  <si>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</si>
  <si>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</si>
  <si>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</si>
  <si>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</si>
  <si>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</si>
  <si>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</si>
  <si>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</si>
  <si>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</si>
  <si>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</si>
  <si>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</si>
  <si>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</si>
  <si>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</si>
  <si>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</si>
  <si>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</si>
  <si>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</si>
  <si>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</si>
  <si>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</si>
  <si>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</si>
  <si>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</si>
  <si>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</si>
  <si>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</si>
  <si>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</si>
  <si>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</si>
  <si>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</si>
  <si>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</si>
  <si>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</si>
  <si>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</si>
  <si>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</si>
  <si>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</si>
  <si>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</si>
  <si>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</si>
  <si>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</si>
  <si>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</si>
  <si>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</si>
  <si>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</si>
  <si>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</si>
  <si>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</si>
  <si>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</si>
  <si>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</si>
  <si>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</si>
  <si>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</si>
  <si>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</si>
  <si>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</si>
  <si>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</si>
  <si>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</si>
  <si>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</si>
  <si>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</si>
  <si>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</si>
  <si>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</si>
  <si>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</si>
  <si>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</si>
  <si>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</si>
  <si>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</si>
  <si>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</si>
  <si>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</si>
  <si>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</si>
  <si>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</si>
  <si>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</si>
  <si>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</si>
  <si>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</si>
  <si>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</si>
  <si>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</si>
  <si>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</si>
  <si>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</si>
  <si>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</si>
  <si>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</si>
  <si>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</si>
  <si>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</si>
  <si>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</si>
  <si>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</si>
  <si>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</si>
  <si>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</si>
  <si>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</si>
  <si>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</si>
  <si>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</si>
  <si>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</si>
  <si>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</si>
  <si>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</si>
  <si>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</si>
  <si>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</si>
  <si>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</si>
  <si>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</si>
  <si>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</si>
  <si>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</si>
  <si>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</si>
  <si>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</si>
  <si>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</si>
  <si>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</si>
  <si>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</si>
  <si>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</si>
  <si>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</si>
  <si>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</si>
  <si>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</si>
  <si>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</si>
  <si>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</si>
  <si>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</si>
  <si>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</si>
  <si>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</si>
  <si>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</si>
  <si>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</si>
  <si>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</si>
  <si>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</si>
  <si>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</si>
  <si>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</si>
  <si>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</si>
  <si>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</si>
  <si>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</si>
  <si>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</si>
  <si>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</si>
  <si>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</si>
  <si>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</si>
  <si>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</si>
  <si>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</si>
  <si>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</si>
  <si>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</si>
  <si>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</si>
  <si>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</si>
  <si>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</si>
  <si>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</si>
  <si>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</si>
  <si>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</si>
  <si>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</si>
  <si>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</si>
  <si>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</si>
  <si>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</si>
  <si>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</si>
  <si>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</si>
  <si>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</si>
  <si>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</si>
  <si>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</si>
  <si>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</si>
  <si>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</si>
  <si>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</si>
  <si>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</si>
  <si>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</si>
  <si>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</si>
  <si>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</si>
  <si>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</si>
  <si>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</si>
  <si>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</si>
  <si>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</si>
  <si>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</si>
  <si>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</si>
  <si>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</si>
  <si>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</si>
  <si>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</si>
  <si>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</si>
  <si>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</si>
  <si>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</si>
  <si>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</si>
  <si>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</si>
  <si>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</si>
  <si>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</si>
  <si>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</si>
  <si>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</si>
  <si>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</si>
  <si>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</si>
  <si>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</si>
  <si>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</si>
  <si>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</si>
  <si>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</si>
  <si>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</si>
  <si>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</si>
  <si>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</si>
  <si>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</si>
  <si>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</si>
  <si>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</si>
  <si>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</si>
  <si>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</si>
  <si>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</si>
  <si>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</si>
  <si>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</si>
  <si>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</si>
  <si>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</si>
  <si>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</si>
  <si>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</si>
  <si>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</si>
  <si>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</si>
  <si>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</si>
  <si>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</si>
  <si>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</si>
  <si>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</si>
  <si>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</si>
  <si>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</si>
  <si>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</si>
  <si>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</si>
  <si>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</si>
  <si>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</si>
  <si>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</si>
  <si>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</si>
  <si>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</si>
  <si>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</si>
  <si>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</si>
  <si>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</si>
  <si>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</si>
  <si>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</si>
  <si>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</si>
  <si>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</si>
  <si>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</si>
  <si>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</si>
  <si>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</si>
  <si>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</si>
  <si>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</si>
  <si>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</si>
  <si>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</si>
  <si>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</si>
  <si>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</si>
  <si>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</si>
  <si>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</si>
  <si>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</si>
  <si>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</si>
  <si>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</si>
  <si>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</si>
  <si>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</si>
  <si>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</si>
  <si>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</si>
  <si>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</si>
  <si>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</si>
  <si>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</si>
  <si>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</si>
  <si>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</si>
  <si>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</si>
  <si>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</si>
  <si>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</si>
  <si>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</si>
  <si>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</si>
  <si>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</si>
  <si>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</si>
  <si>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</si>
  <si>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</si>
  <si>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</si>
  <si>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</si>
  <si>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</si>
  <si>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</si>
  <si>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</si>
  <si>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</si>
  <si>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</si>
  <si>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</si>
  <si>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</si>
  <si>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</si>
  <si>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</si>
  <si>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</si>
  <si>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</si>
  <si>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</si>
  <si>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</si>
  <si>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</si>
  <si>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</si>
  <si>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</si>
  <si>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</si>
  <si>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</si>
  <si>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</si>
  <si>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</si>
  <si>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</si>
  <si>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</si>
  <si>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</si>
  <si>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</si>
  <si>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</si>
  <si>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</si>
  <si>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</si>
  <si>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</si>
  <si>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</si>
  <si>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</si>
  <si>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</si>
  <si>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</si>
  <si>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</si>
  <si>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</si>
  <si>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</si>
  <si>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</si>
  <si>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</si>
  <si>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</si>
  <si>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Category and 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</si>
  <si>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</si>
  <si>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</si>
  <si>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</si>
  <si>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</si>
  <si>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</si>
  <si>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</si>
  <si>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</si>
  <si>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</si>
  <si>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</si>
  <si>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</si>
  <si>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</si>
  <si>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</si>
  <si>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</si>
  <si>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</si>
  <si>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</si>
  <si>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</si>
  <si>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</si>
  <si>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</si>
  <si>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</si>
  <si>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</si>
  <si>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</si>
  <si>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</si>
  <si>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</si>
  <si>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</si>
  <si>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</si>
  <si>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</si>
  <si>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</si>
  <si>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</si>
  <si>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</si>
  <si>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</si>
  <si>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</si>
  <si>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</si>
  <si>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</si>
  <si>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</si>
  <si>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</si>
  <si>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</si>
  <si>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</si>
  <si>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</si>
  <si>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</si>
  <si>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</si>
  <si>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</si>
  <si>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</si>
  <si>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</si>
  <si>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</si>
  <si>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</si>
  <si>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</si>
  <si>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</si>
  <si>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</si>
  <si>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</si>
  <si>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</si>
  <si>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</si>
  <si>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</si>
  <si>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</si>
  <si>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</si>
  <si>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</si>
  <si>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</si>
  <si>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</si>
  <si>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</si>
  <si>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</si>
  <si>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</si>
  <si>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</si>
  <si>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</si>
  <si>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</si>
  <si>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</si>
  <si>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</si>
  <si>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</si>
  <si>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</si>
  <si>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</si>
  <si>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</si>
  <si>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</si>
  <si>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</si>
  <si>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</si>
  <si>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</si>
  <si>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</si>
  <si>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</si>
  <si>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</si>
  <si>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</si>
  <si>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</si>
  <si>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</si>
  <si>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</si>
  <si>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</si>
  <si>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</si>
  <si>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</si>
  <si>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</si>
  <si>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</si>
  <si>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</si>
  <si>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</si>
  <si>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</si>
  <si>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</si>
  <si>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</si>
  <si>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</si>
  <si>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</si>
  <si>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</si>
  <si>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</si>
  <si>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</si>
  <si>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</si>
  <si>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</si>
  <si>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</si>
  <si>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</si>
  <si>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</si>
  <si>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</si>
  <si>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</si>
  <si>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</si>
  <si>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</si>
  <si>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</si>
  <si>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</si>
  <si>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</si>
  <si>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</si>
  <si>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</si>
  <si>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</si>
  <si>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</si>
  <si>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</si>
  <si>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</si>
  <si>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</si>
  <si>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</si>
  <si>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</si>
  <si>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</si>
  <si>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</si>
  <si>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</si>
  <si>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</si>
  <si>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</si>
  <si>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</si>
  <si>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</si>
  <si>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</si>
  <si>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</si>
  <si>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</si>
  <si>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</si>
  <si>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</si>
  <si>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</si>
  <si>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</si>
  <si>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</si>
  <si>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</si>
  <si>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</si>
  <si>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</si>
  <si>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</si>
  <si>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</si>
  <si>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</si>
  <si>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</si>
  <si>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</si>
  <si>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</si>
  <si>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</si>
  <si>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</si>
  <si>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</si>
  <si>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</si>
  <si>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</si>
  <si>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</si>
  <si>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</si>
  <si>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</si>
  <si>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</si>
  <si>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</si>
  <si>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</si>
  <si>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</si>
  <si>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</si>
  <si>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</si>
  <si>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</si>
  <si>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</si>
  <si>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</si>
  <si>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</si>
  <si>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</si>
  <si>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</si>
  <si>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</si>
  <si>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</si>
  <si>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</si>
  <si>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</si>
  <si>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</si>
  <si>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</si>
  <si>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</si>
  <si>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</si>
  <si>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</si>
  <si>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</si>
  <si>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</si>
  <si>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</si>
  <si>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</si>
  <si>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</si>
  <si>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</si>
  <si>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</si>
  <si>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</si>
  <si>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</si>
  <si>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</si>
  <si>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</si>
  <si>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</si>
  <si>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</si>
  <si>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</si>
  <si>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</si>
  <si>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</si>
  <si>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</si>
  <si>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</si>
  <si>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</si>
  <si>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</si>
  <si>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</si>
  <si>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</si>
  <si>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</si>
  <si>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</si>
  <si>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</si>
  <si>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</si>
  <si>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</si>
  <si>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</si>
  <si>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</si>
  <si>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</si>
  <si>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</si>
  <si>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</si>
  <si>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</si>
  <si>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</si>
  <si>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</si>
  <si>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</si>
  <si>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</si>
  <si>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</si>
  <si>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</si>
  <si>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</si>
  <si>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</si>
  <si>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</si>
  <si>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</si>
  <si>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</si>
  <si>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</si>
  <si>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</si>
  <si>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</si>
  <si>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</si>
  <si>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</si>
  <si>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</si>
  <si>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</si>
  <si>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</si>
  <si>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</si>
  <si>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</si>
  <si>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</si>
  <si>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</si>
  <si>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</si>
  <si>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</si>
  <si>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</si>
  <si>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</si>
  <si>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</si>
  <si>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</si>
  <si>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</si>
  <si>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</si>
  <si>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</si>
  <si>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</si>
  <si>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</si>
  <si>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</si>
  <si>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</si>
  <si>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</si>
  <si>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</si>
  <si>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</si>
  <si>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</si>
  <si>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</si>
  <si>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</si>
  <si>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</si>
  <si>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</si>
  <si>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</si>
  <si>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</si>
  <si>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</si>
  <si>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</si>
  <si>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</si>
  <si>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</si>
  <si>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</si>
  <si>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</si>
  <si>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</si>
  <si>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</si>
  <si>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</si>
  <si>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</si>
  <si>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</si>
  <si>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</si>
  <si>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</si>
  <si>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</si>
  <si>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</si>
  <si>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</si>
  <si>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</si>
  <si>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</si>
  <si>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</si>
  <si>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</si>
  <si>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</si>
  <si>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</si>
  <si>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</si>
  <si>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</si>
  <si>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</si>
  <si>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</si>
  <si>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</si>
  <si>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</si>
  <si>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</si>
  <si>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</si>
  <si>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</si>
  <si>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</si>
  <si>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</si>
  <si>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</si>
  <si>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</si>
  <si>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</si>
  <si>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</si>
  <si>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</si>
  <si>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</si>
  <si>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</si>
  <si>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</si>
  <si>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</si>
  <si>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</si>
  <si>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</si>
  <si>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</si>
  <si>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</si>
  <si>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</si>
  <si>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</si>
  <si>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</si>
  <si>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</si>
  <si>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</si>
  <si>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</si>
  <si>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</si>
  <si>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</si>
  <si>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</si>
  <si>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</si>
  <si>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</si>
  <si>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</si>
  <si>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</si>
  <si>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</si>
  <si>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</si>
  <si>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</si>
  <si>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</si>
  <si>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</si>
  <si>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</si>
  <si>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</si>
  <si>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</si>
  <si>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</si>
  <si>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</si>
  <si>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</si>
  <si>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</si>
  <si>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</si>
  <si>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</si>
  <si>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</si>
  <si>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</si>
  <si>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</si>
  <si>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</si>
  <si>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</si>
  <si>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</si>
  <si>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</si>
  <si>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</si>
  <si>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</si>
  <si>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</si>
  <si>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</si>
  <si>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</si>
  <si>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</si>
  <si>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</si>
  <si>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</si>
  <si>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</si>
  <si>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</si>
  <si>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</si>
  <si>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</si>
  <si>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</si>
  <si>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</si>
  <si>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</si>
  <si>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</si>
  <si>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</si>
  <si>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</si>
  <si>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</si>
  <si>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</si>
  <si>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</si>
  <si>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</si>
  <si>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</si>
  <si>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</si>
  <si>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</si>
  <si>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</si>
  <si>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</si>
  <si>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</si>
  <si>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</si>
  <si>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</si>
  <si>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</si>
  <si>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</si>
  <si>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</si>
  <si>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</si>
  <si>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</si>
  <si>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</si>
  <si>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</si>
  <si>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</si>
  <si>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</si>
  <si>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</si>
  <si>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</si>
  <si>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</si>
  <si>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</si>
  <si>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</si>
  <si>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</si>
  <si>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</si>
  <si>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</si>
  <si>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</si>
  <si>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</si>
  <si>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</si>
  <si>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</si>
  <si>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</si>
  <si>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</si>
  <si>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</si>
  <si>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</si>
  <si>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</si>
  <si>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</si>
  <si>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</si>
  <si>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</si>
  <si>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</si>
  <si>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</si>
  <si>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</si>
  <si>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</si>
  <si>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</si>
  <si>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</si>
  <si>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</si>
  <si>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</si>
  <si>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</si>
  <si>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</si>
  <si>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</si>
  <si>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</si>
  <si>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</si>
  <si>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</si>
  <si>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</si>
  <si>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</si>
  <si>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</si>
  <si>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</si>
  <si>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</si>
  <si>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Price Range</t>
  </si>
  <si>
    <t>SALE0</t>
  </si>
  <si>
    <t>Credit Card</t>
  </si>
  <si>
    <t>SALE1</t>
  </si>
  <si>
    <t>PayPal</t>
  </si>
  <si>
    <t>SALE10</t>
  </si>
  <si>
    <t>SALE100</t>
  </si>
  <si>
    <t>SALE1000</t>
  </si>
  <si>
    <t>SALE1001</t>
  </si>
  <si>
    <t>SALE1002</t>
  </si>
  <si>
    <t>COD</t>
  </si>
  <si>
    <t>SALE1003</t>
  </si>
  <si>
    <t>SALE1004</t>
  </si>
  <si>
    <t>SALE1005</t>
  </si>
  <si>
    <t>SALE1006</t>
  </si>
  <si>
    <t>SALE1007</t>
  </si>
  <si>
    <t>SALE1008</t>
  </si>
  <si>
    <t>SALE1009</t>
  </si>
  <si>
    <t>SALE101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</si>
  <si>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</si>
  <si>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</si>
  <si>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</si>
  <si>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</si>
  <si>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</si>
  <si>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</si>
  <si>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</si>
  <si>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</si>
  <si>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</si>
  <si>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</si>
  <si>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</si>
  <si>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</si>
  <si>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</si>
  <si>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</si>
  <si>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</si>
  <si>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</si>
  <si>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</si>
  <si>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</si>
  <si>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</si>
  <si>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</si>
  <si>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</si>
  <si>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</si>
  <si>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</si>
  <si>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</si>
  <si>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</si>
  <si>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</si>
  <si>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</si>
  <si>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</si>
  <si>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</si>
  <si>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</si>
  <si>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</si>
  <si>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</si>
  <si>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</si>
  <si>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</si>
  <si>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</si>
  <si>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</si>
  <si>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</si>
  <si>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</si>
  <si>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</si>
  <si>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</si>
  <si>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</si>
  <si>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</si>
  <si>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</si>
  <si>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</si>
  <si>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</si>
  <si>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</si>
  <si>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</si>
  <si>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</si>
  <si>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</si>
  <si>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</si>
  <si>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</si>
  <si>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</si>
  <si>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</si>
  <si>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</si>
  <si>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</si>
  <si>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</si>
  <si>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</si>
  <si>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</si>
  <si>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</si>
  <si>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</si>
  <si>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</si>
  <si>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</si>
  <si>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</si>
  <si>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</si>
  <si>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</si>
  <si>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</si>
  <si>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</si>
  <si>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</si>
  <si>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</si>
  <si>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</si>
  <si>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</si>
  <si>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</si>
  <si>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</si>
  <si>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</si>
  <si>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</si>
  <si>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</si>
  <si>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</si>
  <si>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</si>
  <si>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</si>
  <si>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</si>
  <si>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</si>
  <si>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</si>
  <si>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</si>
  <si>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</si>
  <si>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</si>
  <si>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</si>
  <si>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</si>
  <si>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</si>
  <si>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</si>
  <si>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</si>
  <si>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</si>
  <si>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</si>
  <si>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</si>
  <si>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</si>
  <si>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</si>
  <si>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</si>
  <si>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</si>
  <si>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</si>
  <si>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</t>
  </si>
  <si>
    <t>SALE110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</si>
  <si>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</si>
  <si>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</si>
  <si>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</si>
  <si>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</si>
  <si>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</si>
  <si>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</si>
  <si>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</si>
  <si>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</si>
  <si>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</si>
  <si>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</si>
  <si>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</si>
  <si>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</si>
  <si>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</si>
  <si>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</si>
  <si>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</si>
  <si>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</si>
  <si>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</si>
  <si>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</si>
  <si>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</si>
  <si>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</si>
  <si>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</si>
  <si>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</si>
  <si>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</si>
  <si>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</si>
  <si>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</si>
  <si>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</si>
  <si>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</si>
  <si>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</si>
  <si>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</si>
  <si>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</si>
  <si>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</si>
  <si>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</si>
  <si>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</si>
  <si>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</si>
  <si>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</si>
  <si>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</si>
  <si>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</si>
  <si>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</si>
  <si>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</si>
  <si>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</si>
  <si>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</si>
  <si>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</si>
  <si>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</si>
  <si>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</si>
  <si>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</si>
  <si>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</si>
  <si>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</si>
  <si>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</si>
  <si>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</si>
  <si>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</si>
  <si>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</si>
  <si>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</si>
  <si>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</si>
  <si>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</si>
  <si>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</si>
  <si>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</si>
  <si>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</si>
  <si>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</si>
  <si>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</si>
  <si>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</si>
  <si>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</si>
  <si>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</si>
  <si>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</si>
  <si>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</si>
  <si>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</si>
  <si>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</si>
  <si>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</si>
  <si>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</si>
  <si>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</si>
  <si>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</si>
  <si>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</si>
  <si>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</si>
  <si>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</si>
  <si>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</si>
  <si>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</si>
  <si>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</si>
  <si>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</si>
  <si>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</si>
  <si>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</si>
  <si>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</si>
  <si>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</si>
  <si>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</si>
  <si>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</si>
  <si>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</si>
  <si>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</si>
  <si>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</si>
  <si>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</si>
  <si>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</si>
  <si>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</si>
  <si>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</si>
  <si>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</si>
  <si>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</si>
  <si>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</si>
  <si>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</si>
  <si>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</si>
  <si>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</si>
  <si>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</si>
  <si>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</si>
  <si>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</si>
  <si>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</si>
  <si>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</si>
  <si>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</si>
  <si>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</si>
  <si>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</si>
  <si>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</si>
  <si>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</si>
  <si>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</si>
  <si>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</si>
  <si>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</si>
  <si>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</t>
  </si>
  <si>
    <t>SALE120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</si>
  <si>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</si>
  <si>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</si>
  <si>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</si>
  <si>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</si>
  <si>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</si>
  <si>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</si>
  <si>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</si>
  <si>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</si>
  <si>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</si>
  <si>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</si>
  <si>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</si>
  <si>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</si>
  <si>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</si>
  <si>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</si>
  <si>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</si>
  <si>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</si>
  <si>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</si>
  <si>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</si>
  <si>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</si>
  <si>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</si>
  <si>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</si>
  <si>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</si>
  <si>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</si>
  <si>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</si>
  <si>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</si>
  <si>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</si>
  <si>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</si>
  <si>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</si>
  <si>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</si>
  <si>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</si>
  <si>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</si>
  <si>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</si>
  <si>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</si>
  <si>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</si>
  <si>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</si>
  <si>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</si>
  <si>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</si>
  <si>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</si>
  <si>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</si>
  <si>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</si>
  <si>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</si>
  <si>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</si>
  <si>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</si>
  <si>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</si>
  <si>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</si>
  <si>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</si>
  <si>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</si>
  <si>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</si>
  <si>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</si>
  <si>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</si>
  <si>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</si>
  <si>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</si>
  <si>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</si>
  <si>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</si>
  <si>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</si>
  <si>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</si>
  <si>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</si>
  <si>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</si>
  <si>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</si>
  <si>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</si>
  <si>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</si>
  <si>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</si>
  <si>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</si>
  <si>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</si>
  <si>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</si>
  <si>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</si>
  <si>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</si>
  <si>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</si>
  <si>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</si>
  <si>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</si>
  <si>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</si>
  <si>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</si>
  <si>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</si>
  <si>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</si>
  <si>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</si>
  <si>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</si>
  <si>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</si>
  <si>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</si>
  <si>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</si>
  <si>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</si>
  <si>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</si>
  <si>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</si>
  <si>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</si>
  <si>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</si>
  <si>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</si>
  <si>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</si>
  <si>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</si>
  <si>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</si>
  <si>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</si>
  <si>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</si>
  <si>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</si>
  <si>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</si>
  <si>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</si>
  <si>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</si>
  <si>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</si>
  <si>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</si>
  <si>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</si>
  <si>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</si>
  <si>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</si>
  <si>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</si>
  <si>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</si>
  <si>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</si>
  <si>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</si>
  <si>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</si>
  <si>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</si>
  <si>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</si>
  <si>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</si>
  <si>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</si>
  <si>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</si>
  <si>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</t>
  </si>
  <si>
    <t>SALE130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</si>
  <si>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</si>
  <si>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</si>
  <si>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</si>
  <si>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</si>
  <si>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</si>
  <si>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</si>
  <si>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</si>
  <si>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</si>
  <si>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</si>
  <si>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</si>
  <si>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</si>
  <si>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</si>
  <si>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</si>
  <si>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</si>
  <si>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</si>
  <si>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</si>
  <si>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</si>
  <si>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</si>
  <si>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</si>
  <si>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</si>
  <si>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</si>
  <si>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</si>
  <si>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</si>
  <si>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</si>
  <si>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</si>
  <si>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</si>
  <si>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</si>
  <si>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</si>
  <si>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</si>
  <si>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</si>
  <si>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</si>
  <si>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</si>
  <si>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</si>
  <si>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</si>
  <si>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</si>
  <si>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</si>
  <si>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</si>
  <si>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</si>
  <si>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</si>
  <si>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</si>
  <si>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</si>
  <si>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</si>
  <si>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</si>
  <si>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</si>
  <si>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</si>
  <si>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</si>
  <si>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</si>
  <si>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</si>
  <si>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</si>
  <si>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</si>
  <si>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</si>
  <si>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</si>
  <si>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</si>
  <si>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</si>
  <si>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</si>
  <si>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</si>
  <si>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</si>
  <si>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</si>
  <si>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</si>
  <si>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</si>
  <si>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</si>
  <si>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</si>
  <si>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</si>
  <si>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</si>
  <si>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</si>
  <si>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</si>
  <si>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</si>
  <si>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</si>
  <si>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</si>
  <si>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</si>
  <si>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</si>
  <si>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</si>
  <si>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</si>
  <si>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</si>
  <si>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</si>
  <si>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</si>
  <si>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</si>
  <si>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</si>
  <si>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</si>
  <si>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</si>
  <si>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</si>
  <si>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</si>
  <si>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</si>
  <si>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</si>
  <si>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</si>
  <si>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</si>
  <si>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</si>
  <si>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</si>
  <si>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</si>
  <si>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</si>
  <si>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</si>
  <si>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</si>
  <si>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</si>
  <si>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</si>
  <si>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</si>
  <si>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</si>
  <si>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</si>
  <si>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</si>
  <si>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</si>
  <si>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</si>
  <si>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</si>
  <si>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</si>
  <si>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</si>
  <si>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</si>
  <si>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</si>
  <si>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</si>
  <si>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</si>
  <si>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</si>
  <si>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</si>
  <si>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</t>
  </si>
  <si>
    <t>SALE140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</si>
  <si>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</si>
  <si>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</si>
  <si>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</si>
  <si>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</si>
  <si>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</si>
  <si>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</si>
  <si>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</si>
  <si>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</si>
  <si>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</si>
  <si>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</si>
  <si>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</si>
  <si>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</si>
  <si>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</si>
  <si>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</si>
  <si>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</si>
  <si>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</si>
  <si>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</si>
  <si>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</si>
  <si>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</si>
  <si>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</si>
  <si>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</si>
  <si>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</si>
  <si>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</si>
  <si>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</si>
  <si>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</si>
  <si>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</si>
  <si>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</si>
  <si>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</si>
  <si>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</si>
  <si>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</si>
  <si>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</si>
  <si>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</si>
  <si>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</si>
  <si>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</si>
  <si>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</si>
  <si>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</si>
  <si>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</si>
  <si>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</si>
  <si>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</si>
  <si>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</si>
  <si>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</si>
  <si>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</si>
  <si>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</si>
  <si>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</si>
  <si>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</si>
  <si>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</si>
  <si>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</si>
  <si>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</si>
  <si>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</si>
  <si>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</si>
  <si>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</si>
  <si>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</si>
  <si>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</si>
  <si>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</si>
  <si>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</si>
  <si>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</si>
  <si>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</si>
  <si>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</si>
  <si>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</si>
  <si>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</si>
  <si>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</si>
  <si>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</si>
  <si>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</si>
  <si>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</si>
  <si>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</si>
  <si>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</si>
  <si>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</si>
  <si>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</si>
  <si>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</si>
  <si>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</si>
  <si>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</si>
  <si>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</si>
  <si>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</si>
  <si>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</si>
  <si>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</si>
  <si>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</si>
  <si>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</si>
  <si>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</si>
  <si>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</si>
  <si>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</si>
  <si>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</si>
  <si>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</si>
  <si>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</si>
  <si>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</si>
  <si>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</si>
  <si>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</si>
  <si>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</si>
  <si>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</si>
  <si>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</si>
  <si>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</si>
  <si>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</si>
  <si>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</si>
  <si>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</si>
  <si>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</si>
  <si>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</si>
  <si>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</si>
  <si>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</si>
  <si>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</si>
  <si>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</si>
  <si>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</si>
  <si>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</si>
  <si>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</si>
  <si>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</si>
  <si>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</si>
  <si>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</si>
  <si>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</si>
  <si>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</si>
  <si>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</si>
  <si>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</si>
  <si>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</t>
  </si>
  <si>
    <t>SALE150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</si>
  <si>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</si>
  <si>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</si>
  <si>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</si>
  <si>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</si>
  <si>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</si>
  <si>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</si>
  <si>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</si>
  <si>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</si>
  <si>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</si>
  <si>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</si>
  <si>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</si>
  <si>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</si>
  <si>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</si>
  <si>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</si>
  <si>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</si>
  <si>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</si>
  <si>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</si>
  <si>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</si>
  <si>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</si>
  <si>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</si>
  <si>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</si>
  <si>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</si>
  <si>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</si>
  <si>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</si>
  <si>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</si>
  <si>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</si>
  <si>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</si>
  <si>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</si>
  <si>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</si>
  <si>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</si>
  <si>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</si>
  <si>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</si>
  <si>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</si>
  <si>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</si>
  <si>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</si>
  <si>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</si>
  <si>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</si>
  <si>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</si>
  <si>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</si>
  <si>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</si>
  <si>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</si>
  <si>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</si>
  <si>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</si>
  <si>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</si>
  <si>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</si>
  <si>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</si>
  <si>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</si>
  <si>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</si>
  <si>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</si>
  <si>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</si>
  <si>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</si>
  <si>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</si>
  <si>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</si>
  <si>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</si>
  <si>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</si>
  <si>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</si>
  <si>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</si>
  <si>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</si>
  <si>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</si>
  <si>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</si>
  <si>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</si>
  <si>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</si>
  <si>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</si>
  <si>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</si>
  <si>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</si>
  <si>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</si>
  <si>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</si>
  <si>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</si>
  <si>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</si>
  <si>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</si>
  <si>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</si>
  <si>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</si>
  <si>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</si>
  <si>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</si>
  <si>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</si>
  <si>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</si>
  <si>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</si>
  <si>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</si>
  <si>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</si>
  <si>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</si>
  <si>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</si>
  <si>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</si>
  <si>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</si>
  <si>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</si>
  <si>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</si>
  <si>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</si>
  <si>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</si>
  <si>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</si>
  <si>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</si>
  <si>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</si>
  <si>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</si>
  <si>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</si>
  <si>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</si>
  <si>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</si>
  <si>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</si>
  <si>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</si>
  <si>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</si>
  <si>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</si>
  <si>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</si>
  <si>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</si>
  <si>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</si>
  <si>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</si>
  <si>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</si>
  <si>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</si>
  <si>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</si>
  <si>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</si>
  <si>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</si>
  <si>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</si>
  <si>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</si>
  <si>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</t>
  </si>
  <si>
    <t>SALE160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</si>
  <si>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</si>
  <si>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</si>
  <si>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</si>
  <si>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</si>
  <si>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</si>
  <si>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</si>
  <si>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</si>
  <si>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</si>
  <si>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</si>
  <si>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</si>
  <si>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</si>
  <si>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</si>
  <si>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</si>
  <si>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</si>
  <si>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</si>
  <si>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</si>
  <si>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</si>
  <si>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</si>
  <si>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</si>
  <si>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</si>
  <si>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</si>
  <si>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</si>
  <si>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</si>
  <si>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</si>
  <si>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</si>
  <si>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</si>
  <si>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</si>
  <si>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</si>
  <si>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</si>
  <si>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</si>
  <si>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</si>
  <si>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</si>
  <si>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</si>
  <si>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</si>
  <si>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</si>
  <si>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</si>
  <si>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</si>
  <si>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</si>
  <si>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</si>
  <si>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</si>
  <si>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</si>
  <si>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</si>
  <si>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</si>
  <si>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</si>
  <si>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</si>
  <si>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</si>
  <si>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</si>
  <si>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</si>
  <si>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</si>
  <si>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</si>
  <si>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</si>
  <si>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</si>
  <si>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</si>
  <si>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</si>
  <si>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</si>
  <si>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</si>
  <si>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</si>
  <si>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</si>
  <si>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</si>
  <si>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</si>
  <si>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</si>
  <si>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</si>
  <si>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</si>
  <si>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</si>
  <si>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</si>
  <si>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</si>
  <si>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</si>
  <si>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</si>
  <si>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</si>
  <si>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</si>
  <si>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</si>
  <si>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</si>
  <si>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</si>
  <si>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</si>
  <si>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</si>
  <si>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</si>
  <si>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</si>
  <si>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</si>
  <si>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</si>
  <si>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</si>
  <si>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</si>
  <si>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</si>
  <si>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</si>
  <si>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</si>
  <si>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</si>
  <si>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</si>
  <si>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</si>
  <si>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</si>
  <si>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</si>
  <si>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</si>
  <si>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</si>
  <si>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</si>
  <si>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</si>
  <si>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</si>
  <si>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</si>
  <si>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</si>
  <si>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</si>
  <si>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</si>
  <si>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</si>
  <si>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</si>
  <si>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</si>
  <si>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</si>
  <si>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</si>
  <si>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</si>
  <si>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</si>
  <si>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</si>
  <si>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</si>
  <si>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</si>
  <si>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</si>
  <si>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</t>
  </si>
  <si>
    <t>SALE170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</si>
  <si>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</si>
  <si>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</si>
  <si>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</si>
  <si>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</si>
  <si>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</si>
  <si>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</si>
  <si>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</si>
  <si>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</si>
  <si>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</si>
  <si>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</si>
  <si>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</si>
  <si>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</si>
  <si>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</si>
  <si>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</si>
  <si>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</si>
  <si>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</si>
  <si>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</si>
  <si>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</si>
  <si>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</si>
  <si>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</si>
  <si>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</si>
  <si>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</si>
  <si>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</si>
  <si>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</si>
  <si>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</si>
  <si>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</si>
  <si>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</si>
  <si>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</si>
  <si>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</si>
  <si>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</si>
  <si>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</si>
  <si>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</si>
  <si>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</si>
  <si>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</si>
  <si>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</si>
  <si>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</si>
  <si>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</si>
  <si>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</si>
  <si>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</si>
  <si>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</si>
  <si>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</si>
  <si>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</si>
  <si>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</si>
  <si>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</si>
  <si>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</si>
  <si>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</si>
  <si>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</si>
  <si>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</si>
  <si>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</si>
  <si>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</si>
  <si>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</si>
  <si>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</si>
  <si>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</si>
  <si>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</si>
  <si>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</si>
  <si>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</si>
  <si>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</si>
  <si>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</si>
  <si>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</si>
  <si>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</si>
  <si>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</si>
  <si>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</si>
  <si>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</si>
  <si>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</si>
  <si>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</si>
  <si>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</si>
  <si>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</si>
  <si>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</si>
  <si>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</si>
  <si>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</si>
  <si>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</si>
  <si>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</si>
  <si>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</si>
  <si>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</si>
  <si>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</si>
  <si>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</si>
  <si>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</si>
  <si>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</si>
  <si>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</si>
  <si>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</si>
  <si>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</si>
  <si>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</si>
  <si>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</si>
  <si>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</si>
  <si>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</si>
  <si>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</si>
  <si>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</si>
  <si>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</si>
  <si>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</si>
  <si>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</si>
  <si>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</si>
  <si>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</si>
  <si>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</si>
  <si>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</si>
  <si>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</si>
  <si>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</si>
  <si>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</si>
  <si>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</si>
  <si>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</si>
  <si>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</si>
  <si>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</si>
  <si>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</si>
  <si>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</si>
  <si>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</si>
  <si>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</si>
  <si>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</si>
  <si>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</si>
  <si>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</si>
  <si>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</si>
  <si>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</t>
  </si>
  <si>
    <t>SALE180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</si>
  <si>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</si>
  <si>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</si>
  <si>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</si>
  <si>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</si>
  <si>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</si>
  <si>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</si>
  <si>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</si>
  <si>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</si>
  <si>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</si>
  <si>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</si>
  <si>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</si>
  <si>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</si>
  <si>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</si>
  <si>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</si>
  <si>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</si>
  <si>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</si>
  <si>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</si>
  <si>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</si>
  <si>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</si>
  <si>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</si>
  <si>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</si>
  <si>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</si>
  <si>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</si>
  <si>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</si>
  <si>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</si>
  <si>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</si>
  <si>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</si>
  <si>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</si>
  <si>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</si>
  <si>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</si>
  <si>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</si>
  <si>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</si>
  <si>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</si>
  <si>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</si>
  <si>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</si>
  <si>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</si>
  <si>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</si>
  <si>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</si>
  <si>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</si>
  <si>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</si>
  <si>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</si>
  <si>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</si>
  <si>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</si>
  <si>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</si>
  <si>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</si>
  <si>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</si>
  <si>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</si>
  <si>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</si>
  <si>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</si>
  <si>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</si>
  <si>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</si>
  <si>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</si>
  <si>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</si>
  <si>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</si>
  <si>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</si>
  <si>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</si>
  <si>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</si>
  <si>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</si>
  <si>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</si>
  <si>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</si>
  <si>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</si>
  <si>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</si>
  <si>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</si>
  <si>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</si>
  <si>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</si>
  <si>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</si>
  <si>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</si>
  <si>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</si>
  <si>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</si>
  <si>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</si>
  <si>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</si>
  <si>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</si>
  <si>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</si>
  <si>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</si>
  <si>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</si>
  <si>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</si>
  <si>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</si>
  <si>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</si>
  <si>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</si>
  <si>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</si>
  <si>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</si>
  <si>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</si>
  <si>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</si>
  <si>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</si>
  <si>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</si>
  <si>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</si>
  <si>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</si>
  <si>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</si>
  <si>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</si>
  <si>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</si>
  <si>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</si>
  <si>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</si>
  <si>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</si>
  <si>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</si>
  <si>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</si>
  <si>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</si>
  <si>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</si>
  <si>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</si>
  <si>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</si>
  <si>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</si>
  <si>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</si>
  <si>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</si>
  <si>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</si>
  <si>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</si>
  <si>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</si>
  <si>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</si>
  <si>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</si>
  <si>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</si>
  <si>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</si>
  <si>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</t>
  </si>
  <si>
    <t>SALE190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</si>
  <si>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</si>
  <si>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</si>
  <si>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</si>
  <si>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</si>
  <si>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</si>
  <si>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</si>
  <si>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</si>
  <si>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</si>
  <si>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</si>
  <si>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</si>
  <si>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</si>
  <si>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</si>
  <si>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</si>
  <si>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</si>
  <si>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</si>
  <si>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</si>
  <si>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</si>
  <si>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</si>
  <si>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</si>
  <si>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</si>
  <si>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</si>
  <si>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</si>
  <si>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</si>
  <si>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</si>
  <si>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</si>
  <si>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</si>
  <si>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</si>
  <si>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</si>
  <si>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</si>
  <si>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</si>
  <si>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</si>
  <si>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</si>
  <si>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</si>
  <si>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</si>
  <si>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</si>
  <si>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</si>
  <si>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</si>
  <si>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</si>
  <si>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</si>
  <si>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</si>
  <si>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</si>
  <si>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</si>
  <si>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</si>
  <si>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</si>
  <si>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</si>
  <si>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</si>
  <si>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</si>
  <si>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</si>
  <si>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</si>
  <si>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</si>
  <si>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</si>
  <si>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</si>
  <si>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</si>
  <si>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</si>
  <si>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</si>
  <si>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</si>
  <si>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</si>
  <si>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</si>
  <si>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</si>
  <si>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</si>
  <si>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</si>
  <si>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</si>
  <si>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</si>
  <si>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</si>
  <si>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</si>
  <si>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</si>
  <si>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</si>
  <si>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</si>
  <si>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</si>
  <si>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</si>
  <si>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</si>
  <si>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</si>
  <si>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</si>
  <si>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</si>
  <si>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</si>
  <si>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</si>
  <si>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</si>
  <si>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</si>
  <si>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</si>
  <si>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</si>
  <si>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</si>
  <si>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</si>
  <si>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</si>
  <si>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</si>
  <si>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</si>
  <si>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</si>
  <si>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</si>
  <si>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</si>
  <si>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</si>
  <si>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</si>
  <si>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</si>
  <si>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</si>
  <si>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</si>
  <si>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</si>
  <si>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</si>
  <si>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</si>
  <si>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</si>
  <si>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</si>
  <si>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</si>
  <si>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</si>
  <si>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</si>
  <si>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</si>
  <si>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</si>
  <si>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</si>
  <si>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</si>
  <si>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</si>
  <si>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</si>
  <si>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</si>
  <si>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</si>
  <si>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SALE2</t>
  </si>
  <si>
    <t>SALE20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</si>
  <si>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</si>
  <si>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</si>
  <si>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</si>
  <si>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</si>
  <si>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</si>
  <si>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</si>
  <si>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</si>
  <si>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</si>
  <si>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</si>
  <si>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</si>
  <si>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</si>
  <si>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</si>
  <si>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</si>
  <si>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</si>
  <si>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</si>
  <si>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</si>
  <si>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</si>
  <si>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</si>
  <si>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</si>
  <si>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</si>
  <si>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</si>
  <si>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</si>
  <si>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</si>
  <si>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</si>
  <si>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</si>
  <si>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</si>
  <si>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</si>
  <si>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</si>
  <si>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</si>
  <si>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</si>
  <si>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</si>
  <si>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</si>
  <si>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</si>
  <si>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</si>
  <si>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</si>
  <si>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</si>
  <si>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</si>
  <si>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</si>
  <si>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</si>
  <si>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</si>
  <si>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</si>
  <si>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</si>
  <si>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</si>
  <si>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</si>
  <si>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</si>
  <si>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</si>
  <si>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</si>
  <si>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</si>
  <si>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</si>
  <si>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</si>
  <si>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</si>
  <si>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</si>
  <si>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</si>
  <si>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</si>
  <si>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</si>
  <si>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</si>
  <si>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</si>
  <si>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</si>
  <si>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</si>
  <si>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</si>
  <si>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</si>
  <si>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</si>
  <si>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</si>
  <si>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</si>
  <si>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</si>
  <si>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</si>
  <si>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</si>
  <si>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</si>
  <si>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</si>
  <si>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</si>
  <si>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</si>
  <si>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</si>
  <si>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</si>
  <si>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</si>
  <si>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</si>
  <si>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</si>
  <si>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</si>
  <si>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</si>
  <si>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</si>
  <si>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</si>
  <si>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</si>
  <si>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</si>
  <si>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</si>
  <si>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</si>
  <si>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</si>
  <si>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</si>
  <si>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</si>
  <si>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</si>
  <si>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</si>
  <si>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</si>
  <si>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</si>
  <si>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</si>
  <si>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</si>
  <si>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</si>
  <si>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</si>
  <si>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</si>
  <si>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</si>
  <si>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</si>
  <si>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</si>
  <si>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</si>
  <si>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</si>
  <si>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</si>
  <si>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</si>
  <si>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</si>
  <si>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</si>
  <si>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</si>
  <si>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</si>
  <si>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</si>
  <si>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</si>
  <si>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</t>
  </si>
  <si>
    <t>SALE30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</si>
  <si>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</si>
  <si>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</si>
  <si>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</si>
  <si>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</si>
  <si>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</si>
  <si>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</si>
  <si>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</si>
  <si>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</si>
  <si>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</si>
  <si>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</si>
  <si>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</si>
  <si>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</si>
  <si>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</si>
  <si>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</si>
  <si>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</si>
  <si>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</si>
  <si>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</si>
  <si>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</si>
  <si>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</si>
  <si>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</si>
  <si>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</si>
  <si>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</si>
  <si>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</si>
  <si>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</si>
  <si>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</si>
  <si>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</si>
  <si>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</si>
  <si>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</si>
  <si>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</si>
  <si>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</si>
  <si>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</si>
  <si>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</si>
  <si>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</si>
  <si>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</si>
  <si>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</si>
  <si>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</si>
  <si>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</si>
  <si>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</si>
  <si>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</si>
  <si>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</si>
  <si>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</si>
  <si>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</si>
  <si>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</si>
  <si>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</si>
  <si>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</si>
  <si>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</si>
  <si>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</si>
  <si>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</si>
  <si>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</si>
  <si>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</si>
  <si>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</si>
  <si>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</si>
  <si>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</si>
  <si>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</si>
  <si>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</si>
  <si>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</si>
  <si>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</si>
  <si>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</si>
  <si>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</si>
  <si>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</si>
  <si>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</si>
  <si>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</si>
  <si>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</si>
  <si>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</si>
  <si>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</si>
  <si>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</si>
  <si>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</si>
  <si>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</si>
  <si>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</si>
  <si>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</si>
  <si>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</si>
  <si>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</si>
  <si>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</si>
  <si>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</si>
  <si>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</si>
  <si>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</si>
  <si>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</si>
  <si>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</si>
  <si>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</si>
  <si>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</si>
  <si>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</si>
  <si>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</si>
  <si>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</si>
  <si>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</si>
  <si>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</si>
  <si>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</si>
  <si>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</si>
  <si>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</si>
  <si>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</si>
  <si>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</si>
  <si>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</si>
  <si>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</si>
  <si>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</si>
  <si>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</si>
  <si>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</si>
  <si>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</si>
  <si>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</si>
  <si>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</si>
  <si>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</si>
  <si>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</si>
  <si>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</si>
  <si>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</si>
  <si>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</si>
  <si>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</si>
  <si>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</si>
  <si>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</si>
  <si>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</si>
  <si>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</si>
  <si>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</si>
  <si>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</t>
  </si>
  <si>
    <t>SALE40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</si>
  <si>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</si>
  <si>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</si>
  <si>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</si>
  <si>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</si>
  <si>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</si>
  <si>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</si>
  <si>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</si>
  <si>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</si>
  <si>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</si>
  <si>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</si>
  <si>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</si>
  <si>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</si>
  <si>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</si>
  <si>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</si>
  <si>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</si>
  <si>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</si>
  <si>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</si>
  <si>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</si>
  <si>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</si>
  <si>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</si>
  <si>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</si>
  <si>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</si>
  <si>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</si>
  <si>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</si>
  <si>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</si>
  <si>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</si>
  <si>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</si>
  <si>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</si>
  <si>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</si>
  <si>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</si>
  <si>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</si>
  <si>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</si>
  <si>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</si>
  <si>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</si>
  <si>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</si>
  <si>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</si>
  <si>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</si>
  <si>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</si>
  <si>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</si>
  <si>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</si>
  <si>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</si>
  <si>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</si>
  <si>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</si>
  <si>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</si>
  <si>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</si>
  <si>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</si>
  <si>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</si>
  <si>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</si>
  <si>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</si>
  <si>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</si>
  <si>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</si>
  <si>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</si>
  <si>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</si>
  <si>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</si>
  <si>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</si>
  <si>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</si>
  <si>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</si>
  <si>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</si>
  <si>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</si>
  <si>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</si>
  <si>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</si>
  <si>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</si>
  <si>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</si>
  <si>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</si>
  <si>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</si>
  <si>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</si>
  <si>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</si>
  <si>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</si>
  <si>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</si>
  <si>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</si>
  <si>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</si>
  <si>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</si>
  <si>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</si>
  <si>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</si>
  <si>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</si>
  <si>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</si>
  <si>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</si>
  <si>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</si>
  <si>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</si>
  <si>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</si>
  <si>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</si>
  <si>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</si>
  <si>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</si>
  <si>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</si>
  <si>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</si>
  <si>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</si>
  <si>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</si>
  <si>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</si>
  <si>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</si>
  <si>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</si>
  <si>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</si>
  <si>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</si>
  <si>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</si>
  <si>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</si>
  <si>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</si>
  <si>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</si>
  <si>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</si>
  <si>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</si>
  <si>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</si>
  <si>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</si>
  <si>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</si>
  <si>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</si>
  <si>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</si>
  <si>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</si>
  <si>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</si>
  <si>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</si>
  <si>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</si>
  <si>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</si>
  <si>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</si>
  <si>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</t>
  </si>
  <si>
    <t>SALE50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</si>
  <si>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</si>
  <si>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</si>
  <si>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</si>
  <si>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</si>
  <si>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</si>
  <si>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</si>
  <si>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</si>
  <si>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</si>
  <si>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</si>
  <si>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</si>
  <si>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</si>
  <si>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</si>
  <si>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</si>
  <si>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</si>
  <si>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</si>
  <si>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</si>
  <si>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</si>
  <si>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</si>
  <si>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</si>
  <si>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</si>
  <si>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</si>
  <si>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</si>
  <si>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</si>
  <si>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</si>
  <si>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</si>
  <si>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</si>
  <si>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</si>
  <si>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</si>
  <si>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</si>
  <si>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</si>
  <si>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</si>
  <si>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</si>
  <si>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</si>
  <si>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</si>
  <si>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</si>
  <si>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</si>
  <si>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</si>
  <si>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</si>
  <si>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</si>
  <si>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</si>
  <si>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</si>
  <si>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</si>
  <si>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</si>
  <si>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</si>
  <si>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</si>
  <si>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</si>
  <si>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</si>
  <si>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</si>
  <si>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</si>
  <si>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</si>
  <si>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</si>
  <si>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</si>
  <si>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</si>
  <si>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</si>
  <si>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</si>
  <si>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</si>
  <si>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</si>
  <si>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</si>
  <si>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</si>
  <si>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</si>
  <si>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</si>
  <si>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</si>
  <si>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</si>
  <si>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</si>
  <si>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</si>
  <si>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</si>
  <si>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</si>
  <si>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</si>
  <si>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</si>
  <si>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</si>
  <si>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</si>
  <si>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</si>
  <si>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</si>
  <si>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</si>
  <si>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</si>
  <si>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</si>
  <si>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</si>
  <si>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</si>
  <si>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</si>
  <si>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</si>
  <si>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</si>
  <si>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</si>
  <si>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</si>
  <si>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</si>
  <si>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</si>
  <si>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</si>
  <si>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</si>
  <si>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</si>
  <si>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</si>
  <si>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</si>
  <si>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</si>
  <si>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</si>
  <si>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</si>
  <si>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</si>
  <si>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</si>
  <si>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</si>
  <si>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</si>
  <si>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</si>
  <si>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</si>
  <si>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</si>
  <si>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</si>
  <si>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</si>
  <si>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</si>
  <si>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</si>
  <si>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</si>
  <si>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</si>
  <si>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</si>
  <si>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</si>
  <si>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</si>
  <si>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</t>
  </si>
  <si>
    <t>SALE60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</si>
  <si>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</si>
  <si>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</si>
  <si>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</si>
  <si>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</si>
  <si>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</si>
  <si>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</si>
  <si>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</si>
  <si>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</si>
  <si>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</si>
  <si>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</si>
  <si>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</si>
  <si>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</si>
  <si>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</si>
  <si>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</si>
  <si>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</si>
  <si>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</si>
  <si>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</si>
  <si>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</si>
  <si>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</si>
  <si>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</si>
  <si>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</si>
  <si>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</si>
  <si>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</si>
  <si>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</si>
  <si>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</si>
  <si>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</si>
  <si>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</si>
  <si>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</si>
  <si>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</si>
  <si>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</si>
  <si>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</si>
  <si>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</si>
  <si>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</si>
  <si>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</si>
  <si>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</si>
  <si>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</si>
  <si>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</si>
  <si>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</si>
  <si>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</si>
  <si>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</si>
  <si>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</si>
  <si>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</si>
  <si>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</si>
  <si>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</si>
  <si>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</si>
  <si>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</si>
  <si>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</si>
  <si>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</si>
  <si>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</si>
  <si>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</si>
  <si>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</si>
  <si>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</si>
  <si>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</si>
  <si>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</si>
  <si>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</si>
  <si>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</si>
  <si>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</si>
  <si>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</si>
  <si>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</si>
  <si>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</si>
  <si>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</si>
  <si>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</si>
  <si>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</si>
  <si>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</si>
  <si>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</si>
  <si>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</si>
  <si>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</si>
  <si>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</si>
  <si>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</si>
  <si>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</si>
  <si>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</si>
  <si>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</si>
  <si>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</si>
  <si>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</si>
  <si>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</si>
  <si>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</si>
  <si>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</si>
  <si>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</si>
  <si>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</si>
  <si>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</si>
  <si>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</si>
  <si>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</si>
  <si>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</si>
  <si>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</si>
  <si>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</si>
  <si>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</si>
  <si>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</si>
  <si>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</si>
  <si>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</si>
  <si>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</si>
  <si>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</si>
  <si>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</si>
  <si>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</si>
  <si>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</si>
  <si>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</si>
  <si>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</si>
  <si>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</si>
  <si>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</si>
  <si>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</si>
  <si>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</si>
  <si>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</si>
  <si>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</si>
  <si>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</si>
  <si>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</si>
  <si>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</si>
  <si>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</si>
  <si>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</si>
  <si>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</si>
  <si>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</si>
  <si>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</t>
  </si>
  <si>
    <t>SALE70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</si>
  <si>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</si>
  <si>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</si>
  <si>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</si>
  <si>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</si>
  <si>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</si>
  <si>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</si>
  <si>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</si>
  <si>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</si>
  <si>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</si>
  <si>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</si>
  <si>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</si>
  <si>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</si>
  <si>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</si>
  <si>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</si>
  <si>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</si>
  <si>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</si>
  <si>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</si>
  <si>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</si>
  <si>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</si>
  <si>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</si>
  <si>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</si>
  <si>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</si>
  <si>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</si>
  <si>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</si>
  <si>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</si>
  <si>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</si>
  <si>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</si>
  <si>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</si>
  <si>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</si>
  <si>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</si>
  <si>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</si>
  <si>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</si>
  <si>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</si>
  <si>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</si>
  <si>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</si>
  <si>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</si>
  <si>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</si>
  <si>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</si>
  <si>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</si>
  <si>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</si>
  <si>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</si>
  <si>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</si>
  <si>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</si>
  <si>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</si>
  <si>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</si>
  <si>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</si>
  <si>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</si>
  <si>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</si>
  <si>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</si>
  <si>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</si>
  <si>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</si>
  <si>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</si>
  <si>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</si>
  <si>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</si>
  <si>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</si>
  <si>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</si>
  <si>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</si>
  <si>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</si>
  <si>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</si>
  <si>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</si>
  <si>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</si>
  <si>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</si>
  <si>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</si>
  <si>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</si>
  <si>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</si>
  <si>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</si>
  <si>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</si>
  <si>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</si>
  <si>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</si>
  <si>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</si>
  <si>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</si>
  <si>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</si>
  <si>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</si>
  <si>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</si>
  <si>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</si>
  <si>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</si>
  <si>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</si>
  <si>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</si>
  <si>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</si>
  <si>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</si>
  <si>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</si>
  <si>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</si>
  <si>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</si>
  <si>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</si>
  <si>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</si>
  <si>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</si>
  <si>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</si>
  <si>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</si>
  <si>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</si>
  <si>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</si>
  <si>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</si>
  <si>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</si>
  <si>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</si>
  <si>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</si>
  <si>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</si>
  <si>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</si>
  <si>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</si>
  <si>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</si>
  <si>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</si>
  <si>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</si>
  <si>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</si>
  <si>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</si>
  <si>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</si>
  <si>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</si>
  <si>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</si>
  <si>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</si>
  <si>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</si>
  <si>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</si>
  <si>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</si>
  <si>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</t>
  </si>
  <si>
    <t>SALE80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</si>
  <si>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</si>
  <si>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</si>
  <si>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</si>
  <si>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</si>
  <si>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</si>
  <si>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</si>
  <si>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</si>
  <si>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</si>
  <si>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</si>
  <si>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</si>
  <si>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</si>
  <si>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</si>
  <si>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</si>
  <si>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</si>
  <si>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</si>
  <si>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</si>
  <si>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</si>
  <si>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</si>
  <si>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</si>
  <si>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</si>
  <si>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</si>
  <si>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</si>
  <si>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</si>
  <si>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</si>
  <si>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</si>
  <si>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</si>
  <si>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</si>
  <si>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</si>
  <si>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</si>
  <si>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</si>
  <si>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</si>
  <si>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</si>
  <si>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</si>
  <si>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</si>
  <si>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</si>
  <si>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</si>
  <si>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</si>
  <si>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</si>
  <si>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</si>
  <si>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</si>
  <si>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</si>
  <si>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</si>
  <si>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</si>
  <si>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</si>
  <si>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</si>
  <si>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</si>
  <si>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</si>
  <si>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</si>
  <si>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</si>
  <si>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</si>
  <si>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</si>
  <si>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</si>
  <si>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</si>
  <si>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</si>
  <si>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</si>
  <si>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</si>
  <si>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</si>
  <si>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</si>
  <si>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</si>
  <si>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</si>
  <si>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</si>
  <si>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</si>
  <si>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</si>
  <si>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</si>
  <si>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</si>
  <si>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</si>
  <si>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</si>
  <si>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</si>
  <si>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</si>
  <si>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</si>
  <si>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</si>
  <si>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</si>
  <si>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</si>
  <si>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</si>
  <si>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</si>
  <si>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</si>
  <si>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</si>
  <si>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</si>
  <si>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</si>
  <si>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</si>
  <si>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</si>
  <si>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</si>
  <si>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</si>
  <si>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</si>
  <si>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</si>
  <si>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</si>
  <si>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</si>
  <si>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</si>
  <si>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</si>
  <si>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</si>
  <si>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</si>
  <si>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</si>
  <si>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</si>
  <si>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</si>
  <si>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</si>
  <si>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</si>
  <si>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</si>
  <si>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</si>
  <si>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</si>
  <si>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</si>
  <si>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</si>
  <si>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</si>
  <si>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</si>
  <si>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</si>
  <si>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</si>
  <si>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</si>
  <si>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</si>
  <si>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</si>
  <si>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</si>
  <si>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</t>
  </si>
  <si>
    <t>SALE90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</si>
  <si>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</si>
  <si>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</si>
  <si>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</si>
  <si>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</si>
  <si>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</si>
  <si>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</si>
  <si>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</si>
  <si>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</si>
  <si>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</si>
  <si>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</si>
  <si>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</si>
  <si>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</si>
  <si>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</si>
  <si>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</si>
  <si>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</si>
  <si>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</si>
  <si>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</si>
  <si>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</si>
  <si>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</si>
  <si>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</si>
  <si>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</si>
  <si>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</si>
  <si>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</si>
  <si>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</si>
  <si>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</si>
  <si>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</si>
  <si>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</si>
  <si>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</si>
  <si>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</si>
  <si>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</si>
  <si>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</si>
  <si>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</si>
  <si>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</si>
  <si>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</si>
  <si>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</si>
  <si>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</si>
  <si>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</si>
  <si>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</si>
  <si>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</si>
  <si>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</si>
  <si>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</si>
  <si>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</si>
  <si>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</si>
  <si>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</si>
  <si>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</si>
  <si>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</si>
  <si>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</si>
  <si>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</si>
  <si>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</si>
  <si>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</si>
  <si>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</si>
  <si>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</si>
  <si>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</si>
  <si>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</si>
  <si>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</si>
  <si>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</si>
  <si>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</si>
  <si>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</si>
  <si>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</si>
  <si>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</si>
  <si>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</si>
  <si>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</si>
  <si>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</si>
  <si>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</si>
  <si>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</si>
  <si>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</si>
  <si>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</si>
  <si>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</si>
  <si>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</si>
  <si>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</si>
  <si>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</si>
  <si>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</si>
  <si>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</si>
  <si>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</si>
  <si>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</si>
  <si>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</si>
  <si>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</si>
  <si>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</si>
  <si>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</si>
  <si>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</si>
  <si>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</si>
  <si>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</si>
  <si>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</si>
  <si>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</si>
  <si>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</si>
  <si>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</si>
  <si>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</si>
  <si>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</si>
  <si>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</si>
  <si>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</si>
  <si>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</si>
  <si>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</si>
  <si>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</si>
  <si>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</si>
  <si>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</si>
  <si>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</si>
  <si>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</si>
  <si>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</si>
  <si>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</si>
  <si>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</si>
  <si>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</si>
  <si>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</si>
  <si>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</si>
  <si>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</si>
  <si>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</si>
  <si>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</si>
  <si>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</si>
  <si>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</si>
  <si>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</si>
  <si>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Customer_name</t>
  </si>
  <si>
    <t>Store_name</t>
  </si>
  <si>
    <t>Product_Id</t>
  </si>
  <si>
    <t>Amount</t>
  </si>
  <si>
    <t>Month</t>
  </si>
  <si>
    <t>Year</t>
  </si>
  <si>
    <t>Summary</t>
  </si>
  <si>
    <t>Mean</t>
  </si>
  <si>
    <t>Median</t>
  </si>
  <si>
    <t>Standard Deviation</t>
  </si>
  <si>
    <t>Minimum</t>
  </si>
  <si>
    <t>Maximum</t>
  </si>
  <si>
    <t>Sum</t>
  </si>
  <si>
    <t>Count</t>
  </si>
  <si>
    <t>Standard Error</t>
  </si>
  <si>
    <t>Range</t>
  </si>
  <si>
    <t>Total Revenue from Store by Sales</t>
  </si>
  <si>
    <t>Most Revenue Generating Product Products</t>
  </si>
  <si>
    <t>Gender - Wise Sales</t>
  </si>
  <si>
    <t>Revenue from each Customer</t>
  </si>
  <si>
    <t>Top 10 Customer by Total Amount</t>
  </si>
  <si>
    <t>Top 10 Products by Total Amount</t>
  </si>
  <si>
    <t>Store Name</t>
  </si>
  <si>
    <t>Total Sales</t>
  </si>
  <si>
    <t>Product Name</t>
  </si>
  <si>
    <t xml:space="preserve">Sales  </t>
  </si>
  <si>
    <t>Total Amount</t>
  </si>
  <si>
    <t>Customer_Name</t>
  </si>
  <si>
    <t>Grand Total</t>
  </si>
  <si>
    <t>Month-Wise Average Sales</t>
  </si>
  <si>
    <t>Monthly Average sales</t>
  </si>
  <si>
    <t>Nov</t>
  </si>
  <si>
    <t>Oct</t>
  </si>
  <si>
    <t>Dec</t>
  </si>
  <si>
    <t>May</t>
  </si>
  <si>
    <t>Jan</t>
  </si>
  <si>
    <t>Total</t>
  </si>
  <si>
    <t>Feb</t>
  </si>
  <si>
    <t>Jul</t>
  </si>
  <si>
    <t>Top 10 Stores by Total Amount</t>
  </si>
  <si>
    <t>Aug</t>
  </si>
  <si>
    <t>Jun</t>
  </si>
  <si>
    <t>Sep</t>
  </si>
  <si>
    <t>Mar</t>
  </si>
  <si>
    <t>Apr</t>
  </si>
  <si>
    <t>Earl Smith Dds</t>
  </si>
  <si>
    <t>Dr. Tamara White Md</t>
  </si>
  <si>
    <t>Melissa Duffy Md</t>
  </si>
  <si>
    <t>Robert Jones Dds</t>
  </si>
  <si>
    <t>Dr. Ashley Yates Md</t>
  </si>
  <si>
    <t>Justin Mason Dds</t>
  </si>
  <si>
    <t>Paul Fox</t>
  </si>
  <si>
    <t>Brittany Edwards Dds</t>
  </si>
  <si>
    <t>Christopher Garcia Dds</t>
  </si>
  <si>
    <t>Laura Green</t>
  </si>
  <si>
    <t>Alex Mann Ii</t>
  </si>
  <si>
    <t>Daisy Johnson Dds</t>
  </si>
  <si>
    <t>Jordan Jackson Dds</t>
  </si>
  <si>
    <t>Sheena Bonilla</t>
  </si>
  <si>
    <t>Jeremy Harris</t>
  </si>
  <si>
    <t>Dr. Benjamin Price</t>
  </si>
  <si>
    <t>Charles Norman Phd</t>
  </si>
  <si>
    <t>Michelle Garcia Dds</t>
  </si>
  <si>
    <t>Tammy Miller Md</t>
  </si>
  <si>
    <t>Miss Alexandria Li Dvm</t>
  </si>
  <si>
    <t>Joshua Smith Dvm</t>
  </si>
  <si>
    <t>Objective :</t>
  </si>
  <si>
    <t>To analyze e-commerce sales data and understand performance across stores, products, and customers.</t>
  </si>
  <si>
    <t>Key Findings :</t>
  </si>
  <si>
    <r>
      <rPr>
        <rFont val="Calibri"/>
        <b/>
        <color theme="1"/>
      </rPr>
      <t>1. Top 10 Stores by Total Sales</t>
    </r>
    <r>
      <rPr>
        <rFont val="Calibri"/>
        <color theme="1"/>
      </rPr>
      <t xml:space="preserve"> :  </t>
    </r>
  </si>
  <si>
    <t>From the dashboard I found that "Bean, Jones and Park" has highest earnings (₹158,971.46) which is 7.3% among all the stores,</t>
  </si>
  <si>
    <t>Rest all stores has 1 lakh or above earnings except Shelton PLC, Black-Horn, Mann-Austin, Aguirre-Keller, Rivera-Warner and Gray Ltd, These stores earns less than 1 lakh,</t>
  </si>
  <si>
    <t>And Gray Ltd has the lowest earning (₹81,343.59) among all the 20 stores.</t>
  </si>
  <si>
    <t>2. Top 10 Products by Total Sales :</t>
  </si>
  <si>
    <t>From the dashboard I found that the product "Men's Graphic T-Shirt" is the highest earning product among 100 different product generating total sales of ₹61,150.33,</t>
  </si>
  <si>
    <t>And "Portable Power Bank" is 2nd highest earning product generating total sales of ₹57,518.36.</t>
  </si>
  <si>
    <t>While,  "Makeup Brush Set" is the lowest earning product among all different product generating total sales of ₹7,948.39.</t>
  </si>
  <si>
    <t>3. Monthly Average Sales :</t>
  </si>
  <si>
    <t xml:space="preserve">From the dashboard I found that average sales in November 2024, generated highest average sales,  </t>
  </si>
  <si>
    <t>And in month of May 2024, average sales was the lowest.</t>
  </si>
  <si>
    <t xml:space="preserve">4. Gender wise Total Sales : </t>
  </si>
  <si>
    <t xml:space="preserve">From the dashboard I found that Male's are maximum buyers campared to Female's, </t>
  </si>
  <si>
    <t xml:space="preserve">Male buyers are slightly more than Female buyer, having difference of only 6.63% </t>
  </si>
  <si>
    <t>5. Top Customers by Total Sales :</t>
  </si>
  <si>
    <t>From the dashboard I found that "Jordan Wells" is the top buyer among all the customer (₹17,147.71), While "Eric Davis" is lowest buyer among all the customer (₹36.03).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</si>
</sst>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₹]#,##0.00"/>
  </numFmts>
  <fonts count="10">
    <font>
      <sz val="11.0"/>
      <color theme="1"/>
      <name val="Calibri"/>
      <scheme val="minor"/>
    </font>
    <font>
      <color theme="1"/>
      <name val="Calibri"/>
      <scheme val="minor"/>
    </font>
    <font/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color rgb="FF4A86E8"/>
      <name val="Calibri"/>
      <scheme val="minor"/>
    </font>
    <font>
      <color rgb="FF666666"/>
      <name val="Calibri"/>
      <scheme val="minor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8CCE4"/>
        <bgColor rgb="FFB8CCE4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1" numFmtId="0" xfId="0" applyAlignment="1" applyFont="1">
      <alignment shrinkToFit="0" vertical="center" wrapText="0"/>
    </xf>
    <xf borderId="3" fillId="3" fontId="3" numFmtId="0" xfId="0" applyAlignment="1" applyBorder="1" applyFill="1" applyFont="1">
      <alignment readingOrder="0" shrinkToFit="0" vertical="bottom" wrapText="0"/>
    </xf>
    <xf borderId="3" fillId="3" fontId="1" numFmtId="0" xfId="0" applyBorder="1" applyFont="1"/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0" fillId="0" fontId="4" numFmtId="2" xfId="0" applyAlignment="1" applyFont="1" applyNumberFormat="1">
      <alignment horizontal="center" readingOrder="0" shrinkToFit="0" vertical="top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center" wrapText="0"/>
    </xf>
    <xf borderId="3" fillId="0" fontId="6" numFmtId="164" xfId="0" applyAlignment="1" applyBorder="1" applyFont="1" applyNumberFormat="1">
      <alignment shrinkToFit="0" vertical="center" wrapText="0"/>
    </xf>
    <xf borderId="3" fillId="0" fontId="6" numFmtId="165" xfId="0" applyAlignment="1" applyBorder="1" applyFont="1" applyNumberFormat="1">
      <alignment shrinkToFit="0" vertical="center" wrapText="0"/>
    </xf>
    <xf borderId="3" fillId="4" fontId="6" numFmtId="0" xfId="0" applyAlignment="1" applyBorder="1" applyFill="1" applyFont="1">
      <alignment horizontal="left" readingOrder="0"/>
    </xf>
    <xf borderId="3" fillId="4" fontId="1" numFmtId="165" xfId="0" applyAlignment="1" applyBorder="1" applyFont="1" applyNumberFormat="1">
      <alignment horizontal="right"/>
    </xf>
    <xf borderId="3" fillId="4" fontId="1" numFmtId="0" xfId="0" applyAlignment="1" applyBorder="1" applyFont="1">
      <alignment horizontal="right"/>
    </xf>
    <xf borderId="3" fillId="4" fontId="1" numFmtId="2" xfId="0" applyAlignment="1" applyBorder="1" applyFont="1" applyNumberFormat="1">
      <alignment horizontal="right"/>
    </xf>
    <xf borderId="3" fillId="5" fontId="6" numFmtId="0" xfId="0" applyAlignment="1" applyBorder="1" applyFill="1" applyFont="1">
      <alignment shrinkToFit="0" vertical="center" wrapText="0"/>
    </xf>
    <xf borderId="0" fillId="5" fontId="1" numFmtId="0" xfId="0" applyFont="1"/>
    <xf borderId="0" fillId="5" fontId="6" numFmtId="0" xfId="0" applyAlignment="1" applyFont="1">
      <alignment horizontal="left" readingOrder="0"/>
    </xf>
    <xf borderId="0" fillId="5" fontId="1" numFmtId="2" xfId="0" applyAlignment="1" applyFont="1" applyNumberFormat="1">
      <alignment horizontal="right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6" fontId="1" numFmtId="0" xfId="0" applyAlignment="1" applyFill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3" fillId="4" fontId="1" numFmtId="0" xfId="0" applyAlignment="1" applyBorder="1" applyFont="1">
      <alignment horizontal="center" readingOrder="0"/>
    </xf>
    <xf borderId="0" fillId="0" fontId="1" numFmtId="165" xfId="0" applyFont="1" applyNumberFormat="1"/>
    <xf borderId="0" fillId="0" fontId="1" numFmtId="10" xfId="0" applyFont="1" applyNumberFormat="1"/>
    <xf borderId="3" fillId="7" fontId="5" numFmtId="0" xfId="0" applyAlignment="1" applyBorder="1" applyFill="1" applyFont="1">
      <alignment vertical="bottom"/>
    </xf>
    <xf borderId="3" fillId="0" fontId="5" numFmtId="165" xfId="0" applyAlignment="1" applyBorder="1" applyFont="1" applyNumberFormat="1">
      <alignment horizontal="right" vertical="bottom"/>
    </xf>
    <xf borderId="3" fillId="7" fontId="1" numFmtId="0" xfId="0" applyBorder="1" applyFont="1"/>
    <xf borderId="3" fillId="0" fontId="1" numFmtId="165" xfId="0" applyBorder="1" applyFont="1" applyNumberFormat="1"/>
    <xf borderId="0" fillId="7" fontId="1" numFmtId="0" xfId="0" applyAlignment="1" applyFont="1">
      <alignment horizontal="right" readingOrder="0"/>
    </xf>
    <xf borderId="0" fillId="0" fontId="1" numFmtId="165" xfId="0" applyFont="1" applyNumberFormat="1"/>
    <xf borderId="0" fillId="8" fontId="1" numFmtId="0" xfId="0" applyAlignment="1" applyFill="1" applyFont="1">
      <alignment horizontal="center" readingOrder="0"/>
    </xf>
    <xf borderId="1" fillId="6" fontId="5" numFmtId="0" xfId="0" applyAlignment="1" applyBorder="1" applyFont="1">
      <alignment horizontal="center" vertical="bottom"/>
    </xf>
    <xf borderId="3" fillId="4" fontId="5" numFmtId="0" xfId="0" applyAlignment="1" applyBorder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5">
    <tableStyle count="4" pivot="0" name="Customer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e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_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Store Wise Total Sales Amount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Table'!$A$3:$A$22</c:f>
            </c:strRef>
          </c:cat>
          <c:val>
            <c:numRef>
              <c:f>'Pivot Table'!$B$3:$B$22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Top 10 Products by Sales amount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9CB9C"/>
            </a:solidFill>
            <a:ln cmpd="sng">
              <a:solidFill>
                <a:srgbClr val="F9CB9C">
                  <a:alpha val="100000"/>
                </a:srgbClr>
              </a:solidFill>
            </a:ln>
          </c:spPr>
          <c:dPt>
            <c:idx val="0"/>
            <c:spPr>
              <a:solidFill>
                <a:srgbClr val="CC412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06666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C27BA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sz="700"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 for series</c:name>
            <c:spPr>
              <a:ln w="19050">
                <a:solidFill>
                  <a:srgbClr val="4C1130">
                    <a:alpha val="6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'Pivot Table'!$Q$3:$Q$12</c:f>
            </c:strRef>
          </c:cat>
          <c:val>
            <c:numRef>
              <c:f>'Pivot Table'!$R$3:$R$12</c:f>
              <c:numCache/>
            </c:numRef>
          </c:val>
        </c:ser>
        <c:axId val="1886719207"/>
        <c:axId val="58056660"/>
      </c:bar3DChart>
      <c:catAx>
        <c:axId val="1886719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58056660"/>
      </c:catAx>
      <c:valAx>
        <c:axId val="580566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Comic Sans MS"/>
              </a:defRPr>
            </a:pPr>
          </a:p>
        </c:txPr>
        <c:crossAx val="1886719207"/>
      </c:valAx>
    </c:plotArea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Top 10 Customers by Sales Amount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A61C00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E69138"/>
              </a:solidFill>
            </c:spPr>
          </c:dPt>
          <c:dPt>
            <c:idx val="3"/>
            <c:spPr>
              <a:solidFill>
                <a:srgbClr val="F1C232"/>
              </a:solidFill>
            </c:spPr>
          </c:dPt>
          <c:dPt>
            <c:idx val="4"/>
            <c:spPr>
              <a:solidFill>
                <a:srgbClr val="6AA84F"/>
              </a:solidFill>
            </c:spPr>
          </c:dPt>
          <c:dPt>
            <c:idx val="5"/>
            <c:spPr>
              <a:solidFill>
                <a:srgbClr val="45818E"/>
              </a:solidFill>
            </c:spPr>
          </c:dPt>
          <c:dPt>
            <c:idx val="6"/>
            <c:spPr>
              <a:solidFill>
                <a:srgbClr val="3C78D8"/>
              </a:solidFill>
            </c:spPr>
          </c:dPt>
          <c:dPt>
            <c:idx val="7"/>
            <c:spPr>
              <a:solidFill>
                <a:srgbClr val="3D85C6"/>
              </a:solidFill>
            </c:spPr>
          </c:dPt>
          <c:dPt>
            <c:idx val="8"/>
            <c:spPr>
              <a:solidFill>
                <a:srgbClr val="674EA7"/>
              </a:solidFill>
            </c:spPr>
          </c:dPt>
          <c:dPt>
            <c:idx val="9"/>
            <c:spPr>
              <a:solidFill>
                <a:srgbClr val="A64D79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Table'!$N$3:$N$12</c:f>
            </c:strRef>
          </c:cat>
          <c:val>
            <c:numRef>
              <c:f>'Pivot Table'!$O$3:$O$12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800600" cy="2952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85725</xdr:colOff>
      <xdr:row>2</xdr:row>
      <xdr:rowOff>0</xdr:rowOff>
    </xdr:from>
    <xdr:ext cx="5686425" cy="4953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</xdr:rowOff>
    </xdr:from>
    <xdr:ext cx="4800600" cy="1895475"/>
    <xdr:pic>
      <xdr:nvPicPr>
        <xdr:cNvPr id="521510392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2</xdr:row>
      <xdr:rowOff>0</xdr:rowOff>
    </xdr:from>
    <xdr:ext cx="4267200" cy="2047875"/>
    <xdr:pic>
      <xdr:nvPicPr>
        <xdr:cNvPr id="25481165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13</xdr:row>
      <xdr:rowOff>28575</xdr:rowOff>
    </xdr:from>
    <xdr:ext cx="4267200" cy="2828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2001" sheet="Final_Dataset"/>
  </cacheSource>
  <cacheFields>
    <cacheField name="Sales_ID" numFmtId="0">
      <sharedItems>
        <s v="SALE0"/>
        <s v="SALE1"/>
        <s v="SALE10"/>
        <s v="SALE100"/>
        <s v="SALE1000"/>
        <s v="SALE1001"/>
        <s v="SALE1002"/>
        <s v="SALE1003"/>
        <s v="SALE1004"/>
        <s v="SALE1005"/>
        <s v="SALE1006"/>
        <s v="SALE1007"/>
        <s v="SALE1008"/>
        <s v="SALE1009"/>
        <s v="SALE101"/>
        <s v="SALE1010"/>
        <s v="SALE1011"/>
        <s v="SALE1012"/>
        <s v="SALE1013"/>
        <s v="SALE1014"/>
        <s v="SALE1015"/>
        <s v="SALE1016"/>
        <s v="SALE1017"/>
        <s v="SALE1018"/>
        <s v="SALE1019"/>
        <s v="SALE102"/>
        <s v="SALE1020"/>
        <s v="SALE1021"/>
        <s v="SALE1022"/>
        <s v="SALE1023"/>
        <s v="SALE1024"/>
        <s v="SALE1025"/>
        <s v="SALE1026"/>
        <s v="SALE1027"/>
        <s v="SALE1028"/>
        <s v="SALE1029"/>
        <s v="SALE103"/>
        <s v="SALE1030"/>
        <s v="SALE1031"/>
        <s v="SALE1032"/>
        <s v="SALE1033"/>
        <s v="SALE1034"/>
        <s v="SALE1035"/>
        <s v="SALE1036"/>
        <s v="SALE1037"/>
        <s v="SALE1038"/>
        <s v="SALE1039"/>
        <s v="SALE104"/>
        <s v="SALE1040"/>
        <s v="SALE1041"/>
        <s v="SALE1042"/>
        <s v="SALE1043"/>
        <s v="SALE1044"/>
        <s v="SALE1045"/>
        <s v="SALE1046"/>
        <s v="SALE1047"/>
        <s v="SALE1048"/>
        <s v="SALE1049"/>
        <s v="SALE105"/>
        <s v="SALE1050"/>
        <s v="SALE1051"/>
        <s v="SALE1052"/>
        <s v="SALE1053"/>
        <s v="SALE1054"/>
        <s v="SALE1055"/>
        <s v="SALE1056"/>
        <s v="SALE1057"/>
        <s v="SALE1058"/>
        <s v="SALE1059"/>
        <s v="SALE106"/>
        <s v="SALE1060"/>
        <s v="SALE1061"/>
        <s v="SALE1062"/>
        <s v="SALE1063"/>
        <s v="SALE1064"/>
        <s v="SALE1065"/>
        <s v="SALE1066"/>
        <s v="SALE1067"/>
        <s v="SALE1068"/>
        <s v="SALE1069"/>
        <s v="SALE107"/>
        <s v="SALE1070"/>
        <s v="SALE1071"/>
        <s v="SALE1072"/>
        <s v="SALE1073"/>
        <s v="SALE1074"/>
        <s v="SALE1075"/>
        <s v="SALE1076"/>
        <s v="SALE1077"/>
        <s v="SALE1078"/>
        <s v="SALE1079"/>
        <s v="SALE108"/>
        <s v="SALE1080"/>
        <s v="SALE1081"/>
        <s v="SALE1082"/>
        <s v="SALE1083"/>
        <s v="SALE1084"/>
        <s v="SALE1085"/>
        <s v="SALE1086"/>
        <s v="SALE1087"/>
        <s v="SALE1088"/>
        <s v="SALE1089"/>
        <s v="SALE109"/>
        <s v="SALE1090"/>
        <s v="SALE1091"/>
        <s v="SALE1092"/>
        <s v="SALE1093"/>
        <s v="SALE1094"/>
        <s v="SALE1095"/>
        <s v="SALE1096"/>
        <s v="SALE1097"/>
        <s v="SALE1098"/>
        <s v="SALE1099"/>
        <s v="SALE11"/>
        <s v="SALE110"/>
        <s v="SALE1100"/>
        <s v="SALE1101"/>
        <s v="SALE1102"/>
        <s v="SALE1103"/>
        <s v="SALE1104"/>
        <s v="SALE1105"/>
        <s v="SALE1106"/>
        <s v="SALE1107"/>
        <s v="SALE1108"/>
        <s v="SALE1109"/>
        <s v="SALE111"/>
        <s v="SALE1110"/>
        <s v="SALE1111"/>
        <s v="SALE1112"/>
        <s v="SALE1113"/>
        <s v="SALE1114"/>
        <s v="SALE1115"/>
        <s v="SALE1116"/>
        <s v="SALE1117"/>
        <s v="SALE1118"/>
        <s v="SALE1119"/>
        <s v="SALE112"/>
        <s v="SALE1120"/>
        <s v="SALE1121"/>
        <s v="SALE1122"/>
        <s v="SALE1123"/>
        <s v="SALE1124"/>
        <s v="SALE1125"/>
        <s v="SALE1126"/>
        <s v="SALE1127"/>
        <s v="SALE1128"/>
        <s v="SALE1129"/>
        <s v="SALE113"/>
        <s v="SALE1130"/>
        <s v="SALE1131"/>
        <s v="SALE1132"/>
        <s v="SALE1133"/>
        <s v="SALE1134"/>
        <s v="SALE1135"/>
        <s v="SALE1136"/>
        <s v="SALE1137"/>
        <s v="SALE1138"/>
        <s v="SALE1139"/>
        <s v="SALE114"/>
        <s v="SALE1140"/>
        <s v="SALE1141"/>
        <s v="SALE1142"/>
        <s v="SALE1143"/>
        <s v="SALE1144"/>
        <s v="SALE1145"/>
        <s v="SALE1146"/>
        <s v="SALE1147"/>
        <s v="SALE1148"/>
        <s v="SALE1149"/>
        <s v="SALE115"/>
        <s v="SALE1150"/>
        <s v="SALE1151"/>
        <s v="SALE1152"/>
        <s v="SALE1153"/>
        <s v="SALE1154"/>
        <s v="SALE1155"/>
        <s v="SALE1156"/>
        <s v="SALE1157"/>
        <s v="SALE1158"/>
        <s v="SALE1159"/>
        <s v="SALE116"/>
        <s v="SALE1160"/>
        <s v="SALE1161"/>
        <s v="SALE1162"/>
        <s v="SALE1163"/>
        <s v="SALE1164"/>
        <s v="SALE1165"/>
        <s v="SALE1166"/>
        <s v="SALE1167"/>
        <s v="SALE1168"/>
        <s v="SALE1169"/>
        <s v="SALE117"/>
        <s v="SALE1170"/>
        <s v="SALE1171"/>
        <s v="SALE1172"/>
        <s v="SALE1173"/>
        <s v="SALE1174"/>
        <s v="SALE1175"/>
        <s v="SALE1176"/>
        <s v="SALE1177"/>
        <s v="SALE1178"/>
        <s v="SALE1179"/>
        <s v="SALE118"/>
        <s v="SALE1180"/>
        <s v="SALE1181"/>
        <s v="SALE1182"/>
        <s v="SALE1183"/>
        <s v="SALE1184"/>
        <s v="SALE1185"/>
        <s v="SALE1186"/>
        <s v="SALE1187"/>
        <s v="SALE1188"/>
        <s v="SALE1189"/>
        <s v="SALE119"/>
        <s v="SALE1190"/>
        <s v="SALE1191"/>
        <s v="SALE1192"/>
        <s v="SALE1193"/>
        <s v="SALE1194"/>
        <s v="SALE1195"/>
        <s v="SALE1196"/>
        <s v="SALE1197"/>
        <s v="SALE1198"/>
        <s v="SALE1199"/>
        <s v="SALE12"/>
        <s v="SALE120"/>
        <s v="SALE1200"/>
        <s v="SALE1201"/>
        <s v="SALE1202"/>
        <s v="SALE1203"/>
        <s v="SALE1204"/>
        <s v="SALE1205"/>
        <s v="SALE1206"/>
        <s v="SALE1207"/>
        <s v="SALE1208"/>
        <s v="SALE1209"/>
        <s v="SALE121"/>
        <s v="SALE1210"/>
        <s v="SALE1211"/>
        <s v="SALE1212"/>
        <s v="SALE1213"/>
        <s v="SALE1214"/>
        <s v="SALE1215"/>
        <s v="SALE1216"/>
        <s v="SALE1217"/>
        <s v="SALE1218"/>
        <s v="SALE1219"/>
        <s v="SALE122"/>
        <s v="SALE1220"/>
        <s v="SALE1221"/>
        <s v="SALE1222"/>
        <s v="SALE1223"/>
        <s v="SALE1224"/>
        <s v="SALE1225"/>
        <s v="SALE1226"/>
        <s v="SALE1227"/>
        <s v="SALE1228"/>
        <s v="SALE1229"/>
        <s v="SALE123"/>
        <s v="SALE1230"/>
        <s v="SALE1231"/>
        <s v="SALE1232"/>
        <s v="SALE1233"/>
        <s v="SALE1234"/>
        <s v="SALE1235"/>
        <s v="SALE1236"/>
        <s v="SALE1237"/>
        <s v="SALE1238"/>
        <s v="SALE1239"/>
        <s v="SALE124"/>
        <s v="SALE1240"/>
        <s v="SALE1241"/>
        <s v="SALE1242"/>
        <s v="SALE1243"/>
        <s v="SALE1244"/>
        <s v="SALE1245"/>
        <s v="SALE1246"/>
        <s v="SALE1247"/>
        <s v="SALE1248"/>
        <s v="SALE1249"/>
        <s v="SALE125"/>
        <s v="SALE1250"/>
        <s v="SALE1251"/>
        <s v="SALE1252"/>
        <s v="SALE1253"/>
        <s v="SALE1254"/>
        <s v="SALE1255"/>
        <s v="SALE1256"/>
        <s v="SALE1257"/>
        <s v="SALE1258"/>
        <s v="SALE1259"/>
        <s v="SALE126"/>
        <s v="SALE1260"/>
        <s v="SALE1261"/>
        <s v="SALE1262"/>
        <s v="SALE1263"/>
        <s v="SALE1264"/>
        <s v="SALE1265"/>
        <s v="SALE1266"/>
        <s v="SALE1267"/>
        <s v="SALE1268"/>
        <s v="SALE1269"/>
        <s v="SALE127"/>
        <s v="SALE1270"/>
        <s v="SALE1271"/>
        <s v="SALE1272"/>
        <s v="SALE1273"/>
        <s v="SALE1274"/>
        <s v="SALE1275"/>
        <s v="SALE1276"/>
        <s v="SALE1277"/>
        <s v="SALE1278"/>
        <s v="SALE1279"/>
        <s v="SALE128"/>
        <s v="SALE1280"/>
        <s v="SALE1281"/>
        <s v="SALE1282"/>
        <s v="SALE1283"/>
        <s v="SALE1284"/>
        <s v="SALE1285"/>
        <s v="SALE1286"/>
        <s v="SALE1287"/>
        <s v="SALE1288"/>
        <s v="SALE1289"/>
        <s v="SALE129"/>
        <s v="SALE1290"/>
        <s v="SALE1291"/>
        <s v="SALE1292"/>
        <s v="SALE1293"/>
        <s v="SALE1294"/>
        <s v="SALE1295"/>
        <s v="SALE1296"/>
        <s v="SALE1297"/>
        <s v="SALE1298"/>
        <s v="SALE1299"/>
        <s v="SALE13"/>
        <s v="SALE130"/>
        <s v="SALE1300"/>
        <s v="SALE1301"/>
        <s v="SALE1302"/>
        <s v="SALE1303"/>
        <s v="SALE1304"/>
        <s v="SALE1305"/>
        <s v="SALE1306"/>
        <s v="SALE1307"/>
        <s v="SALE1308"/>
        <s v="SALE1309"/>
        <s v="SALE131"/>
        <s v="SALE1310"/>
        <s v="SALE1311"/>
        <s v="SALE1312"/>
        <s v="SALE1313"/>
        <s v="SALE1314"/>
        <s v="SALE1315"/>
        <s v="SALE1316"/>
        <s v="SALE1317"/>
        <s v="SALE1318"/>
        <s v="SALE1319"/>
        <s v="SALE132"/>
        <s v="SALE1320"/>
        <s v="SALE1321"/>
        <s v="SALE1322"/>
        <s v="SALE1323"/>
        <s v="SALE1324"/>
        <s v="SALE1325"/>
        <s v="SALE1326"/>
        <s v="SALE1327"/>
        <s v="SALE1328"/>
        <s v="SALE1329"/>
        <s v="SALE133"/>
        <s v="SALE1330"/>
        <s v="SALE1331"/>
        <s v="SALE1332"/>
        <s v="SALE1333"/>
        <s v="SALE1334"/>
        <s v="SALE1335"/>
        <s v="SALE1336"/>
        <s v="SALE1337"/>
        <s v="SALE1338"/>
        <s v="SALE1339"/>
        <s v="SALE134"/>
        <s v="SALE1340"/>
        <s v="SALE1341"/>
        <s v="SALE1342"/>
        <s v="SALE1343"/>
        <s v="SALE1344"/>
        <s v="SALE1345"/>
        <s v="SALE1346"/>
        <s v="SALE1347"/>
        <s v="SALE1348"/>
        <s v="SALE1349"/>
        <s v="SALE135"/>
        <s v="SALE1350"/>
        <s v="SALE1351"/>
        <s v="SALE1352"/>
        <s v="SALE1353"/>
        <s v="SALE1354"/>
        <s v="SALE1355"/>
        <s v="SALE1356"/>
        <s v="SALE1357"/>
        <s v="SALE1358"/>
        <s v="SALE1359"/>
        <s v="SALE136"/>
        <s v="SALE1360"/>
        <s v="SALE1361"/>
        <s v="SALE1362"/>
        <s v="SALE1363"/>
        <s v="SALE1364"/>
        <s v="SALE1365"/>
        <s v="SALE1366"/>
        <s v="SALE1367"/>
        <s v="SALE1368"/>
        <s v="SALE1369"/>
        <s v="SALE137"/>
        <s v="SALE1370"/>
        <s v="SALE1371"/>
        <s v="SALE1372"/>
        <s v="SALE1373"/>
        <s v="SALE1374"/>
        <s v="SALE1375"/>
        <s v="SALE1376"/>
        <s v="SALE1377"/>
        <s v="SALE1378"/>
        <s v="SALE1379"/>
        <s v="SALE138"/>
        <s v="SALE1380"/>
        <s v="SALE1381"/>
        <s v="SALE1382"/>
        <s v="SALE1383"/>
        <s v="SALE1384"/>
        <s v="SALE1385"/>
        <s v="SALE1386"/>
        <s v="SALE1387"/>
        <s v="SALE1388"/>
        <s v="SALE1389"/>
        <s v="SALE139"/>
        <s v="SALE1390"/>
        <s v="SALE1391"/>
        <s v="SALE1392"/>
        <s v="SALE1393"/>
        <s v="SALE1394"/>
        <s v="SALE1395"/>
        <s v="SALE1396"/>
        <s v="SALE1397"/>
        <s v="SALE1398"/>
        <s v="SALE1399"/>
        <s v="SALE14"/>
        <s v="SALE140"/>
        <s v="SALE1400"/>
        <s v="SALE1401"/>
        <s v="SALE1402"/>
        <s v="SALE1403"/>
        <s v="SALE1404"/>
        <s v="SALE1405"/>
        <s v="SALE1406"/>
        <s v="SALE1407"/>
        <s v="SALE1408"/>
        <s v="SALE1409"/>
        <s v="SALE141"/>
        <s v="SALE1410"/>
        <s v="SALE1411"/>
        <s v="SALE1412"/>
        <s v="SALE1413"/>
        <s v="SALE1414"/>
        <s v="SALE1415"/>
        <s v="SALE1416"/>
        <s v="SALE1417"/>
        <s v="SALE1418"/>
        <s v="SALE1419"/>
        <s v="SALE142"/>
        <s v="SALE1420"/>
        <s v="SALE1421"/>
        <s v="SALE1422"/>
        <s v="SALE1423"/>
        <s v="SALE1424"/>
        <s v="SALE1425"/>
        <s v="SALE1426"/>
        <s v="SALE1427"/>
        <s v="SALE1428"/>
        <s v="SALE1429"/>
        <s v="SALE143"/>
        <s v="SALE1430"/>
        <s v="SALE1431"/>
        <s v="SALE1432"/>
        <s v="SALE1433"/>
        <s v="SALE1434"/>
        <s v="SALE1435"/>
        <s v="SALE1436"/>
        <s v="SALE1437"/>
        <s v="SALE1438"/>
        <s v="SALE1439"/>
        <s v="SALE144"/>
        <s v="SALE1440"/>
        <s v="SALE1441"/>
        <s v="SALE1442"/>
        <s v="SALE1443"/>
        <s v="SALE1444"/>
        <s v="SALE1445"/>
        <s v="SALE1446"/>
        <s v="SALE1447"/>
        <s v="SALE1448"/>
        <s v="SALE1449"/>
        <s v="SALE145"/>
        <s v="SALE1450"/>
        <s v="SALE1451"/>
        <s v="SALE1452"/>
        <s v="SALE1453"/>
        <s v="SALE1454"/>
        <s v="SALE1455"/>
        <s v="SALE1456"/>
        <s v="SALE1457"/>
        <s v="SALE1458"/>
        <s v="SALE1459"/>
        <s v="SALE146"/>
        <s v="SALE1460"/>
        <s v="SALE1461"/>
        <s v="SALE1462"/>
        <s v="SALE1463"/>
        <s v="SALE1464"/>
        <s v="SALE1465"/>
        <s v="SALE1466"/>
        <s v="SALE1467"/>
        <s v="SALE1468"/>
        <s v="SALE1469"/>
        <s v="SALE147"/>
        <s v="SALE1470"/>
        <s v="SALE1471"/>
        <s v="SALE1472"/>
        <s v="SALE1473"/>
        <s v="SALE1474"/>
        <s v="SALE1475"/>
        <s v="SALE1476"/>
        <s v="SALE1477"/>
        <s v="SALE1478"/>
        <s v="SALE1479"/>
        <s v="SALE148"/>
        <s v="SALE1480"/>
        <s v="SALE1481"/>
        <s v="SALE1482"/>
        <s v="SALE1483"/>
        <s v="SALE1484"/>
        <s v="SALE1485"/>
        <s v="SALE1486"/>
        <s v="SALE1487"/>
        <s v="SALE1488"/>
        <s v="SALE1489"/>
        <s v="SALE149"/>
        <s v="SALE1490"/>
        <s v="SALE1491"/>
        <s v="SALE1492"/>
        <s v="SALE1493"/>
        <s v="SALE1494"/>
        <s v="SALE1495"/>
        <s v="SALE1496"/>
        <s v="SALE1497"/>
        <s v="SALE1498"/>
        <s v="SALE1499"/>
        <s v="SALE15"/>
        <s v="SALE150"/>
        <s v="SALE1500"/>
        <s v="SALE1501"/>
        <s v="SALE1502"/>
        <s v="SALE1503"/>
        <s v="SALE1504"/>
        <s v="SALE1505"/>
        <s v="SALE1506"/>
        <s v="SALE1507"/>
        <s v="SALE1508"/>
        <s v="SALE1509"/>
        <s v="SALE151"/>
        <s v="SALE1510"/>
        <s v="SALE1511"/>
        <s v="SALE1512"/>
        <s v="SALE1513"/>
        <s v="SALE1514"/>
        <s v="SALE1515"/>
        <s v="SALE1516"/>
        <s v="SALE1517"/>
        <s v="SALE1518"/>
        <s v="SALE1519"/>
        <s v="SALE152"/>
        <s v="SALE1520"/>
        <s v="SALE1521"/>
        <s v="SALE1522"/>
        <s v="SALE1523"/>
        <s v="SALE1524"/>
        <s v="SALE1525"/>
        <s v="SALE1526"/>
        <s v="SALE1527"/>
        <s v="SALE1528"/>
        <s v="SALE1529"/>
        <s v="SALE153"/>
        <s v="SALE1530"/>
        <s v="SALE1531"/>
        <s v="SALE1532"/>
        <s v="SALE1533"/>
        <s v="SALE1534"/>
        <s v="SALE1535"/>
        <s v="SALE1536"/>
        <s v="SALE1537"/>
        <s v="SALE1538"/>
        <s v="SALE1539"/>
        <s v="SALE154"/>
        <s v="SALE1540"/>
        <s v="SALE1541"/>
        <s v="SALE1542"/>
        <s v="SALE1543"/>
        <s v="SALE1544"/>
        <s v="SALE1545"/>
        <s v="SALE1546"/>
        <s v="SALE1547"/>
        <s v="SALE1548"/>
        <s v="SALE1549"/>
        <s v="SALE155"/>
        <s v="SALE1550"/>
        <s v="SALE1551"/>
        <s v="SALE1552"/>
        <s v="SALE1553"/>
        <s v="SALE1554"/>
        <s v="SALE1555"/>
        <s v="SALE1556"/>
        <s v="SALE1557"/>
        <s v="SALE1558"/>
        <s v="SALE1559"/>
        <s v="SALE156"/>
        <s v="SALE1560"/>
        <s v="SALE1561"/>
        <s v="SALE1562"/>
        <s v="SALE1563"/>
        <s v="SALE1564"/>
        <s v="SALE1565"/>
        <s v="SALE1566"/>
        <s v="SALE1567"/>
        <s v="SALE1568"/>
        <s v="SALE1569"/>
        <s v="SALE157"/>
        <s v="SALE1570"/>
        <s v="SALE1571"/>
        <s v="SALE1572"/>
        <s v="SALE1573"/>
        <s v="SALE1574"/>
        <s v="SALE1575"/>
        <s v="SALE1576"/>
        <s v="SALE1577"/>
        <s v="SALE1578"/>
        <s v="SALE1579"/>
        <s v="SALE158"/>
        <s v="SALE1580"/>
        <s v="SALE1581"/>
        <s v="SALE1582"/>
        <s v="SALE1583"/>
        <s v="SALE1584"/>
        <s v="SALE1585"/>
        <s v="SALE1586"/>
        <s v="SALE1587"/>
        <s v="SALE1588"/>
        <s v="SALE1589"/>
        <s v="SALE159"/>
        <s v="SALE1590"/>
        <s v="SALE1591"/>
        <s v="SALE1592"/>
        <s v="SALE1593"/>
        <s v="SALE1594"/>
        <s v="SALE1595"/>
        <s v="SALE1596"/>
        <s v="SALE1597"/>
        <s v="SALE1598"/>
        <s v="SALE1599"/>
        <s v="SALE16"/>
        <s v="SALE160"/>
        <s v="SALE1600"/>
        <s v="SALE1601"/>
        <s v="SALE1602"/>
        <s v="SALE1603"/>
        <s v="SALE1604"/>
        <s v="SALE1605"/>
        <s v="SALE1606"/>
        <s v="SALE1607"/>
        <s v="SALE1608"/>
        <s v="SALE1609"/>
        <s v="SALE161"/>
        <s v="SALE1610"/>
        <s v="SALE1611"/>
        <s v="SALE1612"/>
        <s v="SALE1613"/>
        <s v="SALE1614"/>
        <s v="SALE1615"/>
        <s v="SALE1616"/>
        <s v="SALE1617"/>
        <s v="SALE1618"/>
        <s v="SALE1619"/>
        <s v="SALE162"/>
        <s v="SALE1620"/>
        <s v="SALE1621"/>
        <s v="SALE1622"/>
        <s v="SALE1623"/>
        <s v="SALE1624"/>
        <s v="SALE1625"/>
        <s v="SALE1626"/>
        <s v="SALE1627"/>
        <s v="SALE1628"/>
        <s v="SALE1629"/>
        <s v="SALE163"/>
        <s v="SALE1630"/>
        <s v="SALE1631"/>
        <s v="SALE1632"/>
        <s v="SALE1633"/>
        <s v="SALE1634"/>
        <s v="SALE1635"/>
        <s v="SALE1636"/>
        <s v="SALE1637"/>
        <s v="SALE1638"/>
        <s v="SALE1639"/>
        <s v="SALE164"/>
        <s v="SALE1640"/>
        <s v="SALE1641"/>
        <s v="SALE1642"/>
        <s v="SALE1643"/>
        <s v="SALE1644"/>
        <s v="SALE1645"/>
        <s v="SALE1646"/>
        <s v="SALE1647"/>
        <s v="SALE1648"/>
        <s v="SALE1649"/>
        <s v="SALE165"/>
        <s v="SALE1650"/>
        <s v="SALE1651"/>
        <s v="SALE1652"/>
        <s v="SALE1653"/>
        <s v="SALE1654"/>
        <s v="SALE1655"/>
        <s v="SALE1656"/>
        <s v="SALE1657"/>
        <s v="SALE1658"/>
        <s v="SALE1659"/>
        <s v="SALE166"/>
        <s v="SALE1660"/>
        <s v="SALE1661"/>
        <s v="SALE1662"/>
        <s v="SALE1663"/>
        <s v="SALE1664"/>
        <s v="SALE1665"/>
        <s v="SALE1666"/>
        <s v="SALE1667"/>
        <s v="SALE1668"/>
        <s v="SALE1669"/>
        <s v="SALE167"/>
        <s v="SALE1670"/>
        <s v="SALE1671"/>
        <s v="SALE1672"/>
        <s v="SALE1673"/>
        <s v="SALE1674"/>
        <s v="SALE1675"/>
        <s v="SALE1676"/>
        <s v="SALE1677"/>
        <s v="SALE1678"/>
        <s v="SALE1679"/>
        <s v="SALE168"/>
        <s v="SALE1680"/>
        <s v="SALE1681"/>
        <s v="SALE1682"/>
        <s v="SALE1683"/>
        <s v="SALE1684"/>
        <s v="SALE1685"/>
        <s v="SALE1686"/>
        <s v="SALE1687"/>
        <s v="SALE1688"/>
        <s v="SALE1689"/>
        <s v="SALE169"/>
        <s v="SALE1690"/>
        <s v="SALE1691"/>
        <s v="SALE1692"/>
        <s v="SALE1693"/>
        <s v="SALE1694"/>
        <s v="SALE1695"/>
        <s v="SALE1696"/>
        <s v="SALE1697"/>
        <s v="SALE1698"/>
        <s v="SALE1699"/>
        <s v="SALE17"/>
        <s v="SALE170"/>
        <s v="SALE1700"/>
        <s v="SALE1701"/>
        <s v="SALE1702"/>
        <s v="SALE1703"/>
        <s v="SALE1704"/>
        <s v="SALE1705"/>
        <s v="SALE1706"/>
        <s v="SALE1707"/>
        <s v="SALE1708"/>
        <s v="SALE1709"/>
        <s v="SALE171"/>
        <s v="SALE1710"/>
        <s v="SALE1711"/>
        <s v="SALE1712"/>
        <s v="SALE1713"/>
        <s v="SALE1714"/>
        <s v="SALE1715"/>
        <s v="SALE1716"/>
        <s v="SALE1717"/>
        <s v="SALE1718"/>
        <s v="SALE1719"/>
        <s v="SALE172"/>
        <s v="SALE1720"/>
        <s v="SALE1721"/>
        <s v="SALE1722"/>
        <s v="SALE1723"/>
        <s v="SALE1724"/>
        <s v="SALE1725"/>
        <s v="SALE1726"/>
        <s v="SALE1727"/>
        <s v="SALE1728"/>
        <s v="SALE1729"/>
        <s v="SALE173"/>
        <s v="SALE1730"/>
        <s v="SALE1731"/>
        <s v="SALE1732"/>
        <s v="SALE1733"/>
        <s v="SALE1734"/>
        <s v="SALE1735"/>
        <s v="SALE1736"/>
        <s v="SALE1737"/>
        <s v="SALE1738"/>
        <s v="SALE1739"/>
        <s v="SALE174"/>
        <s v="SALE1740"/>
        <s v="SALE1741"/>
        <s v="SALE1742"/>
        <s v="SALE1743"/>
        <s v="SALE1744"/>
        <s v="SALE1745"/>
        <s v="SALE1746"/>
        <s v="SALE1747"/>
        <s v="SALE1748"/>
        <s v="SALE1749"/>
        <s v="SALE175"/>
        <s v="SALE1750"/>
        <s v="SALE1751"/>
        <s v="SALE1752"/>
        <s v="SALE1753"/>
        <s v="SALE1754"/>
        <s v="SALE1755"/>
        <s v="SALE1756"/>
        <s v="SALE1757"/>
        <s v="SALE1758"/>
        <s v="SALE1759"/>
        <s v="SALE176"/>
        <s v="SALE1760"/>
        <s v="SALE1761"/>
        <s v="SALE1762"/>
        <s v="SALE1763"/>
        <s v="SALE1764"/>
        <s v="SALE1765"/>
        <s v="SALE1766"/>
        <s v="SALE1767"/>
        <s v="SALE1768"/>
        <s v="SALE1769"/>
        <s v="SALE177"/>
        <s v="SALE1770"/>
        <s v="SALE1771"/>
        <s v="SALE1772"/>
        <s v="SALE1773"/>
        <s v="SALE1774"/>
        <s v="SALE1775"/>
        <s v="SALE1776"/>
        <s v="SALE1777"/>
        <s v="SALE1778"/>
        <s v="SALE1779"/>
        <s v="SALE178"/>
        <s v="SALE1780"/>
        <s v="SALE1781"/>
        <s v="SALE1782"/>
        <s v="SALE1783"/>
        <s v="SALE1784"/>
        <s v="SALE1785"/>
        <s v="SALE1786"/>
        <s v="SALE1787"/>
        <s v="SALE1788"/>
        <s v="SALE1789"/>
        <s v="SALE179"/>
        <s v="SALE1790"/>
        <s v="SALE1791"/>
        <s v="SALE1792"/>
        <s v="SALE1793"/>
        <s v="SALE1794"/>
        <s v="SALE1795"/>
        <s v="SALE1796"/>
        <s v="SALE1797"/>
        <s v="SALE1798"/>
        <s v="SALE1799"/>
        <s v="SALE18"/>
        <s v="SALE180"/>
        <s v="SALE1800"/>
        <s v="SALE1801"/>
        <s v="SALE1802"/>
        <s v="SALE1803"/>
        <s v="SALE1804"/>
        <s v="SALE1805"/>
        <s v="SALE1806"/>
        <s v="SALE1807"/>
        <s v="SALE1808"/>
        <s v="SALE1809"/>
        <s v="SALE181"/>
        <s v="SALE1810"/>
        <s v="SALE1811"/>
        <s v="SALE1812"/>
        <s v="SALE1813"/>
        <s v="SALE1814"/>
        <s v="SALE1815"/>
        <s v="SALE1816"/>
        <s v="SALE1817"/>
        <s v="SALE1818"/>
        <s v="SALE1819"/>
        <s v="SALE182"/>
        <s v="SALE1820"/>
        <s v="SALE1821"/>
        <s v="SALE1822"/>
        <s v="SALE1823"/>
        <s v="SALE1824"/>
        <s v="SALE1825"/>
        <s v="SALE1826"/>
        <s v="SALE1827"/>
        <s v="SALE1828"/>
        <s v="SALE1829"/>
        <s v="SALE183"/>
        <s v="SALE1830"/>
        <s v="SALE1831"/>
        <s v="SALE1832"/>
        <s v="SALE1833"/>
        <s v="SALE1834"/>
        <s v="SALE1835"/>
        <s v="SALE1836"/>
        <s v="SALE1837"/>
        <s v="SALE1838"/>
        <s v="SALE1839"/>
        <s v="SALE184"/>
        <s v="SALE1840"/>
        <s v="SALE1841"/>
        <s v="SALE1842"/>
        <s v="SALE1843"/>
        <s v="SALE1844"/>
        <s v="SALE1845"/>
        <s v="SALE1846"/>
        <s v="SALE1847"/>
        <s v="SALE1848"/>
        <s v="SALE1849"/>
        <s v="SALE185"/>
        <s v="SALE1850"/>
        <s v="SALE1851"/>
        <s v="SALE1852"/>
        <s v="SALE1853"/>
        <s v="SALE1854"/>
        <s v="SALE1855"/>
        <s v="SALE1856"/>
        <s v="SALE1857"/>
        <s v="SALE1858"/>
        <s v="SALE1859"/>
        <s v="SALE186"/>
        <s v="SALE1860"/>
        <s v="SALE1861"/>
        <s v="SALE1862"/>
        <s v="SALE1863"/>
        <s v="SALE1864"/>
        <s v="SALE1865"/>
        <s v="SALE1866"/>
        <s v="SALE1867"/>
        <s v="SALE1868"/>
        <s v="SALE1869"/>
        <s v="SALE187"/>
        <s v="SALE1870"/>
        <s v="SALE1871"/>
        <s v="SALE1872"/>
        <s v="SALE1873"/>
        <s v="SALE1874"/>
        <s v="SALE1875"/>
        <s v="SALE1876"/>
        <s v="SALE1877"/>
        <s v="SALE1878"/>
        <s v="SALE1879"/>
        <s v="SALE188"/>
        <s v="SALE1880"/>
        <s v="SALE1881"/>
        <s v="SALE1882"/>
        <s v="SALE1883"/>
        <s v="SALE1884"/>
        <s v="SALE1885"/>
        <s v="SALE1886"/>
        <s v="SALE1887"/>
        <s v="SALE1888"/>
        <s v="SALE1889"/>
        <s v="SALE189"/>
        <s v="SALE1890"/>
        <s v="SALE1891"/>
        <s v="SALE1892"/>
        <s v="SALE1893"/>
        <s v="SALE1894"/>
        <s v="SALE1895"/>
        <s v="SALE1896"/>
        <s v="SALE1897"/>
        <s v="SALE1898"/>
        <s v="SALE1899"/>
        <s v="SALE19"/>
        <s v="SALE190"/>
        <s v="SALE1900"/>
        <s v="SALE1901"/>
        <s v="SALE1902"/>
        <s v="SALE1903"/>
        <s v="SALE1904"/>
        <s v="SALE1905"/>
        <s v="SALE1906"/>
        <s v="SALE1907"/>
        <s v="SALE1908"/>
        <s v="SALE1909"/>
        <s v="SALE191"/>
        <s v="SALE1910"/>
        <s v="SALE1911"/>
        <s v="SALE1912"/>
        <s v="SALE1913"/>
        <s v="SALE1914"/>
        <s v="SALE1915"/>
        <s v="SALE1916"/>
        <s v="SALE1917"/>
        <s v="SALE1918"/>
        <s v="SALE1919"/>
        <s v="SALE192"/>
        <s v="SALE1920"/>
        <s v="SALE1921"/>
        <s v="SALE1922"/>
        <s v="SALE1923"/>
        <s v="SALE1924"/>
        <s v="SALE1925"/>
        <s v="SALE1926"/>
        <s v="SALE1927"/>
        <s v="SALE1928"/>
        <s v="SALE1929"/>
        <s v="SALE193"/>
        <s v="SALE1930"/>
        <s v="SALE1931"/>
        <s v="SALE1932"/>
        <s v="SALE1933"/>
        <s v="SALE1934"/>
        <s v="SALE1935"/>
        <s v="SALE1936"/>
        <s v="SALE1937"/>
        <s v="SALE1938"/>
        <s v="SALE1939"/>
        <s v="SALE194"/>
        <s v="SALE1940"/>
        <s v="SALE1941"/>
        <s v="SALE1942"/>
        <s v="SALE1943"/>
        <s v="SALE1944"/>
        <s v="SALE1945"/>
        <s v="SALE1946"/>
        <s v="SALE1947"/>
        <s v="SALE1948"/>
        <s v="SALE1949"/>
        <s v="SALE195"/>
        <s v="SALE1950"/>
        <s v="SALE1951"/>
        <s v="SALE1952"/>
        <s v="SALE1953"/>
        <s v="SALE1954"/>
        <s v="SALE1955"/>
        <s v="SALE1956"/>
        <s v="SALE1957"/>
        <s v="SALE1958"/>
        <s v="SALE1959"/>
        <s v="SALE196"/>
        <s v="SALE1960"/>
        <s v="SALE1961"/>
        <s v="SALE1962"/>
        <s v="SALE1963"/>
        <s v="SALE1964"/>
        <s v="SALE1965"/>
        <s v="SALE1966"/>
        <s v="SALE1967"/>
        <s v="SALE1968"/>
        <s v="SALE1969"/>
        <s v="SALE197"/>
        <s v="SALE1970"/>
        <s v="SALE1971"/>
        <s v="SALE1972"/>
        <s v="SALE1973"/>
        <s v="SALE1974"/>
        <s v="SALE1975"/>
        <s v="SALE1976"/>
        <s v="SALE1977"/>
        <s v="SALE1978"/>
        <s v="SALE1979"/>
        <s v="SALE198"/>
        <s v="SALE1980"/>
        <s v="SALE1981"/>
        <s v="SALE1982"/>
        <s v="SALE1983"/>
        <s v="SALE1984"/>
        <s v="SALE1985"/>
        <s v="SALE1986"/>
        <s v="SALE1987"/>
        <s v="SALE1988"/>
        <s v="SALE1989"/>
        <s v="SALE199"/>
        <s v="SALE1990"/>
        <s v="SALE1991"/>
        <s v="SALE1992"/>
        <s v="SALE1993"/>
        <s v="SALE1994"/>
        <s v="SALE1995"/>
        <s v="SALE1996"/>
        <s v="SALE1997"/>
        <s v="SALE1998"/>
        <s v="SALE1999"/>
        <s v="SALE2"/>
        <s v="SALE20"/>
        <s v="SALE200"/>
        <s v="SALE201"/>
        <s v="SALE202"/>
        <s v="SALE203"/>
        <s v="SALE204"/>
        <s v="SALE205"/>
        <s v="SALE206"/>
        <s v="SALE207"/>
        <s v="SALE208"/>
        <s v="SALE209"/>
        <s v="SALE21"/>
        <s v="SALE210"/>
        <s v="SALE211"/>
        <s v="SALE212"/>
        <s v="SALE213"/>
        <s v="SALE214"/>
        <s v="SALE215"/>
        <s v="SALE216"/>
        <s v="SALE217"/>
        <s v="SALE218"/>
        <s v="SALE219"/>
        <s v="SALE22"/>
        <s v="SALE220"/>
        <s v="SALE221"/>
        <s v="SALE222"/>
        <s v="SALE223"/>
        <s v="SALE224"/>
        <s v="SALE225"/>
        <s v="SALE226"/>
        <s v="SALE227"/>
        <s v="SALE228"/>
        <s v="SALE229"/>
        <s v="SALE23"/>
        <s v="SALE230"/>
        <s v="SALE231"/>
        <s v="SALE232"/>
        <s v="SALE233"/>
        <s v="SALE234"/>
        <s v="SALE235"/>
        <s v="SALE236"/>
        <s v="SALE237"/>
        <s v="SALE238"/>
        <s v="SALE239"/>
        <s v="SALE24"/>
        <s v="SALE240"/>
        <s v="SALE241"/>
        <s v="SALE242"/>
        <s v="SALE243"/>
        <s v="SALE244"/>
        <s v="SALE245"/>
        <s v="SALE246"/>
        <s v="SALE247"/>
        <s v="SALE248"/>
        <s v="SALE249"/>
        <s v="SALE25"/>
        <s v="SALE250"/>
        <s v="SALE251"/>
        <s v="SALE252"/>
        <s v="SALE253"/>
        <s v="SALE254"/>
        <s v="SALE255"/>
        <s v="SALE256"/>
        <s v="SALE257"/>
        <s v="SALE258"/>
        <s v="SALE259"/>
        <s v="SALE26"/>
        <s v="SALE260"/>
        <s v="SALE261"/>
        <s v="SALE262"/>
        <s v="SALE263"/>
        <s v="SALE264"/>
        <s v="SALE265"/>
        <s v="SALE266"/>
        <s v="SALE267"/>
        <s v="SALE268"/>
        <s v="SALE269"/>
        <s v="SALE27"/>
        <s v="SALE270"/>
        <s v="SALE271"/>
        <s v="SALE272"/>
        <s v="SALE273"/>
        <s v="SALE274"/>
        <s v="SALE275"/>
        <s v="SALE276"/>
        <s v="SALE277"/>
        <s v="SALE278"/>
        <s v="SALE279"/>
        <s v="SALE28"/>
        <s v="SALE280"/>
        <s v="SALE281"/>
        <s v="SALE282"/>
        <s v="SALE283"/>
        <s v="SALE284"/>
        <s v="SALE285"/>
        <s v="SALE286"/>
        <s v="SALE287"/>
        <s v="SALE288"/>
        <s v="SALE289"/>
        <s v="SALE29"/>
        <s v="SALE290"/>
        <s v="SALE291"/>
        <s v="SALE292"/>
        <s v="SALE293"/>
        <s v="SALE294"/>
        <s v="SALE295"/>
        <s v="SALE296"/>
        <s v="SALE297"/>
        <s v="SALE298"/>
        <s v="SALE299"/>
        <s v="SALE3"/>
        <s v="SALE30"/>
        <s v="SALE300"/>
        <s v="SALE301"/>
        <s v="SALE302"/>
        <s v="SALE303"/>
        <s v="SALE304"/>
        <s v="SALE305"/>
        <s v="SALE306"/>
        <s v="SALE307"/>
        <s v="SALE308"/>
        <s v="SALE309"/>
        <s v="SALE31"/>
        <s v="SALE310"/>
        <s v="SALE311"/>
        <s v="SALE312"/>
        <s v="SALE313"/>
        <s v="SALE314"/>
        <s v="SALE315"/>
        <s v="SALE316"/>
        <s v="SALE317"/>
        <s v="SALE318"/>
        <s v="SALE319"/>
        <s v="SALE32"/>
        <s v="SALE320"/>
        <s v="SALE321"/>
        <s v="SALE322"/>
        <s v="SALE323"/>
        <s v="SALE324"/>
        <s v="SALE325"/>
        <s v="SALE326"/>
        <s v="SALE327"/>
        <s v="SALE328"/>
        <s v="SALE329"/>
        <s v="SALE33"/>
        <s v="SALE330"/>
        <s v="SALE331"/>
        <s v="SALE332"/>
        <s v="SALE333"/>
        <s v="SALE334"/>
        <s v="SALE335"/>
        <s v="SALE336"/>
        <s v="SALE337"/>
        <s v="SALE338"/>
        <s v="SALE339"/>
        <s v="SALE34"/>
        <s v="SALE340"/>
        <s v="SALE341"/>
        <s v="SALE342"/>
        <s v="SALE343"/>
        <s v="SALE344"/>
        <s v="SALE345"/>
        <s v="SALE346"/>
        <s v="SALE347"/>
        <s v="SALE348"/>
        <s v="SALE349"/>
        <s v="SALE35"/>
        <s v="SALE350"/>
        <s v="SALE351"/>
        <s v="SALE352"/>
        <s v="SALE353"/>
        <s v="SALE354"/>
        <s v="SALE355"/>
        <s v="SALE356"/>
        <s v="SALE357"/>
        <s v="SALE358"/>
        <s v="SALE359"/>
        <s v="SALE36"/>
        <s v="SALE360"/>
        <s v="SALE361"/>
        <s v="SALE362"/>
        <s v="SALE363"/>
        <s v="SALE364"/>
        <s v="SALE365"/>
        <s v="SALE366"/>
        <s v="SALE367"/>
        <s v="SALE368"/>
        <s v="SALE369"/>
        <s v="SALE37"/>
        <s v="SALE370"/>
        <s v="SALE371"/>
        <s v="SALE372"/>
        <s v="SALE373"/>
        <s v="SALE374"/>
        <s v="SALE375"/>
        <s v="SALE376"/>
        <s v="SALE377"/>
        <s v="SALE378"/>
        <s v="SALE379"/>
        <s v="SALE38"/>
        <s v="SALE380"/>
        <s v="SALE381"/>
        <s v="SALE382"/>
        <s v="SALE383"/>
        <s v="SALE384"/>
        <s v="SALE385"/>
        <s v="SALE386"/>
        <s v="SALE387"/>
        <s v="SALE388"/>
        <s v="SALE389"/>
        <s v="SALE39"/>
        <s v="SALE390"/>
        <s v="SALE391"/>
        <s v="SALE392"/>
        <s v="SALE393"/>
        <s v="SALE394"/>
        <s v="SALE395"/>
        <s v="SALE396"/>
        <s v="SALE397"/>
        <s v="SALE398"/>
        <s v="SALE399"/>
        <s v="SALE4"/>
        <s v="SALE40"/>
        <s v="SALE400"/>
        <s v="SALE401"/>
        <s v="SALE402"/>
        <s v="SALE403"/>
        <s v="SALE404"/>
        <s v="SALE405"/>
        <s v="SALE406"/>
        <s v="SALE407"/>
        <s v="SALE408"/>
        <s v="SALE409"/>
        <s v="SALE41"/>
        <s v="SALE410"/>
        <s v="SALE411"/>
        <s v="SALE412"/>
        <s v="SALE413"/>
        <s v="SALE414"/>
        <s v="SALE415"/>
        <s v="SALE416"/>
        <s v="SALE417"/>
        <s v="SALE418"/>
        <s v="SALE419"/>
        <s v="SALE42"/>
        <s v="SALE420"/>
        <s v="SALE421"/>
        <s v="SALE422"/>
        <s v="SALE423"/>
        <s v="SALE424"/>
        <s v="SALE425"/>
        <s v="SALE426"/>
        <s v="SALE427"/>
        <s v="SALE428"/>
        <s v="SALE429"/>
        <s v="SALE43"/>
        <s v="SALE430"/>
        <s v="SALE431"/>
        <s v="SALE432"/>
        <s v="SALE433"/>
        <s v="SALE434"/>
        <s v="SALE435"/>
        <s v="SALE436"/>
        <s v="SALE437"/>
        <s v="SALE438"/>
        <s v="SALE439"/>
        <s v="SALE44"/>
        <s v="SALE440"/>
        <s v="SALE441"/>
        <s v="SALE442"/>
        <s v="SALE443"/>
        <s v="SALE444"/>
        <s v="SALE445"/>
        <s v="SALE446"/>
        <s v="SALE447"/>
        <s v="SALE448"/>
        <s v="SALE449"/>
        <s v="SALE45"/>
        <s v="SALE450"/>
        <s v="SALE451"/>
        <s v="SALE452"/>
        <s v="SALE453"/>
        <s v="SALE454"/>
        <s v="SALE455"/>
        <s v="SALE456"/>
        <s v="SALE457"/>
        <s v="SALE458"/>
        <s v="SALE459"/>
        <s v="SALE46"/>
        <s v="SALE460"/>
        <s v="SALE461"/>
        <s v="SALE462"/>
        <s v="SALE463"/>
        <s v="SALE464"/>
        <s v="SALE465"/>
        <s v="SALE466"/>
        <s v="SALE467"/>
        <s v="SALE468"/>
        <s v="SALE469"/>
        <s v="SALE47"/>
        <s v="SALE470"/>
        <s v="SALE471"/>
        <s v="SALE472"/>
        <s v="SALE473"/>
        <s v="SALE474"/>
        <s v="SALE475"/>
        <s v="SALE476"/>
        <s v="SALE477"/>
        <s v="SALE478"/>
        <s v="SALE479"/>
        <s v="SALE48"/>
        <s v="SALE480"/>
        <s v="SALE481"/>
        <s v="SALE482"/>
        <s v="SALE483"/>
        <s v="SALE484"/>
        <s v="SALE485"/>
        <s v="SALE486"/>
        <s v="SALE487"/>
        <s v="SALE488"/>
        <s v="SALE489"/>
        <s v="SALE49"/>
        <s v="SALE490"/>
        <s v="SALE491"/>
        <s v="SALE492"/>
        <s v="SALE493"/>
        <s v="SALE494"/>
        <s v="SALE495"/>
        <s v="SALE496"/>
        <s v="SALE497"/>
        <s v="SALE498"/>
        <s v="SALE499"/>
        <s v="SALE5"/>
        <s v="SALE50"/>
        <s v="SALE500"/>
        <s v="SALE501"/>
        <s v="SALE502"/>
        <s v="SALE503"/>
        <s v="SALE504"/>
        <s v="SALE505"/>
        <s v="SALE506"/>
        <s v="SALE507"/>
        <s v="SALE508"/>
        <s v="SALE509"/>
        <s v="SALE51"/>
        <s v="SALE510"/>
        <s v="SALE511"/>
        <s v="SALE512"/>
        <s v="SALE513"/>
        <s v="SALE514"/>
        <s v="SALE515"/>
        <s v="SALE516"/>
        <s v="SALE517"/>
        <s v="SALE518"/>
        <s v="SALE519"/>
        <s v="SALE52"/>
        <s v="SALE520"/>
        <s v="SALE521"/>
        <s v="SALE522"/>
        <s v="SALE523"/>
        <s v="SALE524"/>
        <s v="SALE525"/>
        <s v="SALE526"/>
        <s v="SALE527"/>
        <s v="SALE528"/>
        <s v="SALE529"/>
        <s v="SALE53"/>
        <s v="SALE530"/>
        <s v="SALE531"/>
        <s v="SALE532"/>
        <s v="SALE533"/>
        <s v="SALE534"/>
        <s v="SALE535"/>
        <s v="SALE536"/>
        <s v="SALE537"/>
        <s v="SALE538"/>
        <s v="SALE539"/>
        <s v="SALE54"/>
        <s v="SALE540"/>
        <s v="SALE541"/>
        <s v="SALE542"/>
        <s v="SALE543"/>
        <s v="SALE544"/>
        <s v="SALE545"/>
        <s v="SALE546"/>
        <s v="SALE547"/>
        <s v="SALE548"/>
        <s v="SALE549"/>
        <s v="SALE55"/>
        <s v="SALE550"/>
        <s v="SALE551"/>
        <s v="SALE552"/>
        <s v="SALE553"/>
        <s v="SALE554"/>
        <s v="SALE555"/>
        <s v="SALE556"/>
        <s v="SALE557"/>
        <s v="SALE558"/>
        <s v="SALE559"/>
        <s v="SALE56"/>
        <s v="SALE560"/>
        <s v="SALE561"/>
        <s v="SALE562"/>
        <s v="SALE563"/>
        <s v="SALE564"/>
        <s v="SALE565"/>
        <s v="SALE566"/>
        <s v="SALE567"/>
        <s v="SALE568"/>
        <s v="SALE569"/>
        <s v="SALE57"/>
        <s v="SALE570"/>
        <s v="SALE571"/>
        <s v="SALE572"/>
        <s v="SALE573"/>
        <s v="SALE574"/>
        <s v="SALE575"/>
        <s v="SALE576"/>
        <s v="SALE577"/>
        <s v="SALE578"/>
        <s v="SALE579"/>
        <s v="SALE58"/>
        <s v="SALE580"/>
        <s v="SALE581"/>
        <s v="SALE582"/>
        <s v="SALE583"/>
        <s v="SALE584"/>
        <s v="SALE585"/>
        <s v="SALE586"/>
        <s v="SALE587"/>
        <s v="SALE588"/>
        <s v="SALE589"/>
        <s v="SALE59"/>
        <s v="SALE590"/>
        <s v="SALE591"/>
        <s v="SALE592"/>
        <s v="SALE593"/>
        <s v="SALE594"/>
        <s v="SALE595"/>
        <s v="SALE596"/>
        <s v="SALE597"/>
        <s v="SALE598"/>
        <s v="SALE599"/>
        <s v="SALE6"/>
        <s v="SALE60"/>
        <s v="SALE600"/>
        <s v="SALE601"/>
        <s v="SALE602"/>
        <s v="SALE603"/>
        <s v="SALE604"/>
        <s v="SALE605"/>
        <s v="SALE606"/>
        <s v="SALE607"/>
        <s v="SALE608"/>
        <s v="SALE609"/>
        <s v="SALE61"/>
        <s v="SALE610"/>
        <s v="SALE611"/>
        <s v="SALE612"/>
        <s v="SALE613"/>
        <s v="SALE614"/>
        <s v="SALE615"/>
        <s v="SALE616"/>
        <s v="SALE617"/>
        <s v="SALE618"/>
        <s v="SALE619"/>
        <s v="SALE62"/>
        <s v="SALE620"/>
        <s v="SALE621"/>
        <s v="SALE622"/>
        <s v="SALE623"/>
        <s v="SALE624"/>
        <s v="SALE625"/>
        <s v="SALE626"/>
        <s v="SALE627"/>
        <s v="SALE628"/>
        <s v="SALE629"/>
        <s v="SALE63"/>
        <s v="SALE630"/>
        <s v="SALE631"/>
        <s v="SALE632"/>
        <s v="SALE633"/>
        <s v="SALE634"/>
        <s v="SALE635"/>
        <s v="SALE636"/>
        <s v="SALE637"/>
        <s v="SALE638"/>
        <s v="SALE639"/>
        <s v="SALE64"/>
        <s v="SALE640"/>
        <s v="SALE641"/>
        <s v="SALE642"/>
        <s v="SALE643"/>
        <s v="SALE644"/>
        <s v="SALE645"/>
        <s v="SALE646"/>
        <s v="SALE647"/>
        <s v="SALE648"/>
        <s v="SALE649"/>
        <s v="SALE65"/>
        <s v="SALE650"/>
        <s v="SALE651"/>
        <s v="SALE652"/>
        <s v="SALE653"/>
        <s v="SALE654"/>
        <s v="SALE655"/>
        <s v="SALE656"/>
        <s v="SALE657"/>
        <s v="SALE658"/>
        <s v="SALE659"/>
        <s v="SALE66"/>
        <s v="SALE660"/>
        <s v="SALE661"/>
        <s v="SALE662"/>
        <s v="SALE663"/>
        <s v="SALE664"/>
        <s v="SALE665"/>
        <s v="SALE666"/>
        <s v="SALE667"/>
        <s v="SALE668"/>
        <s v="SALE669"/>
        <s v="SALE67"/>
        <s v="SALE670"/>
        <s v="SALE671"/>
        <s v="SALE672"/>
        <s v="SALE673"/>
        <s v="SALE674"/>
        <s v="SALE675"/>
        <s v="SALE676"/>
        <s v="SALE677"/>
        <s v="SALE678"/>
        <s v="SALE679"/>
        <s v="SALE68"/>
        <s v="SALE680"/>
        <s v="SALE681"/>
        <s v="SALE682"/>
        <s v="SALE683"/>
        <s v="SALE684"/>
        <s v="SALE685"/>
        <s v="SALE686"/>
        <s v="SALE687"/>
        <s v="SALE688"/>
        <s v="SALE689"/>
        <s v="SALE69"/>
        <s v="SALE690"/>
        <s v="SALE691"/>
        <s v="SALE692"/>
        <s v="SALE693"/>
        <s v="SALE694"/>
        <s v="SALE695"/>
        <s v="SALE696"/>
        <s v="SALE697"/>
        <s v="SALE698"/>
        <s v="SALE699"/>
        <s v="SALE7"/>
        <s v="SALE70"/>
        <s v="SALE700"/>
        <s v="SALE701"/>
        <s v="SALE702"/>
        <s v="SALE703"/>
        <s v="SALE704"/>
        <s v="SALE705"/>
        <s v="SALE706"/>
        <s v="SALE707"/>
        <s v="SALE708"/>
        <s v="SALE709"/>
        <s v="SALE71"/>
        <s v="SALE710"/>
        <s v="SALE711"/>
        <s v="SALE712"/>
        <s v="SALE713"/>
        <s v="SALE714"/>
        <s v="SALE715"/>
        <s v="SALE716"/>
        <s v="SALE717"/>
        <s v="SALE718"/>
        <s v="SALE719"/>
        <s v="SALE72"/>
        <s v="SALE720"/>
        <s v="SALE721"/>
        <s v="SALE722"/>
        <s v="SALE723"/>
        <s v="SALE724"/>
        <s v="SALE725"/>
        <s v="SALE726"/>
        <s v="SALE727"/>
        <s v="SALE728"/>
        <s v="SALE729"/>
        <s v="SALE73"/>
        <s v="SALE730"/>
        <s v="SALE731"/>
        <s v="SALE732"/>
        <s v="SALE733"/>
        <s v="SALE734"/>
        <s v="SALE735"/>
        <s v="SALE736"/>
        <s v="SALE737"/>
        <s v="SALE738"/>
        <s v="SALE739"/>
        <s v="SALE74"/>
        <s v="SALE740"/>
        <s v="SALE741"/>
        <s v="SALE742"/>
        <s v="SALE743"/>
        <s v="SALE744"/>
        <s v="SALE745"/>
        <s v="SALE746"/>
        <s v="SALE747"/>
        <s v="SALE748"/>
        <s v="SALE749"/>
        <s v="SALE75"/>
        <s v="SALE750"/>
        <s v="SALE751"/>
        <s v="SALE752"/>
        <s v="SALE753"/>
        <s v="SALE754"/>
        <s v="SALE755"/>
        <s v="SALE756"/>
        <s v="SALE757"/>
        <s v="SALE758"/>
        <s v="SALE759"/>
        <s v="SALE76"/>
        <s v="SALE760"/>
        <s v="SALE761"/>
        <s v="SALE762"/>
        <s v="SALE763"/>
        <s v="SALE764"/>
        <s v="SALE765"/>
        <s v="SALE766"/>
        <s v="SALE767"/>
        <s v="SALE768"/>
        <s v="SALE769"/>
        <s v="SALE77"/>
        <s v="SALE770"/>
        <s v="SALE771"/>
        <s v="SALE772"/>
        <s v="SALE773"/>
        <s v="SALE774"/>
        <s v="SALE775"/>
        <s v="SALE776"/>
        <s v="SALE777"/>
        <s v="SALE778"/>
        <s v="SALE779"/>
        <s v="SALE78"/>
        <s v="SALE780"/>
        <s v="SALE781"/>
        <s v="SALE782"/>
        <s v="SALE783"/>
        <s v="SALE784"/>
        <s v="SALE785"/>
        <s v="SALE786"/>
        <s v="SALE787"/>
        <s v="SALE788"/>
        <s v="SALE789"/>
        <s v="SALE79"/>
        <s v="SALE790"/>
        <s v="SALE791"/>
        <s v="SALE792"/>
        <s v="SALE793"/>
        <s v="SALE794"/>
        <s v="SALE795"/>
        <s v="SALE796"/>
        <s v="SALE797"/>
        <s v="SALE798"/>
        <s v="SALE799"/>
        <s v="SALE8"/>
        <s v="SALE80"/>
        <s v="SALE800"/>
        <s v="SALE801"/>
        <s v="SALE802"/>
        <s v="SALE803"/>
        <s v="SALE804"/>
        <s v="SALE805"/>
        <s v="SALE806"/>
        <s v="SALE807"/>
        <s v="SALE808"/>
        <s v="SALE809"/>
        <s v="SALE81"/>
        <s v="SALE810"/>
        <s v="SALE811"/>
        <s v="SALE812"/>
        <s v="SALE813"/>
        <s v="SALE814"/>
        <s v="SALE815"/>
        <s v="SALE816"/>
        <s v="SALE817"/>
        <s v="SALE818"/>
        <s v="SALE819"/>
        <s v="SALE82"/>
        <s v="SALE820"/>
        <s v="SALE821"/>
        <s v="SALE822"/>
        <s v="SALE823"/>
        <s v="SALE824"/>
        <s v="SALE825"/>
        <s v="SALE826"/>
        <s v="SALE827"/>
        <s v="SALE828"/>
        <s v="SALE829"/>
        <s v="SALE83"/>
        <s v="SALE830"/>
        <s v="SALE831"/>
        <s v="SALE832"/>
        <s v="SALE833"/>
        <s v="SALE834"/>
        <s v="SALE835"/>
        <s v="SALE836"/>
        <s v="SALE837"/>
        <s v="SALE838"/>
        <s v="SALE839"/>
        <s v="SALE84"/>
        <s v="SALE840"/>
        <s v="SALE841"/>
        <s v="SALE842"/>
        <s v="SALE843"/>
        <s v="SALE844"/>
        <s v="SALE845"/>
        <s v="SALE846"/>
        <s v="SALE847"/>
        <s v="SALE848"/>
        <s v="SALE849"/>
        <s v="SALE85"/>
        <s v="SALE850"/>
        <s v="SALE851"/>
        <s v="SALE852"/>
        <s v="SALE853"/>
        <s v="SALE854"/>
        <s v="SALE855"/>
        <s v="SALE856"/>
        <s v="SALE857"/>
        <s v="SALE858"/>
        <s v="SALE859"/>
        <s v="SALE86"/>
        <s v="SALE860"/>
        <s v="SALE861"/>
        <s v="SALE862"/>
        <s v="SALE863"/>
        <s v="SALE864"/>
        <s v="SALE865"/>
        <s v="SALE866"/>
        <s v="SALE867"/>
        <s v="SALE868"/>
        <s v="SALE869"/>
        <s v="SALE87"/>
        <s v="SALE870"/>
        <s v="SALE871"/>
        <s v="SALE872"/>
        <s v="SALE873"/>
        <s v="SALE874"/>
        <s v="SALE875"/>
        <s v="SALE876"/>
        <s v="SALE877"/>
        <s v="SALE878"/>
        <s v="SALE879"/>
        <s v="SALE88"/>
        <s v="SALE880"/>
        <s v="SALE881"/>
        <s v="SALE882"/>
        <s v="SALE883"/>
        <s v="SALE884"/>
        <s v="SALE885"/>
        <s v="SALE886"/>
        <s v="SALE887"/>
        <s v="SALE888"/>
        <s v="SALE889"/>
        <s v="SALE89"/>
        <s v="SALE890"/>
        <s v="SALE891"/>
        <s v="SALE892"/>
        <s v="SALE893"/>
        <s v="SALE894"/>
        <s v="SALE895"/>
        <s v="SALE896"/>
        <s v="SALE897"/>
        <s v="SALE898"/>
        <s v="SALE899"/>
        <s v="SALE9"/>
        <s v="SALE90"/>
        <s v="SALE900"/>
        <s v="SALE901"/>
        <s v="SALE902"/>
        <s v="SALE903"/>
        <s v="SALE904"/>
        <s v="SALE905"/>
        <s v="SALE906"/>
        <s v="SALE907"/>
        <s v="SALE908"/>
        <s v="SALE909"/>
        <s v="SALE91"/>
        <s v="SALE910"/>
        <s v="SALE911"/>
        <s v="SALE912"/>
        <s v="SALE913"/>
        <s v="SALE914"/>
        <s v="SALE915"/>
        <s v="SALE916"/>
        <s v="SALE917"/>
        <s v="SALE918"/>
        <s v="SALE919"/>
        <s v="SALE92"/>
        <s v="SALE920"/>
        <s v="SALE921"/>
        <s v="SALE922"/>
        <s v="SALE923"/>
        <s v="SALE924"/>
        <s v="SALE925"/>
        <s v="SALE926"/>
        <s v="SALE927"/>
        <s v="SALE928"/>
        <s v="SALE929"/>
        <s v="SALE93"/>
        <s v="SALE930"/>
        <s v="SALE931"/>
        <s v="SALE932"/>
        <s v="SALE933"/>
        <s v="SALE934"/>
        <s v="SALE935"/>
        <s v="SALE936"/>
        <s v="SALE937"/>
        <s v="SALE938"/>
        <s v="SALE939"/>
        <s v="SALE94"/>
        <s v="SALE940"/>
        <s v="SALE941"/>
        <s v="SALE942"/>
        <s v="SALE943"/>
        <s v="SALE944"/>
        <s v="SALE945"/>
        <s v="SALE946"/>
        <s v="SALE947"/>
        <s v="SALE948"/>
        <s v="SALE949"/>
        <s v="SALE95"/>
        <s v="SALE950"/>
        <s v="SALE951"/>
        <s v="SALE952"/>
        <s v="SALE953"/>
        <s v="SALE954"/>
        <s v="SALE955"/>
        <s v="SALE956"/>
        <s v="SALE957"/>
        <s v="SALE958"/>
        <s v="SALE959"/>
        <s v="SALE96"/>
        <s v="SALE960"/>
        <s v="SALE961"/>
        <s v="SALE962"/>
        <s v="SALE963"/>
        <s v="SALE964"/>
        <s v="SALE965"/>
        <s v="SALE966"/>
        <s v="SALE967"/>
        <s v="SALE968"/>
        <s v="SALE969"/>
        <s v="SALE97"/>
        <s v="SALE970"/>
        <s v="SALE971"/>
        <s v="SALE972"/>
        <s v="SALE973"/>
        <s v="SALE974"/>
        <s v="SALE975"/>
        <s v="SALE976"/>
        <s v="SALE977"/>
        <s v="SALE978"/>
        <s v="SALE979"/>
        <s v="SALE98"/>
        <s v="SALE980"/>
        <s v="SALE981"/>
        <s v="SALE982"/>
        <s v="SALE983"/>
        <s v="SALE984"/>
        <s v="SALE985"/>
        <s v="SALE986"/>
        <s v="SALE987"/>
        <s v="SALE988"/>
        <s v="SALE989"/>
        <s v="SALE99"/>
        <s v="SALE990"/>
        <s v="SALE991"/>
        <s v="SALE992"/>
        <s v="SALE993"/>
        <s v="SALE994"/>
        <s v="SALE995"/>
        <s v="SALE996"/>
        <s v="SALE997"/>
        <s v="SALE998"/>
        <s v="SALE999"/>
      </sharedItems>
    </cacheField>
    <cacheField name="Customer_ID" numFmtId="0">
      <sharedItems>
        <s v="CUST1409"/>
        <s v="CUST1467"/>
        <s v="CUST1065"/>
        <s v="CUST1369"/>
        <s v="CUST1190"/>
        <s v="CUST1052"/>
        <s v="CUST1109"/>
        <s v="CUST1399"/>
        <s v="CUST1300"/>
        <s v="CUST1194"/>
        <s v="CUST1087"/>
        <s v="CUST1198"/>
        <s v="CUST1426"/>
        <s v="CUST1100"/>
        <s v="CUST1084"/>
        <s v="CUST1209"/>
        <s v="CUST1004"/>
        <s v="CUST1072"/>
        <s v="CUST1185"/>
        <s v="CUST1309"/>
        <s v="CUST1248"/>
        <s v="CUST1140"/>
        <s v="CUST1442"/>
        <s v="CUST1122"/>
        <s v="CUST1353"/>
        <s v="CUST1097"/>
        <s v="CUST1464"/>
        <s v="CUST1292"/>
        <s v="CUST1457"/>
        <s v="CUST1019"/>
        <s v="CUST1368"/>
        <s v="CUST1060"/>
        <s v="CUST1317"/>
        <s v="CUST1436"/>
        <s v="CUST1005"/>
        <s v="CUST1129"/>
        <s v="CUST1182"/>
        <s v="CUST1124"/>
        <s v="CUST1274"/>
        <s v="CUST1105"/>
        <s v="CUST1246"/>
        <s v="CUST1092"/>
        <s v="CUST1278"/>
        <s v="CUST1159"/>
        <s v="CUST1155"/>
        <s v="CUST1029"/>
        <s v="CUST1002"/>
        <s v="CUST1310"/>
        <s v="CUST1171"/>
        <s v="CUST1107"/>
        <s v="CUST1053"/>
        <s v="CUST1499"/>
        <s v="CUST1264"/>
        <s v="CUST1257"/>
        <s v="CUST1470"/>
        <s v="CUST1120"/>
        <s v="CUST1370"/>
        <s v="CUST1380"/>
        <s v="CUST1437"/>
        <s v="CUST1075"/>
        <s v="CUST1067"/>
        <s v="CUST1009"/>
        <s v="CUST1269"/>
        <s v="CUST1221"/>
        <s v="CUST1023"/>
        <s v="CUST1421"/>
        <s v="CUST1349"/>
        <s v="CUST1062"/>
        <s v="CUST1163"/>
        <s v="CUST1338"/>
        <s v="CUST1151"/>
        <s v="CUST1225"/>
        <s v="CUST1197"/>
        <s v="CUST1337"/>
        <s v="CUST1363"/>
        <s v="CUST1301"/>
        <s v="CUST1045"/>
        <s v="CUST1138"/>
        <s v="CUST1414"/>
        <s v="CUST1329"/>
        <s v="CUST1041"/>
        <s v="CUST1051"/>
        <s v="CUST1418"/>
        <s v="CUST1385"/>
        <s v="CUST1347"/>
        <s v="CUST1488"/>
        <s v="CUST1285"/>
        <s v="CUST1251"/>
        <s v="CUST1039"/>
        <s v="CUST1214"/>
        <s v="CUST1325"/>
        <s v="CUST1255"/>
        <s v="CUST1271"/>
        <s v="CUST1161"/>
        <s v="CUST1497"/>
        <s v="CUST1266"/>
        <s v="CUST1071"/>
        <s v="CUST1481"/>
        <s v="CUST1468"/>
        <s v="CUST1320"/>
        <s v="CUST1007"/>
        <s v="CUST1259"/>
        <s v="CUST1110"/>
        <s v="CUST1141"/>
        <s v="CUST1375"/>
        <s v="CUST1384"/>
        <s v="CUST1383"/>
        <s v="CUST1168"/>
        <s v="CUST1458"/>
        <s v="CUST1119"/>
        <s v="CUST1187"/>
        <s v="CUST1094"/>
        <s v="CUST1466"/>
        <s v="CUST1401"/>
        <s v="CUST1205"/>
        <s v="CUST1455"/>
        <s v="CUST1020"/>
        <s v="CUST1319"/>
        <s v="CUST1294"/>
        <s v="CUST1361"/>
        <s v="CUST1233"/>
        <s v="CUST1379"/>
        <s v="CUST1483"/>
        <s v="CUST1344"/>
        <s v="CUST1373"/>
        <s v="CUST1244"/>
        <s v="CUST1162"/>
        <s v="CUST1114"/>
        <s v="CUST1164"/>
        <s v="CUST1425"/>
        <s v="CUST1359"/>
        <s v="CUST1024"/>
        <s v="CUST1022"/>
        <s v="CUST1152"/>
        <s v="CUST1179"/>
        <s v="CUST1296"/>
        <s v="CUST1210"/>
        <s v="CUST1432"/>
        <s v="CUST1219"/>
        <s v="CUST1134"/>
        <s v="CUST1131"/>
        <s v="CUST1006"/>
        <s v="CUST1480"/>
        <s v="CUST1312"/>
        <s v="CUST1340"/>
        <s v="CUST1230"/>
        <s v="CUST1047"/>
        <s v="CUST1346"/>
        <s v="CUST1419"/>
        <s v="CUST1365"/>
        <s v="CUST1281"/>
        <s v="CUST1188"/>
        <s v="CUST1242"/>
        <s v="CUST1471"/>
        <s v="CUST1243"/>
        <s v="CUST1494"/>
        <s v="CUST1231"/>
        <s v="CUST1211"/>
        <s v="CUST1343"/>
        <s v="CUST1283"/>
        <s v="CUST1327"/>
        <s v="CUST1115"/>
        <s v="CUST1276"/>
        <s v="CUST1056"/>
        <s v="CUST1453"/>
        <s v="CUST1459"/>
        <s v="CUST1420"/>
        <s v="CUST1371"/>
        <s v="CUST1158"/>
        <s v="CUST1443"/>
        <s v="CUST1026"/>
        <s v="CUST1367"/>
        <s v="CUST1491"/>
        <s v="CUST1305"/>
        <s v="CUST1332"/>
        <s v="CUST1237"/>
        <s v="CUST1428"/>
        <s v="CUST1101"/>
        <s v="CUST1378"/>
        <s v="CUST1342"/>
        <s v="CUST1400"/>
        <s v="CUST1234"/>
        <s v="CUST1352"/>
        <s v="CUST1054"/>
        <s v="CUST1081"/>
        <s v="CUST1015"/>
        <s v="CUST1249"/>
        <s v="CUST1165"/>
        <s v="CUST1030"/>
        <s v="CUST1313"/>
        <s v="CUST1010"/>
        <s v="CUST1082"/>
        <s v="CUST1160"/>
        <s v="CUST1218"/>
        <s v="CUST1323"/>
        <s v="CUST1408"/>
        <s v="CUST1078"/>
        <s v="CUST1476"/>
        <s v="CUST1018"/>
        <s v="CUST1433"/>
        <s v="CUST1282"/>
        <s v="CUST1277"/>
        <s v="CUST1239"/>
        <s v="CUST1193"/>
        <s v="CUST1144"/>
        <s v="CUST1070"/>
        <s v="CUST1093"/>
        <s v="CUST1445"/>
        <s v="CUST1498"/>
        <s v="CUST1036"/>
        <s v="CUST1212"/>
        <s v="CUST1450"/>
        <s v="CUST1176"/>
        <s v="CUST1128"/>
        <s v="CUST1427"/>
        <s v="CUST1280"/>
        <s v="CUST1076"/>
        <s v="CUST1355"/>
        <s v="CUST1412"/>
        <s v="CUST1279"/>
        <s v="CUST1220"/>
        <s v="CUST1003"/>
        <s v="CUST1351"/>
        <s v="CUST1397"/>
        <s v="CUST1181"/>
        <s v="CUST1492"/>
        <s v="CUST1321"/>
        <s v="CUST1058"/>
        <s v="CUST1177"/>
        <s v="CUST1315"/>
        <s v="CUST1108"/>
        <s v="CUST1112"/>
        <s v="CUST1275"/>
        <s v="CUST1232"/>
        <s v="CUST1247"/>
        <s v="CUST1324"/>
        <s v="CUST1241"/>
        <s v="CUST1387"/>
        <s v="CUST1147"/>
        <s v="CUST1103"/>
        <s v="CUST1031"/>
        <s v="CUST1123"/>
        <s v="CUST1139"/>
        <s v="CUST1028"/>
        <s v="CUST1403"/>
        <s v="CUST1496"/>
        <s v="CUST1391"/>
        <s v="CUST1021"/>
        <s v="CUST1008"/>
        <s v="CUST1485"/>
        <s v="CUST1117"/>
        <s v="CUST1256"/>
        <s v="CUST1444"/>
        <s v="CUST1307"/>
        <s v="CUST1304"/>
        <s v="CUST1438"/>
        <s v="CUST1145"/>
        <s v="CUST1334"/>
        <s v="CUST1222"/>
        <s v="CUST1449"/>
        <s v="CUST1057"/>
        <s v="CUST1049"/>
        <s v="CUST1461"/>
        <s v="CUST1389"/>
        <s v="CUST1091"/>
        <s v="CUST1201"/>
        <s v="CUST1439"/>
        <s v="CUST1406"/>
        <s v="CUST1298"/>
        <s v="CUST1261"/>
        <s v="CUST1390"/>
        <s v="CUST1223"/>
        <s v="CUST1080"/>
        <s v="CUST1195"/>
        <s v="CUST1043"/>
        <s v="CUST1012"/>
        <s v="CUST1402"/>
        <s v="CUST1154"/>
        <s v="CUST1299"/>
        <s v="CUST1473"/>
        <s v="CUST1462"/>
        <s v="CUST1254"/>
        <s v="CUST1245"/>
        <s v="CUST1172"/>
        <s v="CUST1405"/>
        <s v="CUST1064"/>
        <s v="CUST1178"/>
        <s v="CUST1090"/>
        <s v="CUST1422"/>
        <s v="CUST1345"/>
        <s v="CUST1227"/>
        <s v="CUST1142"/>
        <s v="CUST1208"/>
        <s v="CUST1475"/>
        <s v="CUST1133"/>
        <s v="CUST1348"/>
        <s v="CUST1157"/>
        <s v="CUST1175"/>
        <s v="CUST1156"/>
        <s v="CUST1135"/>
        <s v="CUST1113"/>
        <s v="CUST1350"/>
        <s v="CUST1059"/>
        <s v="CUST1040"/>
        <s v="CUST1306"/>
        <s v="CUST1388"/>
        <s v="CUST1447"/>
        <s v="CUST1174"/>
        <s v="CUST1291"/>
        <s v="CUST1435"/>
        <s v="CUST1354"/>
        <s v="CUST1258"/>
        <s v="CUST1016"/>
        <s v="CUST1069"/>
        <s v="CUST1452"/>
        <s v="CUST1236"/>
        <s v="CUST1238"/>
        <s v="CUST1477"/>
        <s v="CUST1486"/>
        <s v="CUST1335"/>
        <s v="CUST1170"/>
        <s v="CUST1027"/>
        <s v="CUST1226"/>
        <s v="CUST1263"/>
        <s v="CUST1474"/>
        <s v="CUST1493"/>
        <s v="CUST1044"/>
        <s v="CUST1478"/>
        <s v="CUST1104"/>
        <s v="CUST1229"/>
        <s v="CUST1331"/>
        <s v="CUST1068"/>
        <s v="CUST1046"/>
        <s v="CUST1446"/>
        <s v="CUST1469"/>
        <s v="CUST1250"/>
        <s v="CUST1096"/>
        <s v="CUST1098"/>
        <s v="CUST1396"/>
        <s v="CUST1106"/>
        <s v="CUST1055"/>
        <s v="CUST1336"/>
        <s v="CUST1202"/>
        <s v="CUST1183"/>
        <s v="CUST1034"/>
        <s v="CUST1314"/>
        <s v="CUST1207"/>
        <s v="CUST1095"/>
        <s v="CUST1217"/>
        <s v="CUST1490"/>
        <s v="CUST1356"/>
        <s v="CUST1416"/>
        <s v="CUST1376"/>
        <s v="CUST1213"/>
        <s v="CUST1032"/>
        <s v="CUST1273"/>
        <s v="CUST1326"/>
        <s v="CUST1440"/>
        <s v="CUST1318"/>
        <s v="CUST1322"/>
        <s v="CUST1394"/>
        <s v="CUST1410"/>
        <s v="CUST1025"/>
        <s v="CUST1143"/>
        <s v="CUST1235"/>
        <s v="CUST1121"/>
        <s v="CUST1116"/>
        <s v="CUST1484"/>
        <s v="CUST1204"/>
        <s v="CUST1050"/>
        <s v="CUST1074"/>
        <s v="CUST1382"/>
        <s v="CUST1330"/>
        <s v="CUST1048"/>
        <s v="CUST1240"/>
        <s v="CUST1173"/>
        <s v="CUST1308"/>
        <s v="CUST1017"/>
        <s v="CUST1132"/>
        <s v="CUST1073"/>
        <s v="CUST1460"/>
        <s v="CUST1035"/>
        <s v="CUST1295"/>
        <s v="CUST1303"/>
        <s v="CUST1415"/>
        <s v="CUST1136"/>
        <s v="CUST1102"/>
        <s v="CUST1206"/>
        <s v="CUST1393"/>
        <s v="CUST1083"/>
        <s v="CUST1417"/>
        <s v="CUST1037"/>
        <s v="CUST1079"/>
        <s v="CUST1253"/>
        <s v="CUST1066"/>
        <s v="CUST1289"/>
        <s v="CUST1392"/>
        <s v="CUST1191"/>
        <s v="CUST1316"/>
        <s v="CUST1293"/>
        <s v="CUST1364"/>
        <s v="CUST1482"/>
        <s v="CUST1288"/>
        <s v="CUST1042"/>
        <s v="CUST1463"/>
        <s v="CUST1377"/>
        <s v="CUST1089"/>
        <s v="CUST1013"/>
        <s v="CUST1252"/>
        <s v="CUST1404"/>
        <s v="CUST1328"/>
        <s v="CUST1153"/>
        <s v="CUST1357"/>
        <s v="CUST1381"/>
        <s v="CUST1033"/>
        <s v="CUST1366"/>
        <s v="CUST1451"/>
        <s v="CUST1137"/>
        <s v="CUST1118"/>
        <s v="CUST1099"/>
        <s v="CUST1360"/>
        <s v="CUST1489"/>
        <s v="CUST1126"/>
        <s v="CUST1149"/>
        <s v="CUST1111"/>
        <s v="CUST1341"/>
        <s v="CUST1148"/>
        <s v="CUST1272"/>
        <s v="CUST1434"/>
        <s v="CUST1431"/>
        <s v="CUST1167"/>
        <s v="CUST1061"/>
        <s v="CUST1424"/>
        <s v="CUST1011"/>
        <s v="CUST1456"/>
        <s v="CUST1192"/>
        <s v="CUST1448"/>
        <s v="CUST1200"/>
        <s v="CUST1454"/>
        <s v="CUST1038"/>
        <s v="CUST1472"/>
        <s v="CUST1186"/>
        <s v="CUST1184"/>
        <s v="CUST1199"/>
        <s v="CUST1203"/>
        <s v="CUST1495"/>
        <s v="CUST1169"/>
        <s v="CUST1216"/>
        <s v="CUST1333"/>
        <s v="CUST1372"/>
        <s v="CUST1262"/>
        <s v="CUST1260"/>
        <s v="CUST1224"/>
        <s v="CUST1479"/>
        <s v="CUST1088"/>
        <s v="CUST1358"/>
        <s v="CUST1398"/>
        <s v="CUST1297"/>
        <s v="CUST1085"/>
        <s v="CUST1150"/>
        <s v="CUST1014"/>
        <s v="CUST1287"/>
        <s v="CUST1086"/>
        <s v="CUST1077"/>
        <s v="CUST1125"/>
        <s v="CUST1189"/>
        <s v="CUST1000"/>
        <s v="CUST1413"/>
        <s v="CUST1302"/>
        <s v="CUST1001"/>
        <s v="CUST1127"/>
        <s v="CUST1215"/>
        <s v="CUST1265"/>
        <s v="CUST1166"/>
        <s v="CUST1146"/>
        <s v="CUST1311"/>
        <s v="CUST1362"/>
        <s v="CUST1286"/>
        <s v="CUST1228"/>
        <s v="CUST1270"/>
        <s v="CUST1284"/>
        <s v="CUST1339"/>
        <s v="CUST1430"/>
        <s v="CUST1411"/>
        <s v="CUST1180"/>
        <s v="CUST1423"/>
        <s v="CUST1196"/>
        <s v="CUST1130"/>
        <s v="CUST1441"/>
        <s v="CUST1407"/>
        <s v="CUST1465"/>
        <s v="CUST1268"/>
      </sharedItems>
    </cacheField>
    <cacheField name="Customer_name" numFmtId="0">
      <sharedItems>
        <s v="Sarah Smith"/>
        <s v="Michael Foley"/>
        <s v="Michael Thomas"/>
        <s v="Gregory Allen"/>
        <s v="Christopher Stewart"/>
        <s v="Debra Liu"/>
        <s v="Amy Walker"/>
        <s v="John Donaldson"/>
        <s v="Matthew Avery"/>
        <s v="Ashley Ferguson"/>
        <s v="Melissa Duffy Md"/>
        <s v="Wanda Snyder"/>
        <s v="Jeanette Nichols"/>
        <s v="Diane Watson"/>
        <s v="Christy Hoffman"/>
        <s v="Joan Johnson"/>
        <s v="Caroline Collins"/>
        <s v="Tonya Burch"/>
        <s v="Brent Rivas"/>
        <s v="Stacy Collins"/>
        <s v="Nicholas Webb"/>
        <s v="Patty Francis"/>
        <s v="Kelli Smith"/>
        <s v="Michael Chang"/>
        <s v="Laura Green"/>
        <s v="David Cobb"/>
        <s v="David Pierce"/>
        <s v="Ricardo Jones"/>
        <s v="Christina Robertson"/>
        <s v="Michael Torres"/>
        <s v="Miranda King"/>
        <s v="Dr. David Smith"/>
        <s v="Tiffany Williams"/>
        <s v="Sharon Simpson"/>
        <s v="Christine Vaughn"/>
        <s v="Jessica Mitchell"/>
        <s v="Melissa Hamilton"/>
        <s v="Donald Lee"/>
        <s v="Sarah Lane"/>
        <s v="Lance Baker"/>
        <s v="Mary Russell"/>
        <s v="Robert Jackson"/>
        <s v="Stephen Fowler"/>
        <s v="Brian Choi"/>
        <s v="Curtis Haynes"/>
        <s v="David Arnold"/>
        <s v="Dr. Benjamin Price"/>
        <s v="Kara Dodson"/>
        <s v="Amy Wilson"/>
        <s v="Erica Carney"/>
        <s v="Sharon Brown"/>
        <s v="Philip Pennington"/>
        <s v="Matthew Payne"/>
        <s v="Christopher David"/>
        <s v="Manuel Fisher"/>
        <s v="Jacob Hopkins"/>
        <s v="James Holloway Jr."/>
        <s v="Shelley Ponce"/>
        <s v="Melinda Rivera"/>
        <s v="Rhonda Morales"/>
        <s v="Amber Mcclain"/>
        <s v="Ms. Maria Leach"/>
        <s v="Tyrone Olson"/>
        <s v="Lisa Young"/>
        <s v="Jonathan Steele"/>
        <s v="Holly Robinson"/>
        <s v="Heather Valenzuela"/>
        <s v="James Bean"/>
        <s v="Joseph Jones"/>
        <s v="Jasmine Snyder"/>
        <s v="Michael Davies"/>
        <s v="Elizabeth Stanley"/>
        <s v="Andrea Jacobs"/>
        <s v="Carol Lewis"/>
        <s v="Elizabeth Smith"/>
        <s v="Ryan Kane"/>
        <s v="Jordan Jackson Dds"/>
        <s v="Sean Roth"/>
        <s v="Melissa Valentine"/>
        <s v="Victor Mcintosh"/>
        <s v="James Gibbs"/>
        <s v="Sarah Rodgers"/>
        <s v="Luke Parks"/>
        <s v="Tammy Brennan"/>
        <s v="Justin Mason Dds"/>
        <s v="Zachary Andrade"/>
        <s v="Donna Guerra"/>
        <s v="Tyler Garner"/>
        <s v="Tonya Reynolds"/>
        <s v="Eric Todd"/>
        <s v="Andrew Smith"/>
        <s v="Damon Perez"/>
        <s v="Daisy Johnson Dds"/>
        <s v="Cynthia Morris"/>
        <s v="Sarah Marsh"/>
        <s v="Cynthia Payne"/>
        <s v="Andrea Perez"/>
        <s v="Bryan Tran"/>
        <s v="Gregory Curtis"/>
        <s v="Jessica Gonzalez"/>
        <s v="Daniel Boyd"/>
        <s v="Beth Allen"/>
        <s v="Ashley Griffin"/>
        <s v="Cristian Wright"/>
        <s v="Joshua Bell"/>
        <s v="Andrew Mason"/>
        <s v="Kristine Higgins"/>
        <s v="Daniel Contreras"/>
        <s v="Kelly Garrett"/>
        <s v="Michael Jones"/>
        <s v="Dr. Suzanne Bullock"/>
        <s v="David Patterson"/>
        <s v="Cynthia Parrish"/>
        <s v="Terry Moses"/>
        <s v="Michelle Carpenter"/>
        <s v="Tyler Weber"/>
        <s v="Bridget Allen"/>
        <s v="Casey Simpson"/>
        <s v="Lisa Chandler"/>
        <s v="Natalie Johnson"/>
        <s v="Michelle Gonzalez"/>
        <s v="Tanya Lopez"/>
        <s v="Evelyn Brown"/>
        <s v="James Orozco"/>
        <s v="Nancy Page"/>
        <s v="Mariah Brown"/>
        <s v="Ryan Hernandez"/>
        <s v="Daniel Rivas"/>
        <s v="Bryce Hawkins"/>
        <s v="Melanie Lam"/>
        <s v="Heather Collins"/>
        <s v="Paul Fox"/>
        <s v="Patrick Roberts"/>
        <s v="Nicholas Bradshaw"/>
        <s v="Jared Moran"/>
        <s v="Antonio Jones"/>
        <s v="Summer Weiss"/>
        <s v="Jordan Wells"/>
        <s v="Morgan Bowen"/>
        <s v="Joseph Richards"/>
        <s v="Amber Jackson"/>
        <s v="Jordan Medina"/>
        <s v="Jason Mullins"/>
        <s v="Eric Davis"/>
        <s v="Timothy Sanders"/>
        <s v="Gina Knight"/>
        <s v="John Jordan"/>
        <s v="Monica Miller"/>
        <s v="Brandon Mcbride"/>
        <s v="Brittany Watson"/>
        <s v="Kimberly Brooks"/>
        <s v="William Jackson"/>
        <s v="Debra Mccullough"/>
        <s v="Brian Hammond"/>
        <s v="Justin Lopez"/>
        <s v="Timothy Juarez"/>
        <s v="Rodney Huffman"/>
        <s v="Ryan Moore"/>
        <s v="Bryan Garcia"/>
        <s v="Reginald Willis"/>
        <s v="Tyler Conrad"/>
        <s v="Arthur Warren"/>
        <s v="Christopher Sutton"/>
        <s v="April Phillips"/>
        <s v="John Perez"/>
        <s v="Dr. Tamara White Md"/>
        <s v="Michael Garner"/>
        <s v="Sean Powell"/>
        <s v="Adam Castro"/>
        <s v="Amber Carlson"/>
        <s v="Melinda Johnson"/>
        <s v="Kaitlin Brown"/>
        <s v="Roberta Green"/>
        <s v="Dr. Lindsay Hanna"/>
        <s v="Wesley Short"/>
        <s v="Samuel Mullins"/>
        <s v="Colleen Maynard"/>
        <s v="Frank Stewart"/>
        <s v="Michelle Cunningham"/>
        <s v="Mark Rogers"/>
        <s v="Nathaniel Hill"/>
        <s v="Michael Greene"/>
        <s v="Katherine Dorsey"/>
        <s v="Krystal Ford"/>
        <s v="Laura Alvarez"/>
        <s v="Lauren George"/>
        <s v="Jason Wheeler"/>
        <s v="Jessica Acevedo"/>
        <s v="Elizabeth Jones"/>
        <s v="Dominic Page"/>
        <s v="George Rosario"/>
        <s v="John Lawson"/>
        <s v="Julia Jackson"/>
        <s v="Kristy Dunlap"/>
        <s v="Isabel Foster"/>
        <s v="Cody Blake"/>
        <s v="Elizabeth Foster"/>
        <s v="Rhonda Moss"/>
        <s v="Thomas Moore"/>
        <s v="Kristi Lopez"/>
        <s v="Jeffrey Gomez"/>
        <s v="Maria Hill"/>
        <s v="David Roberts"/>
        <s v="Justin Cross"/>
        <s v="Eric Singh"/>
        <s v="Christy Vasquez"/>
        <s v="Gene Lee"/>
        <s v="Traci Gonzalez"/>
        <s v="Thomas Phillips"/>
        <s v="Blake Harrison"/>
        <s v="Shane Mills"/>
        <s v="John Bradford"/>
        <s v="Susan Mcdonald"/>
        <s v="Jose Stewart"/>
        <s v="Antonio Leon"/>
        <s v="Nathan Campbell"/>
        <s v="Carlos Flores"/>
        <s v="Shane Brown"/>
        <s v="Aaron Luna"/>
        <s v="George Davis"/>
        <s v="Jeremy Harris"/>
        <s v="Jeffrey Mccarthy"/>
        <s v="Charles Norman Phd"/>
        <s v="Erin Ward"/>
        <s v="Darrell Miller"/>
        <s v="Darren Burton"/>
        <s v="Cheryl Copeland"/>
        <s v="Curtis Lam"/>
        <s v="William Rodriguez"/>
        <s v="Travis Holland"/>
        <s v="David Cole"/>
        <s v="Shannon Miller"/>
        <s v="Christy Hill"/>
        <s v="Douglas Rhodes"/>
        <s v="Alex Mann Ii"/>
        <s v="Mr. William Horton"/>
        <s v="Timothy Gardner"/>
        <s v="Rhonda Young"/>
        <s v="Steven Stein"/>
        <s v="Sarah Vance"/>
        <s v="Erin Hopkins"/>
        <s v="Brian Holder"/>
        <s v="Joshua Ryan"/>
        <s v="Justin Ingram"/>
        <s v="Christopher Ford"/>
        <s v="Heidi Tyler"/>
        <s v="Jeff Martinez"/>
        <s v="Melissa Howard"/>
        <s v="Sara Ingram"/>
        <s v="Colleen Mccarthy"/>
        <s v="Kristen Fischer"/>
        <s v="Cheryl Carr"/>
        <s v="Brandy Thompson"/>
        <s v="Miss Alexandria Li Dvm"/>
        <s v="Monica Flynn"/>
        <s v="Cameron Simpson"/>
        <s v="Mr. Christopher Sims"/>
        <s v="Alejandro Doyle"/>
        <s v="William Cortez"/>
        <s v="Jay Patel"/>
        <s v="Timothy Weaver"/>
        <s v="Paul Cox"/>
        <s v="Cynthia Lopez"/>
        <s v="Donna Gregory"/>
        <s v="Mary Boyd"/>
        <s v="John Compton"/>
        <s v="David Lozano"/>
        <s v="Tracy Stephens"/>
        <s v="Carol Bishop"/>
        <s v="Daniel Bell"/>
        <s v="Robert Harris"/>
        <s v="Jennifer Garcia"/>
        <s v="Anthony Garcia"/>
        <s v="Joseph Snow"/>
        <s v="Kenneth Lambert"/>
        <s v="Cassandra Perez"/>
        <s v="Julie Hale"/>
        <s v="Stephanie Jacobs"/>
        <s v="Laura Mathews"/>
        <s v="Beth Martin"/>
        <s v="Linda Kline"/>
        <s v="Laura Soto"/>
        <s v="Thomas Rhodes"/>
        <s v="Eric Wolfe"/>
        <s v="Mr. Mason Butler"/>
        <s v="Michelle Myers"/>
        <s v="Oscar Moon"/>
        <s v="Brittany Edwards Dds"/>
        <s v="Daniel Nelson"/>
        <s v="Gregory Pham"/>
        <s v="Maria Ramirez"/>
        <s v="Barbara Berry"/>
        <s v="Hayley Pope"/>
        <s v="Sherry Cabrera"/>
        <s v="Paul Zamora"/>
        <s v="Michelle Rogers"/>
        <s v="Maria Sanchez"/>
        <s v="Matthew Hanna"/>
        <s v="Edward Hall"/>
        <s v="Charles Miller"/>
        <s v="Alyssa Vargas"/>
        <s v="Eric Vega"/>
        <s v="Angela Robinson"/>
        <s v="Timothy Valenzuela"/>
        <s v="Monica Wright"/>
        <s v="Maria Davis"/>
        <s v="James Powell"/>
        <s v="Lindsay Beasley"/>
        <s v="Ryan Torres"/>
        <s v="Sarah Stewart"/>
        <s v="John Scott"/>
        <s v="Roy Cole"/>
        <s v="Jeffery Wolf"/>
        <s v="Joshua Wilson"/>
        <s v="Steven Smith"/>
        <s v="Andrea Harris"/>
        <s v="Eric Lee"/>
        <s v="Jennifer Woods"/>
        <s v="Christopher Garcia Dds"/>
        <s v="Leslie Johnson"/>
        <s v="Alexis Castaneda"/>
        <s v="Crystal Davis"/>
        <s v="Joshua Howard"/>
        <s v="Amanda Powell"/>
        <s v="Denise Williams"/>
        <s v="Earl Smith Dds"/>
        <s v="Christopher Lester"/>
        <s v="Tanner Thompson"/>
        <s v="Maria Phillips"/>
        <s v="Mr. Mark Beasley"/>
        <s v="Michelle Garcia Dds"/>
        <s v="Shannon Turner"/>
        <s v="James Foster"/>
        <s v="Veronica Newman"/>
        <s v="Samantha Walker"/>
        <s v="Brittney Morgan"/>
        <s v="Alexander Byrd"/>
        <s v="Howard Summers"/>
        <s v="Wayne Mcpherson"/>
        <s v="John Jones"/>
        <s v="Christina Garcia"/>
        <s v="Mario Jacobs"/>
        <s v="Christopher Olson"/>
        <s v="Elizabeth Johnson"/>
        <s v="Jacqueline Pacheco"/>
        <s v="Amy Fowler"/>
        <s v="Kathy Copeland"/>
        <s v="Scott Harris"/>
        <s v="Steve Hunt"/>
        <s v="Jennifer Myers"/>
        <s v="Michele Burke"/>
        <s v="Stuart Johnson"/>
        <s v="Mike Jennings"/>
        <s v="Samantha Robinson"/>
        <s v="Robert King"/>
        <s v="Tammy Trevino"/>
        <s v="Madison Wright"/>
        <s v="Samuel Arias"/>
        <s v="Alejandro Evans"/>
        <s v="Jackie Thompson"/>
        <s v="Diana Taylor"/>
        <s v="Carlos Skinner"/>
        <s v="Jon Ortiz"/>
        <s v="Joel Robinson"/>
        <s v="Anthony Phillips"/>
        <s v="Jessica Castro"/>
        <s v="Tiffany Herrera"/>
        <s v="Matthew Hunter Jr."/>
        <s v="John Mayer"/>
        <s v="Martha Brown"/>
        <s v="Pamela Mcguire"/>
        <s v="April Mullins"/>
        <s v="William Hull"/>
        <s v="Teresa Stokes"/>
        <s v="Jennifer Zamora"/>
        <s v="Adam Cruz"/>
        <s v="Miguel Reynolds"/>
        <s v="Christopher Brown"/>
        <s v="Justin Johnson"/>
        <s v="Rachel Myers"/>
        <s v="Crystal Waters"/>
        <s v="John Sloan"/>
        <s v="Tyler Cook"/>
        <s v="Patrick Coleman"/>
        <s v="Sarah Schneider"/>
        <s v="Ronald Jones"/>
        <s v="Michael Mcneil"/>
        <s v="Thomas Robinson"/>
        <s v="Karen King"/>
        <s v="Christopher Carter"/>
        <s v="Molly Gardner"/>
        <s v="Dr. Ashley Yates Md"/>
        <s v="Cody Diaz"/>
        <s v="Jennifer Figueroa"/>
        <s v="Jacqueline Payne"/>
        <s v="Todd Poole"/>
        <s v="Robert House"/>
        <s v="Gloria Taylor"/>
        <s v="Chloe Aguilar"/>
        <s v="Sheri Joyce"/>
        <s v="Misty Ferguson"/>
        <s v="William Martin"/>
        <s v="Samantha Lee"/>
        <s v="Charles Conley"/>
        <s v="Jamie Yoder"/>
        <s v="Nathan Hernandez"/>
        <s v="John Mccoy"/>
        <s v="David Ross"/>
        <s v="Mario Harvey Jr."/>
        <s v="Joseph Faulkner"/>
        <s v="Manuel Castillo"/>
        <s v="Erika Padilla"/>
        <s v="Robert Jones Dds"/>
        <s v="Mallory Allen"/>
        <s v="Ashley Roberts"/>
        <s v="Rick Dominguez"/>
        <s v="Earl Allen"/>
        <s v="Sheila Wilson"/>
        <s v="Denise Tate"/>
        <s v="Melinda Thomas"/>
        <s v="James Wolfe"/>
        <s v="Denise Griffin"/>
        <s v="Julie Farmer"/>
        <s v="Angela Williams"/>
        <s v="Theresa Campbell"/>
        <s v="Adam Rowland"/>
        <s v="Monique Castro"/>
        <s v="John Smith"/>
        <s v="Antonio Wade"/>
        <s v="Kristin Stein"/>
        <s v="Edwin Barnes"/>
        <s v="Brian Lopez"/>
        <s v="Julie Powell"/>
        <s v="Jacob Wood"/>
        <s v="Eric Holmes"/>
        <s v="Anna Perez"/>
        <s v="John Berg"/>
        <s v="Deanna Simpson"/>
        <s v="Philip Mendoza"/>
        <s v="Jennifer Pruitt"/>
        <s v="Leonard Cochran"/>
        <s v="Carmen Price"/>
        <s v="Sarah Brady"/>
        <s v="James Berger"/>
        <s v="Steve Mclaughlin"/>
        <s v="Kathryn Garcia"/>
        <s v="Teresa Johnson"/>
        <s v="Jacqueline Anthony"/>
        <s v="Katherine Cowan"/>
        <s v="Russell Lamb"/>
        <s v="Anthony Morgan"/>
        <s v="Dylan Gutierrez"/>
        <s v="Timothy Wright"/>
        <s v="Ashley Anderson"/>
        <s v="Jennifer Johnson"/>
        <s v="Jennifer Carr"/>
        <s v="Richard Delgado"/>
        <s v="Stephanie Conway"/>
        <s v="Ashley Cohen"/>
        <s v="Cynthia Roberts"/>
        <s v="Tammy Miller Md"/>
        <s v="Katherine Young"/>
        <s v="Keith Miller"/>
        <s v="Daniel Austin"/>
        <s v="Sheena Bonilla"/>
        <s v="Megan Ryan"/>
        <s v="Edward Cole"/>
        <s v="Eugene Nelson"/>
        <s v="John Mcknight"/>
        <s v="Steve Medina"/>
        <s v="Tracy Kelly"/>
        <s v="Patricia Gardner"/>
        <s v="Edward Rivera"/>
        <s v="Kevin Larson"/>
        <s v="Joshua Smith Dvm"/>
        <s v="Tommy Roberts"/>
        <s v="Casey Flores"/>
        <s v="Brian Garcia"/>
        <s v="Hunter Sutton"/>
        <s v="Mrs. Susan Buckley"/>
        <s v="Kimberly Roberts"/>
        <s v="Katrina Perez"/>
        <s v="Wesley Thompson"/>
        <s v="Rebecca Baker"/>
        <s v="Megan Greer"/>
        <s v="Jamie Reyes"/>
        <s v="Dalton Walters"/>
        <s v="Joseph Mendoza"/>
        <s v="Ronald Ross"/>
        <s v="Kevin Orr"/>
      </sharedItems>
    </cacheField>
    <cacheField name="Gender" numFmtId="0">
      <sharedItems>
        <s v="Female"/>
        <s v="Male"/>
      </sharedItems>
    </cacheField>
    <cacheField name="Order_Date" numFmtId="164">
      <sharedItems containsSemiMixedTypes="0" containsDate="1" containsString="0">
        <d v="2024-07-07T00:00:00Z"/>
        <d v="2023-12-25T00:00:00Z"/>
        <d v="2024-02-13T00:00:00Z"/>
        <d v="2025-01-20T00:00:00Z"/>
        <d v="2024-06-13T00:00:00Z"/>
        <d v="2025-04-29T00:00:00Z"/>
        <d v="2024-10-01T00:00:00Z"/>
        <d v="2024-09-07T00:00:00Z"/>
        <d v="2025-06-26T00:00:00Z"/>
        <d v="2024-04-23T00:00:00Z"/>
        <d v="2025-09-18T00:00:00Z"/>
        <d v="2023-10-18T00:00:00Z"/>
        <d v="2023-11-29T00:00:00Z"/>
        <d v="2025-03-24T00:00:00Z"/>
        <d v="2024-06-10T00:00:00Z"/>
        <d v="2025-09-08T00:00:00Z"/>
        <d v="2024-11-05T00:00:00Z"/>
        <d v="2024-08-31T00:00:00Z"/>
        <d v="2024-06-16T00:00:00Z"/>
        <d v="2025-01-24T00:00:00Z"/>
        <d v="2025-03-09T00:00:00Z"/>
        <d v="2024-06-18T00:00:00Z"/>
        <d v="2025-06-29T00:00:00Z"/>
        <d v="2025-06-15T00:00:00Z"/>
        <d v="2025-03-17T00:00:00Z"/>
        <d v="2024-09-17T00:00:00Z"/>
        <d v="2024-01-31T00:00:00Z"/>
        <d v="2024-05-03T00:00:00Z"/>
        <d v="2024-12-18T00:00:00Z"/>
        <d v="2025-07-07T00:00:00Z"/>
        <d v="2024-03-03T00:00:00Z"/>
        <d v="2025-03-04T00:00:00Z"/>
        <d v="2023-12-18T00:00:00Z"/>
        <d v="2024-05-10T00:00:00Z"/>
        <d v="2024-02-15T00:00:00Z"/>
        <d v="2024-09-29T00:00:00Z"/>
        <d v="2025-09-07T00:00:00Z"/>
        <d v="2024-05-12T00:00:00Z"/>
        <d v="2025-03-03T00:00:00Z"/>
        <d v="2023-11-20T00:00:00Z"/>
        <d v="2024-07-06T00:00:00Z"/>
        <d v="2025-03-11T00:00:00Z"/>
        <d v="2024-04-12T00:00:00Z"/>
        <d v="2025-04-26T00:00:00Z"/>
        <d v="2025-05-02T00:00:00Z"/>
        <d v="2024-04-18T00:00:00Z"/>
        <d v="2024-08-16T00:00:00Z"/>
        <d v="2024-02-08T00:00:00Z"/>
        <d v="2025-07-23T00:00:00Z"/>
        <d v="2025-05-04T00:00:00Z"/>
        <d v="2025-09-06T00:00:00Z"/>
        <d v="2023-11-21T00:00:00Z"/>
        <d v="2023-11-27T00:00:00Z"/>
        <d v="2025-06-10T00:00:00Z"/>
        <d v="2025-05-29T00:00:00Z"/>
        <d v="2023-12-28T00:00:00Z"/>
        <d v="2025-05-06T00:00:00Z"/>
        <d v="2024-04-03T00:00:00Z"/>
        <d v="2023-10-15T00:00:00Z"/>
        <d v="2025-08-09T00:00:00Z"/>
        <d v="2024-07-30T00:00:00Z"/>
        <d v="2024-09-16T00:00:00Z"/>
        <d v="2025-07-12T00:00:00Z"/>
        <d v="2024-05-29T00:00:00Z"/>
        <d v="2024-05-19T00:00:00Z"/>
        <d v="2025-08-04T00:00:00Z"/>
        <d v="2024-12-03T00:00:00Z"/>
        <d v="2023-10-23T00:00:00Z"/>
        <d v="2025-08-22T00:00:00Z"/>
        <d v="2025-05-20T00:00:00Z"/>
        <d v="2024-09-19T00:00:00Z"/>
        <d v="2025-02-16T00:00:00Z"/>
        <d v="2024-09-10T00:00:00Z"/>
        <d v="2025-03-20T00:00:00Z"/>
        <d v="2024-11-12T00:00:00Z"/>
        <d v="2024-02-12T00:00:00Z"/>
        <d v="2025-02-02T00:00:00Z"/>
        <d v="2024-07-08T00:00:00Z"/>
        <d v="2024-02-01T00:00:00Z"/>
        <d v="2024-10-11T00:00:00Z"/>
        <d v="2023-10-16T00:00:00Z"/>
        <d v="2024-12-27T00:00:00Z"/>
        <d v="2023-11-11T00:00:00Z"/>
        <d v="2024-05-16T00:00:00Z"/>
        <d v="2024-10-28T00:00:00Z"/>
        <d v="2024-03-19T00:00:00Z"/>
        <d v="2025-08-13T00:00:00Z"/>
        <d v="2024-05-08T00:00:00Z"/>
        <d v="2025-05-08T00:00:00Z"/>
        <d v="2024-03-10T00:00:00Z"/>
        <d v="2025-02-14T00:00:00Z"/>
        <d v="2025-08-02T00:00:00Z"/>
        <d v="2024-08-27T00:00:00Z"/>
        <d v="2024-01-20T00:00:00Z"/>
        <d v="2024-10-02T00:00:00Z"/>
        <d v="2023-11-09T00:00:00Z"/>
        <d v="2023-12-24T00:00:00Z"/>
        <d v="2025-01-29T00:00:00Z"/>
        <d v="2025-03-22T00:00:00Z"/>
        <d v="2025-06-16T00:00:00Z"/>
        <d v="2025-07-29T00:00:00Z"/>
        <d v="2024-10-13T00:00:00Z"/>
        <d v="2024-10-10T00:00:00Z"/>
        <d v="2025-06-08T00:00:00Z"/>
        <d v="2024-11-24T00:00:00Z"/>
        <d v="2025-02-07T00:00:00Z"/>
        <d v="2024-10-31T00:00:00Z"/>
        <d v="2025-07-31T00:00:00Z"/>
        <d v="2024-12-05T00:00:00Z"/>
        <d v="2025-05-24T00:00:00Z"/>
        <d v="2025-07-13T00:00:00Z"/>
        <d v="2024-03-28T00:00:00Z"/>
        <d v="2024-12-15T00:00:00Z"/>
        <d v="2025-07-04T00:00:00Z"/>
        <d v="2024-06-25T00:00:00Z"/>
        <d v="2023-10-29T00:00:00Z"/>
        <d v="2025-01-04T00:00:00Z"/>
        <d v="2025-02-13T00:00:00Z"/>
        <d v="2024-06-05T00:00:00Z"/>
        <d v="2024-04-05T00:00:00Z"/>
        <d v="2025-05-21T00:00:00Z"/>
        <d v="2024-12-26T00:00:00Z"/>
        <d v="2024-01-25T00:00:00Z"/>
        <d v="2025-08-19T00:00:00Z"/>
        <d v="2025-05-14T00:00:00Z"/>
        <d v="2023-10-20T00:00:00Z"/>
        <d v="2024-08-06T00:00:00Z"/>
        <d v="2025-01-30T00:00:00Z"/>
        <d v="2023-12-11T00:00:00Z"/>
        <d v="2025-02-17T00:00:00Z"/>
        <d v="2024-06-03T00:00:00Z"/>
        <d v="2024-10-14T00:00:00Z"/>
        <d v="2025-09-10T00:00:00Z"/>
        <d v="2024-06-04T00:00:00Z"/>
        <d v="2024-01-16T00:00:00Z"/>
        <d v="2025-06-09T00:00:00Z"/>
        <d v="2024-08-05T00:00:00Z"/>
        <d v="2025-04-06T00:00:00Z"/>
        <d v="2024-05-01T00:00:00Z"/>
        <d v="2024-08-08T00:00:00Z"/>
        <d v="2025-04-17T00:00:00Z"/>
        <d v="2025-03-30T00:00:00Z"/>
        <d v="2024-12-21T00:00:00Z"/>
        <d v="2024-05-31T00:00:00Z"/>
        <d v="2025-03-06T00:00:00Z"/>
        <d v="2025-10-10T00:00:00Z"/>
        <d v="2024-08-14T00:00:00Z"/>
        <d v="2024-07-09T00:00:00Z"/>
        <d v="2024-05-04T00:00:00Z"/>
        <d v="2024-01-10T00:00:00Z"/>
        <d v="2024-05-21T00:00:00Z"/>
        <d v="2025-06-13T00:00:00Z"/>
        <d v="2024-08-04T00:00:00Z"/>
        <d v="2025-07-16T00:00:00Z"/>
        <d v="2024-10-04T00:00:00Z"/>
        <d v="2025-09-25T00:00:00Z"/>
        <d v="2024-03-01T00:00:00Z"/>
        <d v="2024-06-11T00:00:00Z"/>
        <d v="2025-09-24T00:00:00Z"/>
        <d v="2025-02-06T00:00:00Z"/>
        <d v="2024-10-22T00:00:00Z"/>
        <d v="2024-09-21T00:00:00Z"/>
        <d v="2025-09-23T00:00:00Z"/>
        <d v="2025-06-03T00:00:00Z"/>
        <d v="2024-09-24T00:00:00Z"/>
        <d v="2025-08-12T00:00:00Z"/>
        <d v="2024-03-16T00:00:00Z"/>
        <d v="2025-06-24T00:00:00Z"/>
        <d v="2024-05-26T00:00:00Z"/>
        <d v="2025-02-03T00:00:00Z"/>
        <d v="2024-08-02T00:00:00Z"/>
        <d v="2025-02-01T00:00:00Z"/>
        <d v="2024-02-24T00:00:00Z"/>
        <d v="2024-09-14T00:00:00Z"/>
        <d v="2025-08-31T00:00:00Z"/>
        <d v="2024-01-17T00:00:00Z"/>
        <d v="2024-02-14T00:00:00Z"/>
        <d v="2023-10-14T00:00:00Z"/>
        <d v="2025-03-26T00:00:00Z"/>
        <d v="2025-10-02T00:00:00Z"/>
        <d v="2024-06-19T00:00:00Z"/>
        <d v="2024-10-03T00:00:00Z"/>
        <d v="2024-04-15T00:00:00Z"/>
        <d v="2024-03-02T00:00:00Z"/>
        <d v="2024-02-21T00:00:00Z"/>
        <d v="2024-01-30T00:00:00Z"/>
        <d v="2024-12-24T00:00:00Z"/>
        <d v="2024-08-01T00:00:00Z"/>
        <d v="2025-08-28T00:00:00Z"/>
        <d v="2024-11-06T00:00:00Z"/>
        <d v="2024-08-26T00:00:00Z"/>
        <d v="2025-03-13T00:00:00Z"/>
        <d v="2025-10-06T00:00:00Z"/>
        <d v="2024-11-26T00:00:00Z"/>
        <d v="2025-01-27T00:00:00Z"/>
        <d v="2024-04-13T00:00:00Z"/>
        <d v="2024-03-31T00:00:00Z"/>
        <d v="2025-09-19T00:00:00Z"/>
        <d v="2024-08-24T00:00:00Z"/>
        <d v="2023-12-14T00:00:00Z"/>
        <d v="2024-01-22T00:00:00Z"/>
        <d v="2024-03-26T00:00:00Z"/>
        <d v="2024-03-20T00:00:00Z"/>
        <d v="2023-11-22T00:00:00Z"/>
        <d v="2025-02-05T00:00:00Z"/>
        <d v="2025-07-24T00:00:00Z"/>
        <d v="2024-09-23T00:00:00Z"/>
        <d v="2024-06-29T00:00:00Z"/>
        <d v="2025-06-01T00:00:00Z"/>
        <d v="2025-07-11T00:00:00Z"/>
        <d v="2023-12-21T00:00:00Z"/>
        <d v="2024-09-25T00:00:00Z"/>
        <d v="2025-09-05T00:00:00Z"/>
        <d v="2025-08-17T00:00:00Z"/>
        <d v="2023-10-17T00:00:00Z"/>
        <d v="2024-04-02T00:00:00Z"/>
        <d v="2025-08-11T00:00:00Z"/>
        <d v="2025-10-03T00:00:00Z"/>
        <d v="2024-02-23T00:00:00Z"/>
        <d v="2025-01-17T00:00:00Z"/>
        <d v="2024-10-07T00:00:00Z"/>
        <d v="2024-08-22T00:00:00Z"/>
        <d v="2024-07-16T00:00:00Z"/>
        <d v="2025-09-12T00:00:00Z"/>
        <d v="2025-04-24T00:00:00Z"/>
        <d v="2024-11-23T00:00:00Z"/>
        <d v="2025-04-30T00:00:00Z"/>
        <d v="2025-05-09T00:00:00Z"/>
        <d v="2025-02-04T00:00:00Z"/>
        <d v="2025-01-12T00:00:00Z"/>
        <d v="2024-01-08T00:00:00Z"/>
        <d v="2025-08-24T00:00:00Z"/>
        <d v="2023-12-07T00:00:00Z"/>
        <d v="2024-06-24T00:00:00Z"/>
        <d v="2024-11-02T00:00:00Z"/>
        <d v="2025-07-09T00:00:00Z"/>
        <d v="2023-11-05T00:00:00Z"/>
        <d v="2024-09-08T00:00:00Z"/>
        <d v="2024-04-20T00:00:00Z"/>
        <d v="2025-01-14T00:00:00Z"/>
        <d v="2024-07-15T00:00:00Z"/>
        <d v="2025-08-15T00:00:00Z"/>
        <d v="2025-08-20T00:00:00Z"/>
        <d v="2023-11-23T00:00:00Z"/>
        <d v="2024-07-18T00:00:00Z"/>
        <d v="2024-12-02T00:00:00Z"/>
        <d v="2024-05-14T00:00:00Z"/>
        <d v="2023-11-01T00:00:00Z"/>
        <d v="2025-09-16T00:00:00Z"/>
        <d v="2024-11-13T00:00:00Z"/>
        <d v="2024-04-10T00:00:00Z"/>
        <d v="2025-08-07T00:00:00Z"/>
        <d v="2025-04-25T00:00:00Z"/>
        <d v="2025-03-23T00:00:00Z"/>
        <d v="2023-12-12T00:00:00Z"/>
        <d v="2024-08-20T00:00:00Z"/>
        <d v="2024-02-25T00:00:00Z"/>
        <d v="2024-02-06T00:00:00Z"/>
        <d v="2025-05-10T00:00:00Z"/>
        <d v="2025-06-02T00:00:00Z"/>
        <d v="2024-12-19T00:00:00Z"/>
        <d v="2025-04-02T00:00:00Z"/>
        <d v="2024-09-02T00:00:00Z"/>
        <d v="2025-03-07T00:00:00Z"/>
        <d v="2024-03-25T00:00:00Z"/>
        <d v="2025-02-21T00:00:00Z"/>
        <d v="2024-04-06T00:00:00Z"/>
        <d v="2023-10-22T00:00:00Z"/>
        <d v="2023-12-26T00:00:00Z"/>
        <d v="2024-06-08T00:00:00Z"/>
        <d v="2025-08-06T00:00:00Z"/>
        <d v="2024-07-22T00:00:00Z"/>
        <d v="2024-07-05T00:00:00Z"/>
        <d v="2024-05-06T00:00:00Z"/>
        <d v="2023-11-02T00:00:00Z"/>
        <d v="2024-11-20T00:00:00Z"/>
        <d v="2025-04-27T00:00:00Z"/>
        <d v="2024-12-25T00:00:00Z"/>
        <d v="2025-09-02T00:00:00Z"/>
        <d v="2024-04-19T00:00:00Z"/>
        <d v="2024-06-01T00:00:00Z"/>
        <d v="2025-03-01T00:00:00Z"/>
        <d v="2024-08-19T00:00:00Z"/>
        <d v="2023-11-04T00:00:00Z"/>
        <d v="2023-10-24T00:00:00Z"/>
        <d v="2025-06-30T00:00:00Z"/>
        <d v="2025-08-14T00:00:00Z"/>
        <d v="2025-01-05T00:00:00Z"/>
        <d v="2025-05-11T00:00:00Z"/>
        <d v="2024-04-01T00:00:00Z"/>
        <d v="2024-01-13T00:00:00Z"/>
        <d v="2024-02-04T00:00:00Z"/>
        <d v="2024-07-25T00:00:00Z"/>
        <d v="2024-09-09T00:00:00Z"/>
        <d v="2023-12-08T00:00:00Z"/>
        <d v="2023-12-01T00:00:00Z"/>
        <d v="2023-11-03T00:00:00Z"/>
        <d v="2025-01-16T00:00:00Z"/>
        <d v="2024-09-30T00:00:00Z"/>
        <d v="2024-12-20T00:00:00Z"/>
        <d v="2024-09-04T00:00:00Z"/>
        <d v="2025-09-21T00:00:00Z"/>
        <d v="2025-06-19T00:00:00Z"/>
        <d v="2025-07-17T00:00:00Z"/>
        <d v="2024-03-11T00:00:00Z"/>
        <d v="2023-11-19T00:00:00Z"/>
        <d v="2025-01-02T00:00:00Z"/>
        <d v="2025-09-27T00:00:00Z"/>
        <d v="2024-03-22T00:00:00Z"/>
        <d v="2024-08-25T00:00:00Z"/>
        <d v="2025-08-03T00:00:00Z"/>
        <d v="2025-08-25T00:00:00Z"/>
        <d v="2024-02-09T00:00:00Z"/>
        <d v="2023-11-28T00:00:00Z"/>
        <d v="2025-04-04T00:00:00Z"/>
        <d v="2025-07-20T00:00:00Z"/>
        <d v="2024-08-28T00:00:00Z"/>
        <d v="2023-11-14T00:00:00Z"/>
        <d v="2025-04-10T00:00:00Z"/>
        <d v="2025-09-14T00:00:00Z"/>
        <d v="2024-05-20T00:00:00Z"/>
        <d v="2024-04-14T00:00:00Z"/>
        <d v="2024-07-26T00:00:00Z"/>
        <d v="2024-08-30T00:00:00Z"/>
        <d v="2025-05-26T00:00:00Z"/>
        <d v="2025-01-10T00:00:00Z"/>
        <d v="2024-12-30T00:00:00Z"/>
        <d v="2024-10-24T00:00:00Z"/>
        <d v="2024-04-27T00:00:00Z"/>
        <d v="2024-03-23T00:00:00Z"/>
        <d v="2023-12-22T00:00:00Z"/>
        <d v="2024-12-29T00:00:00Z"/>
        <d v="2025-07-30T00:00:00Z"/>
        <d v="2025-04-09T00:00:00Z"/>
        <d v="2024-02-16T00:00:00Z"/>
        <d v="2024-02-27T00:00:00Z"/>
        <d v="2024-03-17T00:00:00Z"/>
        <d v="2023-11-13T00:00:00Z"/>
        <d v="2024-10-12T00:00:00Z"/>
        <d v="2025-03-28T00:00:00Z"/>
        <d v="2024-06-15T00:00:00Z"/>
        <d v="2025-06-21T00:00:00Z"/>
        <d v="2023-11-25T00:00:00Z"/>
        <d v="2024-12-23T00:00:00Z"/>
        <d v="2024-03-27T00:00:00Z"/>
        <d v="2024-12-12T00:00:00Z"/>
        <d v="2023-12-17T00:00:00Z"/>
        <d v="2024-02-29T00:00:00Z"/>
        <d v="2023-12-30T00:00:00Z"/>
        <d v="2025-01-22T00:00:00Z"/>
        <d v="2024-01-05T00:00:00Z"/>
        <d v="2025-03-02T00:00:00Z"/>
        <d v="2025-04-13T00:00:00Z"/>
        <d v="2024-11-07T00:00:00Z"/>
        <d v="2025-04-08T00:00:00Z"/>
        <d v="2024-06-30T00:00:00Z"/>
        <d v="2024-09-22T00:00:00Z"/>
        <d v="2024-08-23T00:00:00Z"/>
        <d v="2024-10-08T00:00:00Z"/>
        <d v="2025-05-30T00:00:00Z"/>
        <d v="2025-01-07T00:00:00Z"/>
        <d v="2024-12-07T00:00:00Z"/>
        <d v="2024-09-13T00:00:00Z"/>
        <d v="2025-05-27T00:00:00Z"/>
        <d v="2023-12-03T00:00:00Z"/>
        <d v="2025-06-22T00:00:00Z"/>
        <d v="2025-06-06T00:00:00Z"/>
        <d v="2024-10-06T00:00:00Z"/>
        <d v="2025-04-11T00:00:00Z"/>
        <d v="2024-07-21T00:00:00Z"/>
        <d v="2024-08-18T00:00:00Z"/>
        <d v="2024-01-14T00:00:00Z"/>
        <d v="2024-08-29T00:00:00Z"/>
        <d v="2025-04-16T00:00:00Z"/>
        <d v="2025-10-13T00:00:00Z"/>
        <d v="2025-09-29T00:00:00Z"/>
        <d v="2024-11-30T00:00:00Z"/>
        <d v="2023-11-10T00:00:00Z"/>
        <d v="2025-08-21T00:00:00Z"/>
        <d v="2025-05-19T00:00:00Z"/>
        <d v="2025-08-26T00:00:00Z"/>
        <d v="2025-01-19T00:00:00Z"/>
        <d v="2024-11-21T00:00:00Z"/>
        <d v="2024-03-05T00:00:00Z"/>
        <d v="2024-11-09T00:00:00Z"/>
        <d v="2024-08-12T00:00:00Z"/>
        <d v="2024-01-18T00:00:00Z"/>
        <d v="2024-03-24T00:00:00Z"/>
        <d v="2024-05-23T00:00:00Z"/>
        <d v="2025-07-26T00:00:00Z"/>
        <d v="2024-06-06T00:00:00Z"/>
        <d v="2024-07-29T00:00:00Z"/>
        <d v="2023-10-31T00:00:00Z"/>
        <d v="2024-01-01T00:00:00Z"/>
        <d v="2024-09-20T00:00:00Z"/>
        <d v="2025-06-14T00:00:00Z"/>
        <d v="2024-10-25T00:00:00Z"/>
        <d v="2024-12-10T00:00:00Z"/>
        <d v="2024-11-22T00:00:00Z"/>
        <d v="2024-10-21T00:00:00Z"/>
        <d v="2025-04-18T00:00:00Z"/>
        <d v="2024-10-29T00:00:00Z"/>
        <d v="2025-07-22T00:00:00Z"/>
        <d v="2025-09-22T00:00:00Z"/>
        <d v="2024-07-04T00:00:00Z"/>
        <d v="2024-07-31T00:00:00Z"/>
        <d v="2025-01-01T00:00:00Z"/>
        <d v="2024-02-22T00:00:00Z"/>
        <d v="2024-02-07T00:00:00Z"/>
        <d v="2025-01-15T00:00:00Z"/>
        <d v="2024-05-22T00:00:00Z"/>
        <d v="2024-11-17T00:00:00Z"/>
        <d v="2025-09-28T00:00:00Z"/>
        <d v="2025-01-31T00:00:00Z"/>
        <d v="2025-04-28T00:00:00Z"/>
        <d v="2025-09-26T00:00:00Z"/>
        <d v="2025-07-01T00:00:00Z"/>
        <d v="2025-06-11T00:00:00Z"/>
        <d v="2024-09-18T00:00:00Z"/>
        <d v="2025-03-29T00:00:00Z"/>
        <d v="2025-03-08T00:00:00Z"/>
        <d v="2024-11-10T00:00:00Z"/>
        <d v="2025-10-04T00:00:00Z"/>
        <d v="2024-10-17T00:00:00Z"/>
        <d v="2024-03-21T00:00:00Z"/>
        <d v="2025-05-12T00:00:00Z"/>
        <d v="2024-06-09T00:00:00Z"/>
        <d v="2024-02-03T00:00:00Z"/>
        <d v="2024-06-22T00:00:00Z"/>
        <d v="2024-11-16T00:00:00Z"/>
        <d v="2025-01-11T00:00:00Z"/>
        <d v="2024-01-09T00:00:00Z"/>
        <d v="2024-07-23T00:00:00Z"/>
        <d v="2024-03-04T00:00:00Z"/>
        <d v="2023-11-26T00:00:00Z"/>
        <d v="2025-08-18T00:00:00Z"/>
        <d v="2025-09-13T00:00:00Z"/>
        <d v="2023-10-25T00:00:00Z"/>
        <d v="2025-05-18T00:00:00Z"/>
        <d v="2024-06-27T00:00:00Z"/>
        <d v="2024-04-08T00:00:00Z"/>
        <d v="2024-01-29T00:00:00Z"/>
        <d v="2024-09-11T00:00:00Z"/>
        <d v="2023-12-16T00:00:00Z"/>
        <d v="2025-04-22T00:00:00Z"/>
        <d v="2025-08-16T00:00:00Z"/>
        <d v="2025-03-05T00:00:00Z"/>
        <d v="2024-08-07T00:00:00Z"/>
        <d v="2024-02-19T00:00:00Z"/>
        <d v="2024-05-18T00:00:00Z"/>
        <d v="2024-09-12T00:00:00Z"/>
        <d v="2024-01-03T00:00:00Z"/>
        <d v="2024-06-23T00:00:00Z"/>
        <d v="2025-02-20T00:00:00Z"/>
        <d v="2025-03-19T00:00:00Z"/>
        <d v="2023-11-07T00:00:00Z"/>
        <d v="2023-12-09T00:00:00Z"/>
        <d v="2024-01-19T00:00:00Z"/>
        <d v="2024-05-28T00:00:00Z"/>
        <d v="2024-01-02T00:00:00Z"/>
        <d v="2025-07-05T00:00:00Z"/>
        <d v="2025-07-28T00:00:00Z"/>
        <d v="2024-09-26T00:00:00Z"/>
        <d v="2024-12-11T00:00:00Z"/>
        <d v="2025-04-12T00:00:00Z"/>
        <d v="2025-05-13T00:00:00Z"/>
        <d v="2024-07-02T00:00:00Z"/>
        <d v="2025-04-14T00:00:00Z"/>
        <d v="2024-03-12T00:00:00Z"/>
        <d v="2024-09-01T00:00:00Z"/>
        <d v="2024-06-02T00:00:00Z"/>
        <d v="2024-07-17T00:00:00Z"/>
        <d v="2024-08-11T00:00:00Z"/>
        <d v="2025-01-18T00:00:00Z"/>
        <d v="2024-02-11T00:00:00Z"/>
        <d v="2024-08-17T00:00:00Z"/>
        <d v="2025-03-18T00:00:00Z"/>
        <d v="2025-05-01T00:00:00Z"/>
        <d v="2025-02-27T00:00:00Z"/>
        <d v="2024-07-19T00:00:00Z"/>
        <d v="2023-12-05T00:00:00Z"/>
        <d v="2024-11-28T00:00:00Z"/>
        <d v="2025-01-28T00:00:00Z"/>
        <d v="2024-01-23T00:00:00Z"/>
        <d v="2024-09-27T00:00:00Z"/>
        <d v="2025-07-25T00:00:00Z"/>
        <d v="2025-05-15T00:00:00Z"/>
        <d v="2024-05-13T00:00:00Z"/>
        <d v="2025-08-29T00:00:00Z"/>
        <d v="2024-10-16T00:00:00Z"/>
        <d v="2024-11-14T00:00:00Z"/>
        <d v="2024-12-28T00:00:00Z"/>
        <d v="2025-01-13T00:00:00Z"/>
        <d v="2024-07-14T00:00:00Z"/>
        <d v="2024-08-03T00:00:00Z"/>
        <d v="2023-12-15T00:00:00Z"/>
        <d v="2024-01-28T00:00:00Z"/>
        <d v="2025-06-23T00:00:00Z"/>
        <d v="2025-09-15T00:00:00Z"/>
        <d v="2024-03-08T00:00:00Z"/>
        <d v="2025-06-04T00:00:00Z"/>
        <d v="2024-06-12T00:00:00Z"/>
        <d v="2025-08-08T00:00:00Z"/>
        <d v="2024-10-27T00:00:00Z"/>
        <d v="2024-03-18T00:00:00Z"/>
        <d v="2024-08-13T00:00:00Z"/>
        <d v="2025-03-25T00:00:00Z"/>
        <d v="2024-05-15T00:00:00Z"/>
        <d v="2025-10-11T00:00:00Z"/>
        <d v="2024-07-13T00:00:00Z"/>
        <d v="2024-07-01T00:00:00Z"/>
        <d v="2025-02-22T00:00:00Z"/>
        <d v="2023-12-29T00:00:00Z"/>
        <d v="2025-09-30T00:00:00Z"/>
        <d v="2025-10-05T00:00:00Z"/>
        <d v="2024-01-21T00:00:00Z"/>
        <d v="2025-07-02T00:00:00Z"/>
        <d v="2025-09-03T00:00:00Z"/>
        <d v="2024-02-05T00:00:00Z"/>
        <d v="2024-02-18T00:00:00Z"/>
        <d v="2025-07-15T00:00:00Z"/>
        <d v="2025-02-28T00:00:00Z"/>
        <d v="2024-03-13T00:00:00Z"/>
        <d v="2025-04-05T00:00:00Z"/>
        <d v="2024-12-09T00:00:00Z"/>
        <d v="2024-11-04T00:00:00Z"/>
        <d v="2025-09-04T00:00:00Z"/>
        <d v="2025-09-09T00:00:00Z"/>
        <d v="2025-05-17T00:00:00Z"/>
        <d v="2024-09-03T00:00:00Z"/>
        <d v="2024-07-28T00:00:00Z"/>
        <d v="2024-04-26T00:00:00Z"/>
        <d v="2025-03-14T00:00:00Z"/>
        <d v="2025-03-15T00:00:00Z"/>
        <d v="2024-10-19T00:00:00Z"/>
        <d v="2024-04-29T00:00:00Z"/>
        <d v="2024-04-22T00:00:00Z"/>
        <d v="2024-07-20T00:00:00Z"/>
        <d v="2024-05-11T00:00:00Z"/>
        <d v="2025-05-03T00:00:00Z"/>
        <d v="2024-08-21T00:00:00Z"/>
        <d v="2024-08-10T00:00:00Z"/>
        <d v="2024-01-27T00:00:00Z"/>
        <d v="2025-02-26T00:00:00Z"/>
        <d v="2025-06-17T00:00:00Z"/>
        <d v="2025-05-16T00:00:00Z"/>
        <d v="2024-11-11T00:00:00Z"/>
        <d v="2024-11-18T00:00:00Z"/>
        <d v="2024-12-13T00:00:00Z"/>
        <d v="2025-04-23T00:00:00Z"/>
        <d v="2025-01-08T00:00:00Z"/>
        <d v="2023-10-28T00:00:00Z"/>
        <d v="2024-09-28T00:00:00Z"/>
        <d v="2024-11-19T00:00:00Z"/>
        <d v="2025-01-09T00:00:00Z"/>
        <d v="2024-12-22T00:00:00Z"/>
        <d v="2024-07-27T00:00:00Z"/>
        <d v="2024-03-14T00:00:00Z"/>
        <d v="2023-10-30T00:00:00Z"/>
        <d v="2024-06-07T00:00:00Z"/>
        <d v="2025-07-06T00:00:00Z"/>
        <d v="2023-12-04T00:00:00Z"/>
        <d v="2024-06-17T00:00:00Z"/>
        <d v="2025-04-03T00:00:00Z"/>
        <d v="2024-12-14T00:00:00Z"/>
        <d v="2024-07-24T00:00:00Z"/>
        <d v="2025-10-12T00:00:00Z"/>
        <d v="2023-10-26T00:00:00Z"/>
        <d v="2025-04-07T00:00:00Z"/>
        <d v="2024-04-24T00:00:00Z"/>
        <d v="2024-02-26T00:00:00Z"/>
        <d v="2025-09-17T00:00:00Z"/>
        <d v="2025-07-08T00:00:00Z"/>
        <d v="2025-04-21T00:00:00Z"/>
        <d v="2024-08-09T00:00:00Z"/>
        <d v="2025-02-18T00:00:00Z"/>
        <d v="2025-02-25T00:00:00Z"/>
        <d v="2025-06-18T00:00:00Z"/>
        <d v="2025-06-28T00:00:00Z"/>
        <d v="2024-05-25T00:00:00Z"/>
        <d v="2024-07-10T00:00:00Z"/>
        <d v="2024-04-04T00:00:00Z"/>
        <d v="2024-01-11T00:00:00Z"/>
        <d v="2025-07-18T00:00:00Z"/>
        <d v="2024-07-12T00:00:00Z"/>
        <d v="2024-10-18T00:00:00Z"/>
        <d v="2025-06-05T00:00:00Z"/>
        <d v="2024-11-15T00:00:00Z"/>
        <d v="2024-04-07T00:00:00Z"/>
        <d v="2024-02-17T00:00:00Z"/>
        <d v="2025-01-06T00:00:00Z"/>
        <d v="2025-08-10T00:00:00Z"/>
        <d v="2024-11-01T00:00:00Z"/>
        <d v="2024-03-29T00:00:00Z"/>
        <d v="2024-04-25T00:00:00Z"/>
        <d v="2025-06-07T00:00:00Z"/>
        <d v="2024-08-15T00:00:00Z"/>
        <d v="2024-01-12T00:00:00Z"/>
        <d v="2023-10-19T00:00:00Z"/>
        <d v="2024-11-27T00:00:00Z"/>
        <d v="2024-09-06T00:00:00Z"/>
        <d v="2025-04-01T00:00:00Z"/>
        <d v="2024-11-25T00:00:00Z"/>
        <d v="2024-04-16T00:00:00Z"/>
        <d v="2025-02-24T00:00:00Z"/>
        <d v="2024-06-26T00:00:00Z"/>
        <d v="2025-02-23T00:00:00Z"/>
        <d v="2023-12-06T00:00:00Z"/>
        <d v="2025-08-23T00:00:00Z"/>
        <d v="2024-01-06T00:00:00Z"/>
        <d v="2024-10-15T00:00:00Z"/>
        <d v="2023-10-21T00:00:00Z"/>
        <d v="2025-02-11T00:00:00Z"/>
        <d v="2025-10-09T00:00:00Z"/>
        <d v="2024-01-24T00:00:00Z"/>
        <d v="2024-10-05T00:00:00Z"/>
        <d v="2023-12-10T00:00:00Z"/>
        <d v="2023-12-19T00:00:00Z"/>
        <d v="2025-10-08T00:00:00Z"/>
        <d v="2024-10-26T00:00:00Z"/>
        <d v="2025-02-12T00:00:00Z"/>
        <d v="2024-10-09T00:00:00Z"/>
        <d v="2025-03-10T00:00:00Z"/>
        <d v="2024-12-06T00:00:00Z"/>
        <d v="2023-11-08T00:00:00Z"/>
        <d v="2023-12-20T00:00:00Z"/>
        <d v="2025-09-11T00:00:00Z"/>
        <d v="2023-12-31T00:00:00Z"/>
        <d v="2024-12-01T00:00:00Z"/>
        <d v="2025-08-30T00:00:00Z"/>
        <d v="2024-01-15T00:00:00Z"/>
        <d v="2025-04-15T00:00:00Z"/>
        <d v="2025-04-19T00:00:00Z"/>
        <d v="2024-06-14T00:00:00Z"/>
        <d v="2025-02-09T00:00:00Z"/>
        <d v="2023-12-27T00:00:00Z"/>
        <d v="2024-01-04T00:00:00Z"/>
        <d v="2023-11-30T00:00:00Z"/>
        <d v="2023-12-23T00:00:00Z"/>
        <d v="2024-03-09T00:00:00Z"/>
        <d v="2023-12-13T00:00:00Z"/>
        <d v="2024-02-28T00:00:00Z"/>
        <d v="2024-03-06T00:00:00Z"/>
        <d v="2023-11-06T00:00:00Z"/>
        <d v="2024-05-09T00:00:00Z"/>
        <d v="2024-12-16T00:00:00Z"/>
        <d v="2024-02-10T00:00:00Z"/>
        <d v="2025-07-21T00:00:00Z"/>
        <d v="2025-07-19T00:00:00Z"/>
        <d v="2023-11-18T00:00:00Z"/>
        <d v="2024-05-17T00:00:00Z"/>
        <d v="2024-11-29T00:00:00Z"/>
        <d v="2024-12-31T00:00:00Z"/>
        <d v="2025-03-31T00:00:00Z"/>
        <d v="2025-05-23T00:00:00Z"/>
        <d v="2023-11-24T00:00:00Z"/>
        <d v="2025-01-26T00:00:00Z"/>
        <d v="2025-08-01T00:00:00Z"/>
        <d v="2024-05-02T00:00:00Z"/>
        <d v="2025-07-03T00:00:00Z"/>
        <d v="2025-02-10T00:00:00Z"/>
        <d v="2025-03-12T00:00:00Z"/>
        <d v="2023-11-12T00:00:00Z"/>
        <d v="2025-01-21T00:00:00Z"/>
        <d v="2024-07-11T00:00:00Z"/>
        <d v="2025-08-05T00:00:00Z"/>
        <d v="2024-04-30T00:00:00Z"/>
        <d v="2025-04-20T00:00:00Z"/>
        <d v="2024-10-23T00:00:00Z"/>
        <d v="2025-01-03T00:00:00Z"/>
        <d v="2025-07-10T00:00:00Z"/>
        <d v="2023-11-17T00:00:00Z"/>
        <d v="2025-02-08T00:00:00Z"/>
        <d v="2025-05-07T00:00:00Z"/>
        <d v="2025-05-22T00:00:00Z"/>
        <d v="2024-12-04T00:00:00Z"/>
        <d v="2024-06-28T00:00:00Z"/>
        <d v="2024-01-26T00:00:00Z"/>
        <d v="2024-10-30T00:00:00Z"/>
        <d v="2024-04-17T00:00:00Z"/>
        <d v="2025-01-25T00:00:00Z"/>
        <d v="2025-03-21T00:00:00Z"/>
        <d v="2025-05-28T00:00:00Z"/>
      </sharedItems>
    </cacheField>
    <cacheField name="Store_ID" numFmtId="0">
      <sharedItems>
        <s v="STORE3"/>
        <s v="STORE17"/>
        <s v="STORE14"/>
        <s v="STORE5"/>
        <s v="STORE2"/>
        <s v="STORE10"/>
        <s v="STORE1"/>
        <s v="STORE8"/>
        <s v="STORE13"/>
        <s v="STORE9"/>
        <s v="STORE18"/>
        <s v="STORE4"/>
        <s v="STORE16"/>
        <s v="STORE6"/>
        <s v="STORE12"/>
        <s v="STORE7"/>
        <s v="STORE0"/>
        <s v="STORE11"/>
        <s v="STORE19"/>
        <s v="STORE15"/>
      </sharedItems>
    </cacheField>
    <cacheField name="Store_name" numFmtId="0">
      <sharedItems>
        <s v="Johnson-Wright"/>
        <s v="Holloway Ltd"/>
        <s v="Mcdonald Inc"/>
        <s v="Gray Ltd"/>
        <s v="Black-Horn"/>
        <s v="Hill, Wagner and Ballard"/>
        <s v="Martinez, Adkins and Johnson"/>
        <s v="Bean, Jones and Park"/>
        <s v="Gardner, Humphrey and Contreras"/>
        <s v="Moore, Padilla and Butler"/>
        <s v="Guerrero-Schmitt"/>
        <s v="Alexander Group"/>
        <s v="Frederick-Wright"/>
        <s v="Benson-Elliott"/>
        <s v="Thomas, Bridges and Harris"/>
        <s v="Martinez-Mullins"/>
        <s v="Rivera-Warner"/>
        <s v="Aguirre-Keller"/>
        <s v="Mann-Austin"/>
        <s v="Shelton PLC"/>
      </sharedItems>
    </cacheField>
    <cacheField name="Product_Id" numFmtId="0">
      <sharedItems>
        <s v="PROD97"/>
        <s v="PROD74"/>
        <s v="PROD24"/>
        <s v="PROD33"/>
        <s v="PROD59"/>
        <s v="PROD69"/>
        <s v="PROD73"/>
        <s v="PROD0"/>
        <s v="PROD54"/>
        <s v="PROD23"/>
        <s v="PROD75"/>
        <s v="PROD63"/>
        <s v="PROD8"/>
        <s v="PROD25"/>
        <s v="PROD79"/>
        <s v="PROD81"/>
        <s v="PROD37"/>
        <s v="PROD7"/>
        <s v="PROD60"/>
        <s v="PROD62"/>
        <s v="PROD53"/>
        <s v="PROD34"/>
        <s v="PROD52"/>
        <s v="PROD45"/>
        <s v="PROD80"/>
        <s v="PROD55"/>
        <s v="PROD82"/>
        <s v="PROD93"/>
        <s v="PROD95"/>
        <s v="PROD17"/>
        <s v="PROD86"/>
        <s v="PROD44"/>
        <s v="PROD19"/>
        <s v="PROD78"/>
        <s v="PROD43"/>
        <s v="PROD72"/>
        <s v="PROD58"/>
        <s v="PROD47"/>
        <s v="PROD30"/>
        <s v="PROD92"/>
        <s v="PROD28"/>
        <s v="PROD46"/>
        <s v="PROD15"/>
        <s v="PROD38"/>
        <s v="PROD35"/>
        <s v="PROD76"/>
        <s v="PROD66"/>
        <s v="PROD10"/>
        <s v="PROD87"/>
        <s v="PROD61"/>
        <s v="PROD40"/>
        <s v="PROD98"/>
        <s v="PROD50"/>
        <s v="PROD89"/>
        <s v="PROD21"/>
        <s v="PROD64"/>
        <s v="PROD84"/>
        <s v="PROD71"/>
        <s v="PROD4"/>
        <s v="PROD22"/>
        <s v="PROD2"/>
        <s v="PROD83"/>
        <s v="PROD29"/>
        <s v="PROD16"/>
        <s v="PROD57"/>
        <s v="PROD39"/>
        <s v="PROD48"/>
        <s v="PROD91"/>
        <s v="PROD11"/>
        <s v="PROD20"/>
        <s v="PROD85"/>
        <s v="PROD42"/>
        <s v="PROD31"/>
        <s v="PROD90"/>
        <s v="PROD65"/>
        <s v="PROD13"/>
        <s v="PROD96"/>
        <s v="PROD27"/>
        <s v="PROD51"/>
        <s v="PROD77"/>
        <s v="PROD49"/>
        <s v="PROD26"/>
        <s v="PROD41"/>
        <s v="PROD18"/>
        <s v="PROD3"/>
        <s v="PROD12"/>
        <s v="PROD99"/>
        <s v="PROD56"/>
        <s v="PROD36"/>
        <s v="PROD94"/>
        <s v="PROD88"/>
        <s v="PROD5"/>
        <s v="PROD70"/>
        <s v="PROD1"/>
        <s v="PROD14"/>
        <s v="PROD6"/>
        <s v="PROD32"/>
        <s v="PROD68"/>
        <s v="PROD9"/>
        <s v="PROD67"/>
      </sharedItems>
    </cacheField>
    <cacheField name="Product_Name" numFmtId="0">
      <sharedItems>
        <s v="Cricket Bat"/>
        <s v="Bluetooth Car Audio System"/>
        <s v="Foldable Camping Chair"/>
        <s v="Modern Wall Clock"/>
        <s v="Men's Hair Styling Gel"/>
        <s v="Men's Sports Shorts"/>
        <s v="Shin Guards – Adult"/>
        <s v="Brother Laser Printer"/>
        <s v="Sports Stopwatch Pro"/>
        <s v="Men's Formal Shirt"/>
        <s v="Women's Ankle Boots"/>
        <s v="Organic Sunscreen Lotion"/>
        <s v="Decorative Lamp Shade"/>
        <s v="Women's Scarf Set"/>
        <s v="Badminton Racket Set"/>
        <s v="Men's Casual Sneakers"/>
        <s v="Luxury Perfume Spray"/>
        <s v="Laptop Cooling Pad"/>
        <s v="Men's Track Pants"/>
        <s v="Gaming Mechanical Keyboard"/>
        <s v="Rugby Ball"/>
        <s v="High-Grip Football"/>
        <s v="Wall-Mounted Spice Rack"/>
        <s v="Ceramic Plant Pot"/>
        <s v="Fitness Resistance Bands"/>
        <s v="USB-C Laptop Charger"/>
        <s v="Sports Stopwatch Basic"/>
        <s v="Soccer Training Cone Set"/>
        <s v="Kitchen Cutting Board"/>
        <s v="Adjustable Jump Rope"/>
        <s v="Knee Support Brace"/>
        <s v="Essential Oil Diffuser"/>
        <s v="USB External Hard Drive"/>
        <s v="Professional Jump Rope"/>
        <s v="Womens Cotton Scarf"/>
        <s v="Makeup Brush Set"/>
        <s v="Stainless Steel Cutlery Set"/>
        <s v="Microwave Oven"/>
        <s v="Sports Stopwatch Timer"/>
        <s v="Men's Winter Jacket"/>
        <s v="4K Home Projector"/>
        <s v="Sports Water Hydration Pack"/>
        <s v="Bedroom Table Lamp"/>
        <s v="Wireless Mouse"/>
        <s v="Women's Hair Dryer Brush"/>
        <s v="Men's Graphic T-Shirt"/>
        <s v="LED Bedside Lamp"/>
        <s v="Tennis Ball 3-Pack"/>
        <s v="Noise-Canceling Headphones"/>
        <s v="Portable Bluetooth Speaker"/>
        <s v="Boxing Hand Wraps"/>
        <s v="Face Foundation Kit"/>
        <s v="Multi-Purpose Storage Box"/>
        <s v="Matte Lipstick Set"/>
        <s v="Wooden Bookshelf"/>
        <s v="Hair Repair Oil Treatment"/>
        <s v="Portable Power Bank"/>
        <s v="Carbon Fiber Tennis Racket"/>
        <s v="Hydrating Face Cleanser"/>
        <s v="Fabric Sofa Throw Blanket"/>
        <s v="Beard Grooming Kit"/>
        <s v="Foam Roller"/>
        <s v="Car Dashboard Phone Holder"/>
        <s v="Women's High Heels"/>
        <s v="Outdoor Sports Water Bottle"/>
        <s v="Women's Beanie Hat"/>
        <s v="Smart Home WiFi Camera"/>
        <s v="Basketball"/>
        <s v="Gaming Mouse Pad XL"/>
        <s v="Adjustable Dumbbells 20kg"/>
        <s v="USB-C Fast Charger"/>
        <s v="Women's Formal Blazer"/>
        <s v="Decorative Floor Vase"/>
        <s v="HDMI Cable – 2m"/>
        <s v="WiFi Mesh Router"/>
        <s v="Men's Roll-On Perfume"/>
        <s v="Wireless Bluetooth Speaker"/>
        <s v="Yoga Exercise Mat"/>
        <s v="Women's Denim Jeans"/>
        <s v="Hair Strengthening Shampoo"/>
        <s v="Stainless Steel Cookware Set"/>
        <s v="Premium Blanket Throw"/>
        <s v="Women's Summer Dress"/>
        <s v="Vitamin E Body Lotion"/>
        <s v="Sports Wrist Sweatbands"/>
        <s v="Kitchen Storage Rack"/>
        <s v="Decorative Wall Mirror"/>
        <s v="Vitamin C Face Serum"/>
        <s v="Wooden Nightstand"/>
        <s v="Smart LED Light Strip"/>
      </sharedItems>
    </cacheField>
    <cacheField name="Amount" numFmtId="165">
      <sharedItems containsSemiMixedTypes="0" containsString="0" containsNumber="1">
        <n v="198.4164"/>
        <n v="228.7893"/>
        <n v="259.1259"/>
        <n v="658.46"/>
        <n v="1327.8846"/>
        <n v="1805.2736"/>
        <n v="2100.0441"/>
        <n v="3030.424"/>
        <n v="491.3286000000001"/>
        <n v="689.1720000000001"/>
        <n v="1914.8481"/>
        <n v="801.4495999999999"/>
        <n v="359.6138"/>
        <n v="187.1484"/>
        <n v="895.3044"/>
        <n v="761.7384"/>
        <n v="680.884"/>
        <n v="246.5856"/>
        <n v="2862.1208"/>
        <n v="159.3408"/>
        <n v="394.902"/>
        <n v="453.5817"/>
        <n v="447.8296"/>
        <n v="1638.3912"/>
        <n v="1320.064"/>
        <n v="717.2576"/>
        <n v="828.8335999999999"/>
        <n v="209.6512"/>
        <n v="726.3648"/>
        <n v="373.8384"/>
        <n v="283.7484"/>
        <n v="208.3134"/>
        <n v="1299.9"/>
        <n v="70.92479999999999"/>
        <n v="721.8119999999999"/>
        <n v="2897.233999999999"/>
        <n v="2997.615600000001"/>
        <n v="262.808"/>
        <n v="33.1296"/>
        <n v="1871.7186"/>
        <n v="356.1867"/>
        <n v="1230.9501"/>
        <n v="1489.8744"/>
        <n v="1818.3264"/>
        <n v="489.7819999999999"/>
        <n v="509.1498000000001"/>
        <n v="998.1872999999999"/>
        <n v="1636.1118"/>
        <n v="466.7817000000001"/>
        <n v="698.76"/>
        <n v="1988.568"/>
        <n v="1177.0512"/>
        <n v="680.652"/>
        <n v="808.6419"/>
        <n v="150.7608"/>
        <n v="626.6799"/>
        <n v="116.397"/>
        <n v="3181.892"/>
        <n v="602.2512"/>
        <n v="127.3944"/>
        <n v="2826.516"/>
        <n v="1542.1752"/>
        <n v="467.7728"/>
        <n v="1413.93"/>
        <n v="1066.0736"/>
        <n v="355.7152"/>
        <n v="2404.6821"/>
        <n v="606.7308"/>
        <n v="1173.508"/>
        <n v="1605.5052"/>
        <n v="1191.6812"/>
        <n v="955.0151999999999"/>
        <n v="1690.304"/>
        <n v="136.5984"/>
        <n v="1270.746"/>
        <n v="1968.6942"/>
        <n v="809.0456"/>
        <n v="144.9624"/>
        <n v="1018.668"/>
        <n v="2468.4387"/>
        <n v="2060.3912"/>
        <n v="2278.3208"/>
        <n v="2291.6432"/>
        <n v="64.8956"/>
        <n v="1266.356"/>
        <n v="991.2624"/>
        <n v="1742.0256"/>
        <n v="1628.1702"/>
        <n v="1518.6336"/>
        <n v="646.2959999999999"/>
        <n v="197.7336"/>
        <n v="2372.523"/>
        <n v="433.772"/>
        <n v="721.8211"/>
        <n v="1267.6251"/>
        <n v="603.5425999999999"/>
        <n v="1251.5072"/>
        <n v="895.6881"/>
        <n v="946.5300000000001"/>
        <n v="1787.3469"/>
        <n v="528.3066"/>
        <n v="305.9424"/>
        <n v="1027.7358"/>
        <n v="1369.6744"/>
        <n v="1228.4412"/>
        <n v="1896.72"/>
        <n v="1386.2428"/>
        <n v="478.0302"/>
        <n v="671.8978"/>
        <n v="91.402"/>
        <n v="591.5836"/>
        <n v="566.4204"/>
        <n v="674.6356000000001"/>
        <n v="952.5744"/>
        <n v="882.5744000000001"/>
        <n v="155.2272"/>
        <n v="817.2108000000001"/>
        <n v="956.1664"/>
        <n v="664.35"/>
        <n v="353.2734"/>
        <n v="2691.7436"/>
        <n v="763.308"/>
        <n v="222.2675"/>
        <n v="2135.4168"/>
        <n v="2478.45"/>
        <n v="1674.5058"/>
        <n v="1439.136"/>
        <n v="871.4192999999999"/>
        <n v="1236.48"/>
        <n v="1794.303"/>
        <n v="199.2928"/>
        <n v="1022.6838"/>
        <n v="810.0858"/>
        <n v="2807.8008"/>
        <n v="616.029"/>
        <n v="1442.76"/>
        <n v="2020.7097"/>
        <n v="69.2736"/>
        <n v="2263.0068"/>
        <n v="1149.558"/>
        <n v="803.2288"/>
        <n v="611.205"/>
        <n v="676.7392"/>
        <n v="514.6931999999999"/>
        <n v="92.8484"/>
        <n v="756.7658"/>
        <n v="2545.44"/>
        <n v="225.576"/>
        <n v="887.5620000000001"/>
        <n v="769.044"/>
        <n v="780.6912"/>
        <n v="398.9531000000001"/>
        <n v="124.8768"/>
        <n v="2167.9224"/>
        <n v="526.2443999999999"/>
        <n v="435.2736"/>
        <n v="616.5082"/>
        <n v="514.9"/>
        <n v="1388.919"/>
        <n v="1156.3726"/>
        <n v="258.822"/>
        <n v="1120.0599"/>
        <n v="131.047"/>
        <n v="2168.937"/>
        <n v="815.0720000000001"/>
        <n v="1665.692"/>
        <n v="1570.4166"/>
        <n v="405.32"/>
        <n v="2269.4976"/>
        <n v="3239.358"/>
        <n v="3225.9468"/>
        <n v="2107.5246"/>
        <n v="774.1800000000001"/>
        <n v="1080.2104"/>
        <n v="689.3828"/>
        <n v="36.0272"/>
        <n v="600.2955"/>
        <n v="1631.331"/>
        <n v="649.74"/>
        <n v="231.555"/>
        <n v="2404.8024"/>
        <n v="1404.075"/>
        <n v="193.2576"/>
        <n v="1351.3584"/>
        <n v="570.1176"/>
        <n v="52.003"/>
        <n v="1404.0528"/>
        <n v="81.648"/>
        <n v="385.2996"/>
        <n v="159.8755"/>
        <n v="352.593"/>
        <n v="1007.223"/>
        <n v="403.5885"/>
        <n v="449.514"/>
        <n v="1187.178"/>
        <n v="1175.4168"/>
        <n v="3440.0272"/>
        <n v="645.3008000000001"/>
        <n v="190.7064"/>
        <n v="906.2366000000001"/>
        <n v="1482.0798"/>
        <n v="2102.424"/>
        <n v="115.5"/>
        <n v="1219.257"/>
        <n v="1655.717"/>
        <n v="422.013"/>
        <n v="429.3216"/>
        <n v="1639.2096"/>
        <n v="85.1697"/>
        <n v="2397.408"/>
        <n v="296.3169"/>
        <n v="285.9672"/>
        <n v="304.7675"/>
        <n v="215.1442"/>
        <n v="767.4816"/>
        <n v="1147.4496"/>
        <n v="1776.3744"/>
        <n v="545.8050000000001"/>
        <n v="945.126"/>
        <n v="2232.5688"/>
        <n v="2971.0296"/>
        <n v="942.0160000000001"/>
        <n v="1628.0208"/>
        <n v="889.308"/>
        <n v="2552.5368"/>
        <n v="1239.5606"/>
        <n v="661.7595"/>
        <n v="1845.966"/>
        <n v="1828.112"/>
        <n v="593.79"/>
        <n v="1900.1136"/>
        <n v="2950.14"/>
        <n v="821.3516"/>
        <n v="1756.5324"/>
        <n v="1568.943"/>
        <n v="548.062"/>
        <n v="1245.312"/>
        <n v="954.0608000000001"/>
        <n v="1194.9028"/>
        <n v="3220.3444"/>
        <n v="40.9761"/>
        <n v="189.6176"/>
        <n v="264.915"/>
        <n v="1369.1216"/>
        <n v="331.17"/>
        <n v="1275.799"/>
        <n v="1926.15"/>
        <n v="379.6992"/>
        <n v="1370.5232"/>
        <n v="679.1862"/>
        <n v="1053.7551"/>
        <n v="333.8509"/>
        <n v="819.7176"/>
        <n v="1187.898"/>
        <n v="2093.6736"/>
        <n v="202.9836"/>
        <n v="32.6592"/>
        <n v="1031.7507"/>
        <n v="893.3820000000001"/>
        <n v="1746.712"/>
        <n v="1754.94"/>
        <n v="530.2116"/>
        <n v="2035.854"/>
        <n v="361.4592"/>
        <n v="953.4510000000001"/>
        <n v="685.3069999999999"/>
        <n v="584.0459999999999"/>
        <n v="530.145"/>
        <n v="3721.52"/>
        <n v="70.96000000000001"/>
        <n v="665.5168"/>
        <n v="229.3564"/>
        <n v="800.5812"/>
        <n v="122.968"/>
        <n v="1363.4544"/>
        <n v="912.0035999999999"/>
        <n v="112.4496"/>
        <n v="1287.6084"/>
        <n v="3602.7264"/>
        <n v="1538.4006"/>
        <n v="803.9944999999999"/>
        <n v="82.54679999999999"/>
        <n v="1417.824"/>
        <n v="213.709"/>
        <n v="800.337"/>
        <n v="333.0492"/>
        <n v="514.2995999999999"/>
        <n v="2299.5984"/>
        <n v="2013.7872"/>
        <n v="1228.4895"/>
        <n v="77.022"/>
        <n v="926.7263999999999"/>
        <n v="2560.0"/>
        <n v="262.515"/>
        <n v="158.5075"/>
        <n v="2205.024"/>
        <n v="1538.942"/>
        <n v="909.832"/>
        <n v="194.1786"/>
        <n v="2566.404"/>
        <n v="786.1904000000001"/>
        <n v="1125.896"/>
        <n v="2762.1429"/>
        <n v="1715.0595"/>
        <n v="887.3040000000001"/>
        <n v="800.7288"/>
        <n v="2859.2928"/>
        <n v="570.7842"/>
        <n v="2481.5216"/>
        <n v="2358.1584"/>
        <n v="445.104"/>
        <n v="1371.5504"/>
        <n v="673.875"/>
        <n v="1304.946"/>
        <n v="223.8728"/>
        <n v="574.107"/>
        <n v="529.8858"/>
        <n v="929.1632000000001"/>
        <n v="1071.904"/>
        <n v="763.9775999999999"/>
        <n v="712.5974999999999"/>
        <n v="2013.5178"/>
        <n v="1438.8352"/>
        <n v="213.5588"/>
        <n v="548.275"/>
        <n v="1925.8533"/>
        <n v="1146.6272"/>
        <n v="64.8784"/>
        <n v="36.225"/>
        <n v="1537.404"/>
        <n v="1548.9465"/>
        <n v="1969.956"/>
        <n v="1659.9756"/>
        <n v="1280.115"/>
        <n v="150.7902"/>
        <n v="443.66"/>
        <n v="782.1754"/>
        <n v="812.7574"/>
        <n v="1005.3216"/>
        <n v="590.841"/>
        <n v="1040.2404"/>
        <n v="2182.4464"/>
        <n v="105.4728"/>
        <n v="343.6694"/>
        <n v="103.9311"/>
        <n v="900.592"/>
        <n v="1505.2576"/>
        <n v="850.2975"/>
        <n v="926.4010000000001"/>
        <n v="242.039"/>
        <n v="1627.4391"/>
        <n v="138.4229"/>
        <n v="1774.344"/>
        <n v="1477.5"/>
        <n v="615.7404"/>
        <n v="2774.6132"/>
        <n v="450.5239999999999"/>
        <n v="2549.484"/>
        <n v="3306.1392"/>
        <n v="1359.5925"/>
        <n v="1373.7651"/>
        <n v="502.6212"/>
        <n v="1861.988"/>
        <n v="1904.544"/>
        <n v="273.5226"/>
        <n v="95.40820000000001"/>
        <n v="700.5544000000001"/>
        <n v="257.2401"/>
        <n v="2460.3708"/>
        <n v="496.9734"/>
        <n v="142.5252"/>
        <n v="287.388"/>
        <n v="2760.544"/>
        <n v="54.4896"/>
        <n v="1448.752"/>
        <n v="469.0008"/>
        <n v="1741.35"/>
        <n v="1482.1808"/>
        <n v="634.1784"/>
        <n v="3034.2824"/>
        <n v="273.0888"/>
        <n v="1867.9206"/>
        <n v="2839.6248"/>
        <n v="1602.7068"/>
        <n v="2281.14"/>
        <n v="1451.6961"/>
        <n v="1792.1181"/>
        <n v="954.765"/>
        <n v="1142.4972"/>
        <n v="396.2303999999999"/>
        <n v="3019.2288"/>
        <n v="1349.0568"/>
        <n v="342.9225"/>
        <n v="2100.7728"/>
        <n v="523.776"/>
        <n v="372.0299"/>
        <n v="1311.4192"/>
        <n v="2487.380999999999"/>
        <n v="373.6656"/>
        <n v="192.885"/>
        <n v="1171.2978"/>
        <n v="255.888"/>
        <n v="2471.6376"/>
        <n v="377.1098"/>
        <n v="2585.8644"/>
        <n v="2367.15"/>
        <n v="570.52"/>
        <n v="969.6648000000001"/>
        <n v="848.8244"/>
        <n v="487.188"/>
        <n v="896.0400000000002"/>
        <n v="46.2168"/>
        <n v="586.7171999999999"/>
        <n v="201.597"/>
        <n v="2033.9406"/>
        <n v="2576.2302"/>
        <n v="736.668"/>
        <n v="1022.2128"/>
        <n v="547.7472"/>
        <n v="813.0472"/>
        <n v="48.1015"/>
        <n v="2906.568"/>
        <n v="898.8216000000001"/>
        <n v="311.4328"/>
        <n v="641.736"/>
        <n v="1005.3944"/>
        <n v="1512.2268"/>
        <n v="1176.4536"/>
        <n v="291.5822"/>
        <n v="513.8136"/>
        <n v="359.504"/>
        <n v="1392.2716"/>
        <n v="577.8234"/>
        <n v="103.8609"/>
        <n v="457.737"/>
        <n v="2147.55"/>
        <n v="758.3812"/>
        <n v="127.2171"/>
        <n v="2110.1256"/>
        <n v="449.0395"/>
        <n v="384.1104"/>
        <n v="372.285"/>
        <n v="241.034"/>
        <n v="1832.379"/>
        <n v="1813.0716"/>
        <n v="538.5634"/>
        <n v="1145.8548"/>
        <n v="948.123"/>
        <n v="2163.7056"/>
        <n v="794.457"/>
        <n v="888.0444"/>
        <n v="1169.6238"/>
        <n v="269.8719"/>
        <n v="925.1896"/>
        <n v="1685.1573"/>
        <n v="660.114"/>
        <n v="726.8000000000001"/>
        <n v="1272.592"/>
        <n v="372.923"/>
        <n v="542.571"/>
        <n v="411.7149000000001"/>
        <n v="229.023"/>
        <n v="2234.7188"/>
        <n v="1138.83"/>
        <n v="1677.4904"/>
        <n v="599.5835999999999"/>
        <n v="101.3886"/>
        <n v="3316.16"/>
        <n v="125.8888"/>
        <n v="1443.7104"/>
        <n v="1023.33"/>
        <n v="1984.7356"/>
        <n v="713.4"/>
        <n v="1249.5006"/>
        <n v="340.0626"/>
        <n v="1171.2288"/>
        <n v="728.1204"/>
        <n v="2107.4004"/>
        <n v="1818.4914"/>
        <n v="1283.2404"/>
        <n v="1278.3408"/>
        <n v="323.561"/>
        <n v="339.4245999999999"/>
        <n v="172.7667"/>
        <n v="1974.2418"/>
        <n v="971.392"/>
        <n v="519.1533"/>
        <n v="953.5500000000001"/>
        <n v="165.8447"/>
        <n v="297.2892"/>
        <n v="1523.124"/>
        <n v="540.9072"/>
        <n v="730.1916"/>
        <n v="1657.5456"/>
        <n v="3228.876"/>
        <n v="1426.698"/>
        <n v="1450.89"/>
        <n v="360.8556"/>
        <n v="1972.92"/>
        <n v="86.2854"/>
        <n v="2748.2224"/>
        <n v="272.6218"/>
        <n v="977.0488000000001"/>
        <n v="426.1224"/>
        <n v="799.1334"/>
        <n v="2026.1829"/>
        <n v="1395.6948"/>
        <n v="1583.0316"/>
        <n v="2801.768"/>
        <n v="1857.2176"/>
        <n v="3745.8048"/>
        <n v="1776.5286"/>
        <n v="1905.1725"/>
        <n v="1753.23"/>
        <n v="1462.003"/>
        <n v="113.3358"/>
        <n v="90.4798"/>
        <n v="325.5442"/>
        <n v="535.3502"/>
        <n v="678.608"/>
        <n v="1352.076"/>
        <n v="347.8200000000001"/>
        <n v="81.61919999999999"/>
        <n v="1536.744"/>
        <n v="562.3282"/>
        <n v="1846.08"/>
        <n v="541.6673999999999"/>
        <n v="2467.4496"/>
        <n v="419.4648"/>
        <n v="891.872"/>
        <n v="1740.628"/>
        <n v="714.4176"/>
        <n v="3293.5448"/>
        <n v="529.749"/>
        <n v="2728.2024"/>
        <n v="475.9819"/>
        <n v="333.8128"/>
        <n v="312.0805"/>
        <n v="1032.0813"/>
        <n v="683.001"/>
        <n v="2974.644"/>
        <n v="818.425"/>
        <n v="435.342"/>
        <n v="871.3969999999999"/>
        <n v="344.5368"/>
        <n v="502.5132"/>
        <n v="1432.2744"/>
        <n v="515.9325"/>
        <n v="2101.0626"/>
        <n v="359.1965"/>
        <n v="857.1"/>
        <n v="1112.9536"/>
        <n v="413.5335"/>
        <n v="2010.6432"/>
        <n v="444.6143999999999"/>
        <n v="1533.824"/>
        <n v="1081.0134"/>
        <n v="2509.4592"/>
        <n v="1194.9504"/>
        <n v="618.6936"/>
        <n v="377.28"/>
        <n v="1630.3392"/>
        <n v="229.3109"/>
        <n v="189.216"/>
        <n v="692.3883999999999"/>
        <n v="1884.54"/>
        <n v="906.5033999999999"/>
        <n v="716.1336"/>
        <n v="137.697"/>
        <n v="1584.784"/>
        <n v="1345.6368"/>
        <n v="148.4916"/>
        <n v="2936.0144"/>
        <n v="328.02"/>
        <n v="944.4709999999999"/>
        <n v="126.5916"/>
        <n v="1579.7805"/>
        <n v="682.556"/>
        <n v="1877.6688"/>
        <n v="1289.61"/>
        <n v="193.5572"/>
        <n v="1631.2854"/>
        <n v="392.0272000000001"/>
        <n v="576.973"/>
        <n v="953.4876"/>
        <n v="1136.7584"/>
        <n v="468.7832"/>
        <n v="385.6788"/>
        <n v="1084.7936"/>
        <n v="1616.8104"/>
        <n v="753.5039999999999"/>
        <n v="1491.7896"/>
        <n v="184.2291"/>
        <n v="2801.19"/>
        <n v="1587.4998"/>
        <n v="2465.9856"/>
        <n v="189.244"/>
        <n v="1898.2482"/>
        <n v="860.3195999999999"/>
        <n v="1220.022"/>
        <n v="1261.638"/>
        <n v="3332.0888"/>
        <n v="300.2022"/>
        <n v="502.107"/>
        <n v="269.0166"/>
        <n v="1823.1948"/>
        <n v="905.85"/>
        <n v="2019.6945"/>
        <n v="980.3544"/>
        <n v="136.0996"/>
        <n v="641.9168999999999"/>
        <n v="248.1783"/>
        <n v="230.1252"/>
        <n v="3077.5992"/>
        <n v="169.728"/>
        <n v="37.328"/>
        <n v="2474.208"/>
        <n v="1065.4896"/>
        <n v="706.7787999999999"/>
        <n v="3393.88"/>
        <n v="878.5062"/>
        <n v="958.9536"/>
        <n v="287.3962"/>
        <n v="487.8535"/>
        <n v="1843.04"/>
        <n v="129.7248"/>
        <n v="1407.6018"/>
        <n v="349.2225"/>
        <n v="1243.1224"/>
        <n v="661.4708"/>
        <n v="1081.04"/>
        <n v="1023.264"/>
        <n v="77.29320000000001"/>
        <n v="1302.3672"/>
        <n v="2677.062"/>
        <n v="79.776"/>
        <n v="2434.0672"/>
        <n v="2733.2268"/>
        <n v="361.162"/>
        <n v="1758.294"/>
        <n v="605.501"/>
        <n v="362.3235"/>
        <n v="1455.1326"/>
        <n v="2320.2784"/>
        <n v="324.03"/>
        <n v="1202.4012"/>
        <n v="93.9092"/>
        <n v="863.6026"/>
        <n v="167.76"/>
        <n v="579.2495"/>
        <n v="1578.978"/>
        <n v="758.0366"/>
        <n v="140.72"/>
        <n v="1176.945"/>
        <n v="229.614"/>
        <n v="2103.1764"/>
        <n v="1801.419"/>
        <n v="193.1234"/>
        <n v="221.61"/>
        <n v="727.2865999999999"/>
        <n v="1758.4812"/>
        <n v="84.5272"/>
        <n v="2155.272"/>
        <n v="104.6199"/>
        <n v="384.4665"/>
        <n v="1398.712"/>
        <n v="1250.8044"/>
        <n v="104.227"/>
        <n v="677.97"/>
        <n v="1084.6812"/>
        <n v="1340.0002"/>
        <n v="299.4939"/>
        <n v="226.2254"/>
        <n v="902.2538"/>
        <n v="390.9598"/>
        <n v="2280.3669"/>
        <n v="2291.73"/>
        <n v="1155.2436"/>
        <n v="511.35"/>
        <n v="125.1588"/>
        <n v="455.6009999999999"/>
        <n v="1523.064"/>
        <n v="1423.7184"/>
        <n v="642.905"/>
        <n v="174.4044"/>
        <n v="1939.2012"/>
        <n v="2249.4912"/>
        <n v="456.1439999999999"/>
        <n v="57.3896"/>
        <n v="781.616"/>
        <n v="1348.215"/>
        <n v="952.8456"/>
        <n v="607.8672"/>
        <n v="314.8232"/>
        <n v="1688.3248"/>
        <n v="398.2394"/>
        <n v="587.1508"/>
        <n v="705.5856"/>
        <n v="768.4638"/>
        <n v="173.5488"/>
        <n v="308.79"/>
        <n v="435.0138"/>
        <n v="473.6607"/>
        <n v="646.9989999999999"/>
        <n v="1207.7604"/>
        <n v="1469.8719"/>
        <n v="654.3621999999999"/>
        <n v="583.17"/>
        <n v="305.73"/>
        <n v="1352.4272"/>
        <n v="1501.3362"/>
        <n v="2645.6748"/>
        <n v="1142.253"/>
        <n v="485.5583999999999"/>
        <n v="86.621"/>
        <n v="3110.9864"/>
        <n v="637.056"/>
        <n v="853.5452"/>
        <n v="844.0137000000001"/>
        <n v="582.8841"/>
        <n v="561.3344"/>
        <n v="313.99"/>
        <n v="2280.0664"/>
        <n v="196.6734"/>
        <n v="1741.557"/>
        <n v="719.272"/>
        <n v="649.89"/>
        <n v="454.0164"/>
        <n v="1367.1368"/>
        <n v="581.5835999999999"/>
        <n v="1253.0012"/>
        <n v="1017.7704"/>
        <n v="1666.95"/>
        <n v="188.7896"/>
        <n v="2797.8165"/>
        <n v="2343.4616"/>
        <n v="1544.9434"/>
        <n v="1746.96"/>
        <n v="1321.5336"/>
        <n v="60.3922"/>
        <n v="990.6336"/>
        <n v="813.4689"/>
        <n v="825.0264"/>
        <n v="103.5648"/>
        <n v="2976.604"/>
        <n v="638.8844"/>
        <n v="1620.8256"/>
        <n v="1383.5664"/>
        <n v="3094.2208"/>
        <n v="614.5108"/>
        <n v="617.6655"/>
        <n v="705.9336000000001"/>
        <n v="540.4208"/>
        <n v="1654.7328"/>
        <n v="19.8716"/>
        <n v="288.1452"/>
        <n v="238.9716"/>
        <n v="798.5520000000001"/>
        <n v="217.2606"/>
        <n v="837.4211999999999"/>
        <n v="2439.2984"/>
        <n v="111.1434"/>
        <n v="2083.8664"/>
        <n v="1802.112"/>
        <n v="1701.7506"/>
        <n v="1554.5838"/>
        <n v="53.818"/>
        <n v="2671.74"/>
        <n v="604.4192"/>
        <n v="497.1642"/>
        <n v="605.76"/>
        <n v="3502.9688"/>
        <n v="271.1792"/>
        <n v="263.0463"/>
        <n v="52.1508"/>
        <n v="843.0236"/>
        <n v="223.516"/>
        <n v="1124.3964"/>
        <n v="1618.6016"/>
        <n v="774.1426"/>
        <n v="109.5624"/>
        <n v="1759.434"/>
        <n v="2190.132"/>
        <n v="1892.7168"/>
        <n v="178.514"/>
        <n v="152.0343"/>
        <n v="2282.2626"/>
        <n v="1990.035"/>
        <n v="1366.898"/>
        <n v="1885.5162"/>
        <n v="571.3318"/>
        <n v="240.5592"/>
        <n v="240.4482"/>
        <n v="502.53"/>
        <n v="905.1655999999999"/>
        <n v="364.08"/>
        <n v="2925.7312"/>
        <n v="111.1636"/>
        <n v="97.00019999999999"/>
        <n v="1492.9516"/>
        <n v="1136.0936"/>
        <n v="727.818"/>
        <n v="1241.88"/>
        <n v="413.073"/>
        <n v="922.9692"/>
        <n v="336.4578"/>
        <n v="2798.4132"/>
        <n v="1303.3905"/>
        <n v="1113.882"/>
        <n v="2700.3312"/>
        <n v="130.932"/>
        <n v="2483.28"/>
        <n v="514.3424"/>
        <n v="1068.246"/>
        <n v="973.0279999999999"/>
        <n v="1347.7384"/>
        <n v="1624.4892"/>
        <n v="428.897"/>
        <n v="303.8114"/>
        <n v="3237.0576"/>
        <n v="2243.3928"/>
        <n v="72.79960000000001"/>
        <n v="1744.8368"/>
        <n v="883.7166000000001"/>
        <n v="2873.864"/>
        <n v="1629.7616"/>
        <n v="1616.2152"/>
        <n v="24.13"/>
        <n v="510.2202"/>
        <n v="529.677"/>
        <n v="102.172"/>
        <n v="2409.8216"/>
        <n v="1810.8324"/>
        <n v="50.048"/>
        <n v="1276.6416"/>
        <n v="1217.158"/>
        <n v="1418.3784"/>
        <n v="2031.7928"/>
        <n v="2407.0584"/>
        <n v="1058.16"/>
        <n v="380.8458000000001"/>
        <n v="865.0363"/>
        <n v="649.605"/>
        <n v="1748.5209"/>
        <n v="609.4584"/>
        <n v="2922.2952"/>
        <n v="617.292"/>
        <n v="545.6808"/>
        <n v="99.26920000000001"/>
        <n v="1025.85"/>
        <n v="1140.456"/>
        <n v="508.8864"/>
        <n v="1181.7432"/>
        <n v="1566.5664"/>
        <n v="568.6148"/>
        <n v="1208.2028"/>
        <n v="493.6428"/>
        <n v="75.84"/>
        <n v="2065.5936"/>
        <n v="199.7961"/>
        <n v="880.6616"/>
        <n v="93.8232"/>
        <n v="3539.8656"/>
        <n v="1595.0952"/>
        <n v="1815.754"/>
        <n v="1308.5928"/>
        <n v="782.1600000000001"/>
        <n v="1876.3152"/>
        <n v="2555.64"/>
        <n v="982.2288"/>
        <n v="517.8965"/>
        <n v="198.7782"/>
        <n v="1814.9832"/>
        <n v="1278.4896"/>
        <n v="339.2466"/>
        <n v="1343.0316"/>
        <n v="361.4958"/>
        <n v="318.3076"/>
        <n v="751.2726"/>
        <n v="762.3681999999999"/>
        <n v="615.083"/>
        <n v="153.1115"/>
        <n v="1123.434"/>
        <n v="354.564"/>
        <n v="553.6864"/>
        <n v="1078.8174"/>
        <n v="790.7659"/>
        <n v="2462.34"/>
        <n v="940.69"/>
        <n v="1347.456"/>
        <n v="838.845"/>
        <n v="2089.8951"/>
        <n v="763.1572"/>
        <n v="285.8394"/>
        <n v="2324.556"/>
        <n v="1232.952"/>
        <n v="341.003"/>
        <n v="1737.9912"/>
        <n v="1765.176"/>
        <n v="127.794"/>
        <n v="491.4698999999999"/>
        <n v="133.339"/>
        <n v="137.496"/>
        <n v="487.746"/>
        <n v="2145.7485"/>
        <n v="1575.0724"/>
        <n v="1635.2616"/>
        <n v="236.7372"/>
        <n v="488.7168"/>
        <n v="2315.852"/>
        <n v="1267.9744"/>
        <n v="981.9864"/>
        <n v="442.6149"/>
        <n v="2908.1696"/>
        <n v="989.9368000000001"/>
        <n v="551.259"/>
        <n v="43.1442"/>
        <n v="1210.8714"/>
        <n v="2943.5296"/>
        <n v="1058.448"/>
        <n v="1695.3075"/>
        <n v="2141.85"/>
        <n v="1287.36"/>
        <n v="328.7524"/>
        <n v="541.6191"/>
        <n v="1958.144"/>
        <n v="39.974"/>
        <n v="654.3656"/>
        <n v="3032.656"/>
        <n v="166.8249"/>
        <n v="465.832"/>
        <n v="188.0424"/>
        <n v="614.0742"/>
        <n v="1664.811"/>
        <n v="1657.0092"/>
        <n v="678.841"/>
        <n v="127.296"/>
        <n v="1720.7438"/>
        <n v="1503.1768"/>
        <n v="102.3752"/>
        <n v="791.8847999999999"/>
        <n v="2319.4512"/>
        <n v="1296.261"/>
        <n v="910.2636"/>
        <n v="794.5092"/>
        <n v="2458.46"/>
        <n v="1301.6094"/>
        <n v="749.0304"/>
        <n v="2224.2816"/>
        <n v="774.5759999999999"/>
        <n v="34.1784"/>
        <n v="2396.0799"/>
        <n v="1624.443"/>
        <n v="910.3643999999999"/>
        <n v="537.3897"/>
        <n v="758.24"/>
        <n v="773.0304"/>
        <n v="968.1791999999999"/>
        <n v="1558.9272"/>
        <n v="948.6935999999998"/>
        <n v="96.4592"/>
        <n v="2871.368"/>
        <n v="483.9464"/>
        <n v="2916.42"/>
        <n v="1146.8154"/>
        <n v="2819.0064"/>
        <n v="2650.292"/>
        <n v="2235.4788"/>
        <n v="1087.6734"/>
        <n v="459.2884"/>
        <n v="464.4255000000001"/>
        <n v="562.3589999999999"/>
        <n v="725.3442"/>
        <n v="1894.08"/>
        <n v="650.916"/>
        <n v="143.2404"/>
        <n v="1093.2938"/>
        <n v="1487.4636"/>
        <n v="64.1256"/>
        <n v="1786.2336"/>
        <n v="383.002"/>
        <n v="3339.8264"/>
        <n v="122.1327"/>
        <n v="571.6392000000001"/>
        <n v="625.4658"/>
        <n v="838.1228"/>
        <n v="1061.91"/>
        <n v="146.5792"/>
        <n v="2350.4888"/>
        <n v="128.9568"/>
        <n v="522.684"/>
        <n v="2282.9664"/>
        <n v="1956.0321"/>
        <n v="93.654"/>
        <n v="319.0784"/>
        <n v="1549.9155"/>
        <n v="1307.3346"/>
        <n v="2829.7228"/>
        <n v="232.4232"/>
        <n v="2084.3328"/>
        <n v="984.37"/>
        <n v="1782.4512"/>
        <n v="1146.939"/>
        <n v="418.1584"/>
        <n v="38.0038"/>
        <n v="1046.5488"/>
        <n v="1356.885"/>
        <n v="502.7524"/>
        <n v="793.3869000000001"/>
        <n v="2075.913"/>
        <n v="2513.8984"/>
        <n v="895.5342"/>
        <n v="1443.2418"/>
        <n v="780.7529999999999"/>
        <n v="762.0029999999999"/>
        <n v="223.592"/>
        <n v="846.7488"/>
        <n v="757.1676000000001"/>
        <n v="709.1270999999999"/>
        <n v="810.0971999999999"/>
        <n v="942.2280000000001"/>
        <n v="1099.76"/>
        <n v="47.6212"/>
        <n v="1505.1168"/>
        <n v="922.2074999999999"/>
        <n v="855.9831"/>
        <n v="1734.18"/>
        <n v="1662.5312"/>
        <n v="1184.89"/>
        <n v="559.7995"/>
        <n v="630.1866"/>
        <n v="355.2448"/>
        <n v="2373.462"/>
        <n v="579.5884000000001"/>
        <n v="626.3712"/>
        <n v="263.6072"/>
        <n v="715.3004999999999"/>
        <n v="134.9568"/>
        <n v="994.4820000000001"/>
        <n v="1301.8758"/>
        <n v="574.883"/>
        <n v="2139.3312"/>
        <n v="274.4523"/>
        <n v="1706.43"/>
        <n v="599.471"/>
        <n v="1070.762"/>
        <n v="2184.582"/>
        <n v="591.7031999999999"/>
        <n v="2504.067"/>
        <n v="270.5164"/>
        <n v="1128.732"/>
        <n v="1119.4092"/>
        <n v="259.3763"/>
        <n v="729.39"/>
        <n v="591.3072"/>
        <n v="340.2"/>
        <n v="2779.5932"/>
        <n v="862.5143"/>
        <n v="548.5224000000001"/>
        <n v="1034.7036"/>
        <n v="1532.3904"/>
        <n v="1648.668"/>
        <n v="786.0314"/>
        <n v="887.8632"/>
        <n v="2935.8252"/>
        <n v="1882.1952"/>
        <n v="1120.4751"/>
        <n v="493.0596"/>
        <n v="2620.746"/>
        <n v="637.3739999999999"/>
        <n v="163.5744"/>
        <n v="1051.736"/>
        <n v="3242.1668"/>
        <n v="322.9899"/>
        <n v="51.1384"/>
        <n v="817.7943"/>
        <n v="1313.1166"/>
        <n v="509.7591"/>
        <n v="78.5868"/>
        <n v="525.0028"/>
        <n v="889.83"/>
        <n v="366.858"/>
        <n v="565.9089"/>
        <n v="64.7995"/>
        <n v="1264.335"/>
        <n v="346.484"/>
        <n v="1564.0116"/>
        <n v="592.5074000000001"/>
        <n v="1510.719"/>
        <n v="1106.3094"/>
        <n v="381.9564"/>
        <n v="700.4052"/>
        <n v="320.892"/>
        <n v="2704.47"/>
        <n v="506.709"/>
        <n v="595.41"/>
        <n v="953.3868"/>
        <n v="2317.6384"/>
        <n v="88.81479999999999"/>
        <n v="316.8936"/>
        <n v="545.4824"/>
        <n v="588.4924"/>
        <n v="757.39"/>
        <n v="152.2801"/>
        <n v="1755.5384"/>
        <n v="2155.2228"/>
        <n v="905.23"/>
        <n v="274.0311"/>
        <n v="2391.4527"/>
        <n v="1014.2588"/>
        <n v="2694.3045"/>
        <n v="170.4405"/>
        <n v="2742.15"/>
        <n v="2159.4276"/>
        <n v="1661.8032"/>
        <n v="752.862"/>
        <n v="1175.2416"/>
        <n v="859.7808"/>
        <n v="1909.9608"/>
        <n v="374.3454"/>
        <n v="1146.4796"/>
        <n v="125.8389"/>
        <n v="3576.0384"/>
        <n v="595.9775999999999"/>
        <n v="459.8568"/>
        <n v="600.9798"/>
        <n v="1491.4119"/>
        <n v="417.0084"/>
        <n v="558.3901999999999"/>
        <n v="574.1216000000001"/>
        <n v="907.5255"/>
        <n v="390.816"/>
        <n v="286.2252"/>
        <n v="2281.8532"/>
        <n v="295.4504"/>
        <n v="2850.1122"/>
        <n v="1199.358"/>
        <n v="2217.752"/>
        <n v="529.8900000000001"/>
        <n v="1495.74"/>
        <n v="1447.2216"/>
        <n v="2532.348"/>
        <n v="1825.3248"/>
        <n v="1819.7998"/>
        <n v="1630.0416"/>
        <n v="2123.9856"/>
        <n v="661.7376"/>
        <n v="1214.676"/>
        <n v="1519.6104"/>
        <n v="2416.7088"/>
        <n v="940.1484999999999"/>
        <n v="348.7848"/>
        <n v="672.299"/>
        <n v="1521.7632"/>
        <n v="1026.048"/>
        <n v="469.6076"/>
        <n v="253.092"/>
        <n v="216.504"/>
        <n v="2157.2703"/>
        <n v="655.1737999999999"/>
        <n v="358.8585"/>
        <n v="1365.663"/>
        <n v="1303.6896"/>
        <n v="641.41"/>
        <n v="200.9392"/>
        <n v="736.5995"/>
        <n v="1422.492"/>
        <n v="1341.87"/>
        <n v="2933.3224"/>
        <n v="2290.4244"/>
        <n v="3143.84"/>
        <n v="494.568"/>
        <n v="403.0656"/>
        <n v="1562.929"/>
        <n v="1329.1128"/>
        <n v="111.9612"/>
        <n v="1060.5816"/>
        <n v="180.5814"/>
        <n v="589.798"/>
        <n v="599.6544"/>
        <n v="2176.228"/>
        <n v="3159.0612"/>
        <n v="1194.7392"/>
        <n v="1481.0512"/>
        <n v="2407.2648"/>
        <n v="388.5"/>
        <n v="2337.75"/>
        <n v="692.27"/>
        <n v="315.2478"/>
        <n v="2599.5948"/>
        <n v="2030.5701"/>
        <n v="1330.0704"/>
        <n v="197.682"/>
        <n v="1519.4976"/>
        <n v="811.0716"/>
        <n v="394.5863"/>
        <n v="581.7696"/>
        <n v="1212.9008"/>
        <n v="1741.5192"/>
        <n v="937.4896"/>
        <n v="2687.526"/>
        <n v="132.0938"/>
        <n v="299.6721"/>
        <n v="177.192"/>
        <n v="1568.5425"/>
        <n v="346.494"/>
        <n v="442.7905"/>
        <n v="553.1896"/>
        <n v="2181.465000000001"/>
        <n v="2175.5252"/>
        <n v="1504.476"/>
        <n v="154.7436"/>
        <n v="1535.678"/>
        <n v="1501.152"/>
        <n v="480.4125"/>
        <n v="491.771"/>
        <n v="425.4176"/>
        <n v="378.594"/>
        <n v="1879.05"/>
        <n v="356.044"/>
        <n v="1372.2396"/>
        <n v="208.2528"/>
        <n v="1536.656"/>
        <n v="774.0684"/>
        <n v="373.5606"/>
        <n v="2703.9888"/>
        <n v="1953.1368"/>
        <n v="1384.224"/>
        <n v="1283.086"/>
        <n v="2062.8696"/>
        <n v="2156.6952"/>
        <n v="1625.2544"/>
        <n v="326.256"/>
        <n v="1475.0916"/>
        <n v="1127.022"/>
        <n v="288.9824"/>
        <n v="271.2836"/>
        <n v="2699.0964"/>
        <n v="954.018"/>
        <n v="72.02520000000001"/>
        <n v="269.217"/>
        <n v="844.382"/>
        <n v="2873.996999999999"/>
        <n v="330.7824"/>
        <n v="199.5678"/>
        <n v="218.491"/>
        <n v="1154.8944"/>
        <n v="1552.9794"/>
        <n v="547.177"/>
        <n v="423.6284000000001"/>
        <n v="831.9275"/>
        <n v="2084.072"/>
        <n v="1018.3302"/>
        <n v="1098.666"/>
        <n v="190.54"/>
        <n v="1444.212"/>
        <n v="71.19359999999999"/>
        <n v="1219.427"/>
        <n v="750.2031"/>
        <n v="65.155"/>
        <n v="1174.2948"/>
        <n v="1353.7854"/>
        <n v="1042.491"/>
        <n v="2799.072"/>
        <n v="2495.4744"/>
        <n v="96.25"/>
        <n v="346.38"/>
        <n v="1032.36"/>
        <n v="2148.1212"/>
        <n v="2724.4035"/>
        <n v="339.3756"/>
        <n v="1205.3328"/>
        <n v="2312.2569"/>
        <n v="817.1550000000001"/>
        <n v="1083.7284"/>
        <n v="1321.9596"/>
        <n v="437.3772"/>
        <n v="148.3002"/>
        <n v="833.684"/>
        <n v="354.3264"/>
        <n v="1589.3952"/>
        <n v="2317.1544"/>
        <n v="1446.1376"/>
        <n v="612.1668"/>
        <n v="868.98"/>
        <n v="1492.7882"/>
        <n v="615.3282"/>
        <n v="414.2592"/>
        <n v="2019.684"/>
        <n v="2199.345"/>
        <n v="1409.9904"/>
        <n v="2329.74"/>
        <n v="477.6552"/>
        <n v="1307.6"/>
        <n v="535.624"/>
        <n v="153.8568"/>
        <n v="158.56"/>
        <n v="610.1106"/>
        <n v="2097.1008"/>
        <n v="228.796"/>
        <n v="1002.5028"/>
        <n v="266.6544"/>
        <n v="583.2520000000001"/>
        <n v="594.4355"/>
        <n v="331.2628"/>
        <n v="1331.91"/>
        <n v="456.4948"/>
        <n v="303.2964"/>
        <n v="2634.008"/>
        <n v="776.5056"/>
        <n v="685.3488"/>
        <n v="1793.6046"/>
        <n v="2764.8032"/>
        <n v="2051.254"/>
        <n v="959.1323999999998"/>
        <n v="104.7144"/>
        <n v="127.611"/>
        <n v="1193.2704"/>
        <n v="3265.292"/>
        <n v="2389.1322"/>
        <n v="2847.6208"/>
        <n v="598.239"/>
        <n v="1793.2632"/>
        <n v="1105.3432"/>
        <n v="3225.582"/>
        <n v="224.6064"/>
        <n v="836.4740999999999"/>
        <n v="299.7342"/>
        <n v="1810.0828"/>
        <n v="972.3296"/>
        <n v="2676.699"/>
        <n v="2785.7895"/>
        <n v="493.92"/>
        <n v="1320.966"/>
        <n v="1833.438"/>
        <n v="1625.3796"/>
        <n v="35.0532"/>
        <n v="2266.7328"/>
        <n v="723.2543999999999"/>
        <n v="2989.0784"/>
        <n v="1756.35"/>
        <n v="558.8625"/>
        <n v="814.7424"/>
        <n v="445.806"/>
        <n v="648.2994"/>
        <n v="1363.9184"/>
        <n v="945.2172000000002"/>
        <n v="1245.4304"/>
        <n v="693.783"/>
        <n v="1430.6706"/>
        <n v="82.5132"/>
        <n v="1204.6944"/>
        <n v="97.443"/>
        <n v="1325.9992"/>
        <n v="829.9606"/>
        <n v="2851.3002"/>
        <n v="1298.3026"/>
        <n v="1537.452"/>
        <n v="147.7674"/>
        <n v="1176.255"/>
        <n v="175.4825"/>
        <n v="570.871"/>
        <n v="592.9992"/>
        <n v="419.92"/>
        <n v="3412.134"/>
        <n v="3111.192"/>
        <n v="1111.7946"/>
        <n v="587.3336"/>
        <n v="1864.3176"/>
        <n v="837.2360999999999"/>
        <n v="1597.624"/>
        <n v="1042.3728"/>
        <n v="129.4"/>
        <n v="1309.4226"/>
        <n v="2548.5264"/>
        <n v="2721.1184"/>
        <n v="1455.2208"/>
        <n v="874.9195999999998"/>
        <n v="2556.1972"/>
        <n v="322.3528"/>
        <n v="439.2742"/>
        <n v="513.702"/>
        <n v="566.2189999999999"/>
        <n v="2230.3304"/>
        <n v="216.4474"/>
        <n v="649.5192000000001"/>
        <n v="865.1164"/>
        <n v="1394.5596"/>
        <n v="810.5713999999999"/>
        <n v="1050.2966"/>
        <n v="1050.504"/>
        <n v="2148.275999999999"/>
        <n v="2952.5216"/>
        <n v="773.6092"/>
        <n v="1640.052"/>
        <n v="1729.4748"/>
        <n v="1372.888"/>
        <n v="1023.678"/>
        <n v="1182.8482"/>
        <n v="1484.7294"/>
        <n v="1208.27"/>
        <n v="393.5686"/>
        <n v="2240.992"/>
        <n v="615.4784000000001"/>
        <n v="437.76"/>
        <n v="434.0568"/>
        <n v="612.5976"/>
        <n v="79.6385"/>
        <n v="1403.892"/>
        <n v="3066.6688"/>
        <n v="766.3743"/>
        <n v="2198.16"/>
        <n v="116.7708"/>
        <n v="411.3520000000001"/>
        <n v="426.0360000000001"/>
        <n v="1223.0694"/>
        <n v="24.4426"/>
        <n v="1579.3443"/>
        <n v="235.3212"/>
        <n v="2859.9408"/>
        <n v="645.0808000000001"/>
        <n v="600.9548"/>
        <n v="1733.9049"/>
        <n v="372.3336"/>
        <n v="633.148"/>
        <n v="462.015"/>
        <n v="1286.56"/>
        <n v="617.384"/>
        <n v="426.9843"/>
        <n v="678.9399999999999"/>
        <n v="387.5904"/>
        <n v="1115.0048"/>
        <n v="3100.2384"/>
        <n v="1429.272"/>
        <n v="707.7744000000001"/>
        <n v="165.3171"/>
        <n v="1398.2841"/>
        <n v="1357.0372"/>
        <n v="712.5092"/>
        <n v="797.9379"/>
        <n v="569.044"/>
        <n v="470.6142"/>
        <n v="323.6766"/>
        <n v="933.616"/>
        <n v="560.3795"/>
        <n v="357.2343"/>
        <n v="190.836"/>
        <n v="341.312"/>
        <n v="573.07"/>
        <n v="216.6982"/>
        <n v="618.4134"/>
        <n v="1973.6496"/>
        <n v="220.168"/>
        <n v="54.4068"/>
        <n v="1034.6336"/>
        <n v="139.868"/>
        <n v="962.4732"/>
        <n v="169.9854"/>
        <n v="279.0096"/>
        <n v="701.0544000000001"/>
        <n v="449.6547"/>
        <n v="691.0272"/>
        <n v="620.946"/>
        <n v="132.3582"/>
        <n v="133.7956"/>
        <n v="2750.122"/>
        <n v="798.2171999999999"/>
        <n v="1154.6808"/>
        <n v="486.0633"/>
        <n v="1813.5174"/>
        <n v="2107.863"/>
        <n v="70.4708"/>
        <n v="3178.2564"/>
        <n v="769.8975999999999"/>
        <n v="643.7868"/>
        <n v="524.7648"/>
        <n v="1719.4432"/>
        <n v="50.40779999999999"/>
        <n v="421.278"/>
        <n v="783.3045"/>
        <n v="2775.352"/>
        <n v="2589.8644"/>
        <n v="2584.6272"/>
        <n v="666.717"/>
        <n v="680.4419999999999"/>
        <n v="743.8783999999999"/>
        <n v="2485.364"/>
        <n v="437.0256"/>
        <n v="2221.9062"/>
        <n v="1106.3052"/>
        <n v="1592.4948"/>
        <n v="929.0207999999999"/>
        <n v="632.7648"/>
        <n v="380.4296"/>
        <n v="679.3726"/>
        <n v="454.461"/>
        <n v="332.3776"/>
        <n v="1112.79"/>
        <n v="303.0898"/>
        <n v="900.7520000000001"/>
        <n v="460.108"/>
        <n v="783.594"/>
        <n v="2430.626"/>
        <n v="305.8494000000001"/>
        <n v="2017.5012"/>
        <n v="1267.1328"/>
        <n v="1548.177"/>
        <n v="1824.2928"/>
        <n v="1111.0344"/>
        <n v="1043.328"/>
        <n v="1553.7024"/>
        <n v="484.6023"/>
        <n v="1567.356"/>
        <n v="792.0960000000001"/>
        <n v="1528.4588"/>
        <n v="794.624"/>
        <n v="2163.1104"/>
        <n v="2509.2"/>
        <n v="764.5568"/>
        <n v="1331.4912"/>
        <n v="1005.6288"/>
        <n v="1451.7328"/>
        <n v="1279.2354"/>
        <n v="979.4304"/>
        <n v="808.6572"/>
        <n v="964.7748"/>
        <n v="787.7007"/>
        <n v="576.7944"/>
        <n v="1385.8368"/>
        <n v="918.9248000000001"/>
        <n v="922.3609999999999"/>
        <n v="1451.7072"/>
        <n v="51.3026"/>
        <n v="1015.32"/>
        <n v="2552.3016"/>
        <n v="3756.8876"/>
        <n v="1633.056"/>
        <n v="257.0372"/>
        <n v="122.7324"/>
        <n v="31.239"/>
        <n v="1475.887"/>
        <n v="867.3480000000001"/>
        <n v="2965.1508"/>
        <n v="243.4215"/>
        <n v="2383.668"/>
        <n v="767.1741000000001"/>
        <n v="2201.7408"/>
        <n v="1793.4336"/>
        <n v="592.2072000000001"/>
        <n v="3271.7496"/>
        <n v="55.2167"/>
        <n v="3400.733999999999"/>
        <n v="3028.2264"/>
        <n v="1039.1136"/>
        <n v="2080.2771"/>
        <n v="1349.7692"/>
        <n v="1335.027"/>
        <n v="180.9353"/>
        <n v="92.7223"/>
        <n v="469.6508"/>
        <n v="1376.721"/>
        <n v="796.6320000000001"/>
        <n v="2592.2763"/>
        <n v="54.999"/>
        <n v="2011.7484"/>
        <n v="2280.051"/>
        <n v="620.9589"/>
        <n v="1456.4944"/>
        <n v="307.4344"/>
        <n v="389.5983"/>
        <n v="2832.938"/>
        <n v="2651.3568"/>
        <n v="2240.702"/>
        <n v="275.3608"/>
        <n v="2512.0784"/>
        <n v="1344.7068"/>
        <n v="733.8564"/>
        <n v="499.2436"/>
        <n v="560.1899999999999"/>
        <n v="412.6672"/>
        <n v="1172.0625"/>
        <n v="1565.982"/>
        <n v="1045.6292"/>
        <n v="2242.8216"/>
        <n v="615.467"/>
        <n v="323.352"/>
        <n v="977.6984999999999"/>
        <n v="3529.162"/>
        <n v="959.1317999999999"/>
        <n v="68.6942"/>
        <n v="230.603"/>
        <n v="1452.4944"/>
        <n v="1592.3416"/>
        <n v="239.3226"/>
        <n v="246.996"/>
        <n v="332.0234"/>
        <n v="116.2314"/>
        <n v="655.6104"/>
        <n v="557.6868000000001"/>
        <n v="264.9389"/>
        <n v="1211.0416"/>
        <n v="1425.7782"/>
        <n v="2681.3406"/>
        <n v="1006.2063"/>
        <n v="2380.7628"/>
        <n v="215.472"/>
        <n v="165.1584"/>
        <n v="369.74"/>
        <n v="2286.1344"/>
        <n v="191.88"/>
        <n v="424.875"/>
        <n v="605.433"/>
        <n v="1301.9864"/>
        <n v="426.411"/>
        <n v="710.44"/>
        <n v="1197.9756"/>
        <n v="729.0776"/>
        <n v="3908.2428"/>
        <n v="1547.9168"/>
        <n v="1211.364"/>
        <n v="1548.0453"/>
        <n v="1768.96"/>
        <n v="1745.2989"/>
        <n v="2670.74"/>
        <n v="235.2936"/>
        <n v="2094.8568"/>
        <n v="711.0557999999999"/>
        <n v="739.5597"/>
        <n v="2158.7104"/>
        <n v="67.5024"/>
        <n v="2092.2192"/>
        <n v="198.5056"/>
        <n v="391.7764"/>
        <n v="214.8664"/>
        <n v="791.336"/>
        <n v="231.0198"/>
        <n v="2346.4584"/>
        <n v="1730.148"/>
        <n v="878.0687999999999"/>
        <n v="427.4956"/>
        <n v="3179.3808"/>
        <n v="191.4016"/>
        <n v="60.28020000000001"/>
        <n v="318.4608"/>
        <n v="837.3182999999999"/>
        <n v="204.9344"/>
        <n v="1396.5696"/>
        <n v="78.19439999999999"/>
        <n v="1402.7832"/>
        <n v="1192.2174"/>
        <n v="1663.9504"/>
        <n v="1697.3016"/>
        <n v="1641.63"/>
        <n v="783.424"/>
        <n v="1012.1856"/>
        <n v="616.5475"/>
        <n v="1706.1696"/>
        <n v="424.2051"/>
        <n v="695.9549999999999"/>
        <n v="1169.2264"/>
        <n v="268.1036"/>
        <n v="1276.7118"/>
        <n v="1620.8416"/>
        <n v="570.6220000000001"/>
        <n v="1043.8272"/>
        <n v="853.0542"/>
        <n v="1555.992"/>
        <n v="1054.5612"/>
        <n v="199.23839999999998"/>
        <n v="958.5744"/>
        <n v="320.76"/>
        <n v="810.8460000000001"/>
        <n v="756.5471999999999"/>
        <n v="497.7648"/>
        <n v="2364.648"/>
        <n v="778.3568"/>
        <n v="447.4529999999999"/>
        <n v="2724.32"/>
        <n v="2488.6336"/>
        <n v="1243.038"/>
        <n v="1661.0528"/>
        <n v="527.3348"/>
        <n v="494.9956"/>
        <n v="1143.252"/>
        <n v="3139.3784"/>
        <n v="217.7721"/>
        <n v="1810.56"/>
        <n v="1395.6096"/>
        <n v="1656.395"/>
        <n v="161.238"/>
        <n v="503.9762000000001"/>
        <n v="1574.4498"/>
        <n v="207.2793"/>
        <n v="24.7744"/>
        <n v="955.5459999999999"/>
        <n v="3030.5224"/>
        <n v="364.716"/>
        <n v="84.3486"/>
        <n v="81.6739"/>
        <n v="1089.5352"/>
        <n v="701.4348"/>
        <n v="968.1881999999999"/>
        <n v="392.04"/>
        <n v="2811.1182"/>
        <n v="478.6656"/>
        <n v="2881.426"/>
        <n v="571.3861999999999"/>
        <n v="218.804"/>
        <n v="1419.0192"/>
        <n v="689.5"/>
        <n v="307.7136"/>
        <n v="2277.2944"/>
        <n v="166.482"/>
        <n v="136.3488"/>
        <n v="392.8379"/>
        <n v="934.3244999999998"/>
        <n v="753.4902"/>
        <n v="2681.1652"/>
        <n v="611.6804000000001"/>
        <n v="317.3247"/>
        <n v="119.7855"/>
        <n v="1951.7436"/>
        <n v="1316.2086"/>
        <n v="2156.5544"/>
        <n v="101.2608"/>
        <n v="1375.2876"/>
        <n v="2569.1024"/>
        <n v="467.91"/>
        <n v="999.5920000000001"/>
        <n v="1088.1378"/>
        <n v="407.5768"/>
        <n v="821.9216"/>
        <n v="175.8531"/>
        <n v="366.9534"/>
        <n v="1029.465"/>
        <n v="2574.9856"/>
        <n v="1306.4175"/>
        <n v="835.8480000000001"/>
        <n v="612.5604"/>
        <n v="271.593"/>
        <n v="573.6192000000001"/>
        <n v="1900.2672"/>
        <n v="654.0489"/>
        <n v="230.8804"/>
        <n v="629.3652000000001"/>
        <n v="502.1086"/>
        <n v="2148.8544"/>
        <n v="629.965"/>
        <n v="624.4952"/>
        <n v="1383.2584"/>
        <n v="2081.9226"/>
        <n v="251.0442"/>
        <n v="1936.7025"/>
        <n v="363.0998"/>
        <n v="1247.4552"/>
        <n v="1228.8078"/>
        <n v="1512.924"/>
        <n v="261.58"/>
        <n v="368.8328"/>
        <n v="312.6736"/>
        <n v="846.9845999999999"/>
        <n v="823.275"/>
        <n v="1646.388"/>
        <n v="1759.9428"/>
        <n v="427.5876"/>
        <n v="2168.64"/>
        <n v="1245.119"/>
        <n v="289.9945"/>
        <n v="1146.082"/>
        <n v="868.4563999999999"/>
        <n v="501.9168"/>
        <n v="927.9269999999999"/>
        <n v="2310.0987"/>
        <n v="359.7783"/>
        <n v="355.5342"/>
        <n v="480.7535999999999"/>
        <n v="347.2536000000001"/>
        <n v="84.852"/>
        <n v="1250.6175"/>
        <n v="415.7338"/>
        <n v="1715.868"/>
        <n v="1045.2354"/>
        <n v="494.0684"/>
        <n v="1134.4008"/>
        <n v="835.9524"/>
        <n v="1016.0784"/>
        <n v="1609.9962"/>
        <n v="485.5158"/>
        <n v="925.7465"/>
        <n v="1333.478"/>
        <n v="272.7975"/>
        <n v="2729.8292"/>
        <n v="373.5913"/>
        <n v="237.6524"/>
        <n v="902.304"/>
        <n v="1254.9264"/>
        <n v="1144.4248"/>
        <n v="707.0272"/>
        <n v="2326.4778"/>
        <n v="1314.0072"/>
        <n v="554.3538000000001"/>
        <n v="1010.2344"/>
        <n v="433.9296000000001"/>
        <n v="563.487"/>
        <n v="320.042"/>
        <n v="1643.4792"/>
        <n v="3026.6716"/>
        <n v="531.5616"/>
        <n v="866.0495999999999"/>
        <n v="30.176"/>
        <n v="463.8582"/>
        <n v="19.481"/>
        <n v="133.4332"/>
        <n v="1509.2352"/>
        <n v="1795.982"/>
        <n v="1186.968"/>
        <n v="919.2918"/>
        <n v="1149.066"/>
        <n v="611.1742"/>
        <n v="615.7972"/>
        <n v="612.6885000000001"/>
        <n v="891.5328"/>
        <n v="1913.8392"/>
        <n v="734.8915000000001"/>
        <n v="2164.6944"/>
        <n v="262.7802"/>
        <n v="800.2112999999999"/>
        <n v="245.802"/>
        <n v="1686.4275"/>
        <n v="460.9608"/>
        <n v="1555.4619"/>
        <n v="171.4518"/>
        <n v="2579.2652"/>
        <n v="1263.5904"/>
        <n v="386.384"/>
        <n v="907.7066"/>
        <n v="1912.96"/>
        <n v="897.0528"/>
        <n v="1048.1238"/>
        <n v="705.1185"/>
        <n v="1558.4646"/>
        <n v="667.2053999999999"/>
        <n v="1289.34"/>
        <n v="661.59"/>
        <n v="1278.3675"/>
        <n v="1943.0928"/>
        <n v="2524.8384"/>
        <n v="1373.2992"/>
        <n v="2250.298"/>
        <n v="629.7434000000001"/>
        <n v="607.648"/>
        <n v="2495.205"/>
        <n v="308.1471"/>
        <n v="1200.906"/>
        <n v="767.988"/>
        <n v="139.29"/>
        <n v="2777.4432"/>
        <n v="1240.839"/>
        <n v="367.6522"/>
        <n v="802.1579999999999"/>
        <n v="595.1484"/>
        <n v="229.8825"/>
        <n v="2777.1016"/>
        <n v="306.7725"/>
        <n v="1550.5662"/>
        <n v="437.1702"/>
        <n v="1095.864"/>
        <n v="374.6676"/>
        <n v="637.5008000000001"/>
        <n v="1128.9969"/>
        <n v="523.71"/>
        <n v="2240.28"/>
        <n v="41.876"/>
        <n v="754.2012"/>
        <n v="991.3019999999998"/>
        <n v="1179.137"/>
        <n v="1731.4914"/>
        <n v="200.1354"/>
        <n v="705.7896"/>
        <n v="1185.4584"/>
        <n v="353.5676"/>
        <n v="389.674"/>
        <n v="1113.6584"/>
        <n v="383.328"/>
        <n v="28.044"/>
        <n v="818.4666"/>
        <n v="85.9332"/>
        <n v="695.0482"/>
        <n v="1561.9212"/>
        <n v="1344.6818"/>
        <n v="616.2112"/>
        <n v="139.0312"/>
        <n v="122.9456"/>
        <n v="751.5887999999999"/>
        <n v="493.9144999999999"/>
        <n v="1613.556"/>
        <n v="537.1184000000001"/>
        <n v="621.27"/>
        <n v="867.5"/>
        <n v="272.3013"/>
        <n v="212.832"/>
        <n v="339.2708"/>
        <n v="844.9671999999999"/>
        <n v="3138.676"/>
        <n v="1375.676"/>
        <n v="246.7755"/>
        <n v="1748.7384"/>
        <n v="623.1984"/>
        <n v="502.9596"/>
        <n v="520.4304"/>
        <n v="316.222"/>
        <n v="544.5594"/>
        <n v="578.1198999999999"/>
        <n v="56.0106"/>
        <n v="1641.3904"/>
        <n v="107.0748"/>
        <n v="523.6602"/>
        <n v="18.459"/>
        <n v="3205.3728"/>
        <n v="2470.644"/>
        <n v="474.4145"/>
        <n v="370.7562"/>
        <n v="571.2620999999999"/>
        <n v="556.784"/>
        <n v="934.4646000000001"/>
        <n v="647.2349999999999"/>
        <n v="1060.437"/>
        <n v="1754.406"/>
        <n v="1874.787"/>
        <n v="124.336"/>
        <n v="2746.7712"/>
        <n v="2143.6176"/>
        <n v="2486.214"/>
        <n v="154.938"/>
        <n v="1127.3328"/>
        <n v="2421.7944"/>
        <n v="541.1016000000001"/>
        <n v="844.7706"/>
        <n v="1196.5536"/>
        <n v="1082.835"/>
        <n v="3817.688"/>
        <n v="267.206"/>
        <n v="603.7164"/>
        <n v="1866.272"/>
        <n v="1661.6625"/>
        <n v="117.4588"/>
        <n v="1206.6408"/>
        <n v="824.4863999999999"/>
        <n v="1069.5303"/>
        <n v="1968.5754"/>
        <n v="1483.812"/>
        <n v="345.3248"/>
        <n v="59.5935"/>
        <n v="568.0962000000001"/>
        <n v="671.0228999999999"/>
        <n v="1573.936"/>
        <n v="792.3259999999999"/>
        <n v="488.9066"/>
        <n v="2286.4674"/>
        <n v="1901.416"/>
        <n v="675.9424000000001"/>
        <n v="2066.3664"/>
        <n v="711.4295999999999"/>
        <n v="443.327"/>
        <n v="1255.8393"/>
        <n v="1583.806"/>
        <n v="355.2384"/>
        <n v="1669.3068"/>
        <n v="1813.1728"/>
        <n v="2593.9104"/>
        <n v="326.0007000000001"/>
        <n v="803.016"/>
        <n v="1799.55"/>
        <n v="113.0128"/>
        <n v="820.8992000000001"/>
        <n v="1968.1116"/>
        <n v="1930.761"/>
        <n v="1733.2566"/>
        <n v="1581.2496"/>
        <n v="2312.2912"/>
        <n v="1472.5308"/>
        <n v="2090.2724"/>
        <n v="1690.7814"/>
        <n v="1377.6432"/>
        <n v="3133.7256"/>
        <n v="981.9725999999999"/>
        <n v="441.5517"/>
        <n v="476.9166"/>
        <n v="56.8804"/>
        <n v="1235.7372"/>
        <n v="2408.6664"/>
        <n v="787.2804"/>
        <n v="1087.8444"/>
        <n v="1723.572"/>
        <n v="584.7839999999999"/>
        <n v="1281.8937"/>
        <n v="2380.464"/>
        <n v="1304.2182"/>
        <n v="968.1696"/>
        <n v="65.7292"/>
      </sharedItems>
    </cacheField>
    <cacheField name="Month" numFmtId="0">
      <sharedItems>
        <s v="Jul"/>
        <s v="Dec"/>
        <s v="Feb"/>
        <s v="Jan"/>
        <s v="Jun"/>
        <s v="Apr"/>
        <s v="Oct"/>
        <s v="Sep"/>
        <s v="Nov"/>
        <s v="Mar"/>
        <s v="Aug"/>
        <s v="May"/>
      </sharedItems>
    </cacheField>
    <cacheField name="Year" numFmtId="0">
      <sharedItems containsSemiMixedTypes="0" containsString="0" containsNumber="1" containsInteger="1">
        <n v="2024.0"/>
        <n v="2023.0"/>
        <n v="202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2:B23" firstHeaderRow="0" firstDataRow="1" firstDataCol="0"/>
  <pivotFields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</pivotFields>
  <rowFields>
    <field x="6"/>
  </rowFields>
  <dataFields>
    <dataField name="Total Sales" fld="9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D2:E93" firstHeaderRow="0" firstDataRow="1" firstDataCol="0"/>
  <pivotFields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Total Sales" fld="9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G2:H5" firstHeaderRow="0" firstDataRow="1" firstDataCol="0"/>
  <pivotFields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Gender" axis="axisRow" compact="0" outline="0" multipleItemSelectionAllowed="1" showAll="0" sortType="descending">
      <items>
        <item x="1"/>
        <item x="0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ales  " fld="9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Pivot Table 4" cacheId="0" dataCaption="" compact="0" compactData="0">
  <location ref="K4:L495" firstHeaderRow="0" firstDataRow="1" firstDataCol="0" rowPageCount="1" colPageCount="1"/>
  <pivotFields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Customer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Gender" compact="0" outline="0" multipleItemSelectionAllowed="1" showAll="0">
      <items>
        <item x="0"/>
        <item x="1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mount" axis="axisPag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h="1"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h="1"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h="1"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h="1"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h="1"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pageFields>
    <pageField fld="9"/>
  </pageFields>
  <dataFields>
    <dataField name="Total Amount" fld="9" baseField="0"/>
  </dataFields>
</pivotTableDefinition>
</file>

<file path=xl/pivotTables/pivotTable5.xml><?xml version="1.0" encoding="utf-8"?>
<pivotTableDefinition xmlns="http://schemas.openxmlformats.org/spreadsheetml/2006/main" name="Pivot Table 5" cacheId="0" dataCaption="" rowGrandTotals="0" compact="0" compactData="0">
  <location ref="G8:I33" firstHeaderRow="0" firstDataRow="2" firstDataCol="0"/>
  <pivotFields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t="default"/>
      </items>
    </pivotField>
    <pivotField name="Stor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or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Amoun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Month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Year" axis="axisRow" compact="0" outline="0" multipleItemSelectionAllowed="1" showAll="0" sortType="ascending" defaultSubtotal="0">
      <items>
        <item x="1"/>
        <item x="0"/>
        <item x="2"/>
      </items>
    </pivotField>
  </pivotFields>
  <rowFields>
    <field x="11"/>
    <field x="10"/>
  </rowFields>
  <dataFields>
    <dataField name="Monthly Average sales" fld="9" subtotal="average" baseField="0"/>
  </dataFields>
</pivotTableDefinition>
</file>

<file path=xl/tables/table1.xml><?xml version="1.0" encoding="utf-8"?>
<table xmlns="http://schemas.openxmlformats.org/spreadsheetml/2006/main" ref="A1:K501" displayName="Customer" name="Customer" id="1">
  <tableColumns count="11">
    <tableColumn name="Customer_ID" id="1"/>
    <tableColumn name="Name" id="2"/>
    <tableColumn name="Name(Cleaned)" id="3"/>
    <tableColumn name="Age" id="4"/>
    <tableColumn name="Gender" id="5"/>
    <tableColumn name="Gender M or F" id="6"/>
    <tableColumn name="City" id="7"/>
    <tableColumn name="State" id="8"/>
    <tableColumn name="Country" id="9"/>
    <tableColumn name="Loyalty_Level" id="10"/>
    <tableColumn name="Loyalty_Level(Cleaned)" id="11"/>
  </tableColumns>
  <tableStyleInfo name="Customer_data-style" showColumnStripes="0" showFirstColumn="1" showLastColumn="1" showRowStripes="1"/>
</table>
</file>

<file path=xl/tables/table2.xml><?xml version="1.0" encoding="utf-8"?>
<table xmlns="http://schemas.openxmlformats.org/spreadsheetml/2006/main" ref="A1:H101" displayName="Products" name="Products" id="2">
  <autoFilter ref="$A$1:$H$101"/>
  <tableColumns count="8">
    <tableColumn name="Product_ID" id="1"/>
    <tableColumn name="Product_Name" id="2"/>
    <tableColumn name="Category" id="3"/>
    <tableColumn name="Sub_Category" id="4"/>
    <tableColumn name="Category and Sub_Category" id="5"/>
    <tableColumn name="Brand" id="6"/>
    <tableColumn name="Cost" id="7"/>
    <tableColumn name="Stock" id="8"/>
  </tableColumns>
  <tableStyleInfo name="Product_data-style" showColumnStripes="0" showFirstColumn="1" showLastColumn="1" showRowStripes="1"/>
</table>
</file>

<file path=xl/tables/table3.xml><?xml version="1.0" encoding="utf-8"?>
<table xmlns="http://schemas.openxmlformats.org/spreadsheetml/2006/main" ref="A1:E21" displayName="Store" name="Store" id="3">
  <tableColumns count="5">
    <tableColumn name="Store_ID" id="1"/>
    <tableColumn name="Store_Name" id="2"/>
    <tableColumn name="Region" id="3"/>
    <tableColumn name="City" id="4"/>
    <tableColumn name="Store_Type" id="5"/>
  </tableColumns>
  <tableStyleInfo name="Store_data-style" showColumnStripes="0" showFirstColumn="1" showLastColumn="1" showRowStripes="1"/>
</table>
</file>

<file path=xl/tables/table4.xml><?xml version="1.0" encoding="utf-8"?>
<table xmlns="http://schemas.openxmlformats.org/spreadsheetml/2006/main" ref="A1:K2001" displayName="Sales" name="Sales" id="4">
  <autoFilter ref="$A$1:$K$2001"/>
  <tableColumns count="11">
    <tableColumn name="Sales_ID" id="1"/>
    <tableColumn name="Order_Date" id="2"/>
    <tableColumn name="Customer_ID" id="3"/>
    <tableColumn name="Product_ID" id="4"/>
    <tableColumn name="Store_ID" id="5"/>
    <tableColumn name="Quantity" id="6"/>
    <tableColumn name="Unit_Price" id="7"/>
    <tableColumn name="Discount" id="8"/>
    <tableColumn name="Payment_Type" id="9"/>
    <tableColumn name="Total_Amount" id="10"/>
    <tableColumn name="Price Range" id="11"/>
  </tableColumns>
  <tableStyleInfo name="Sales_data-style" showColumnStripes="0" showFirstColumn="1" showLastColumn="1" showRowStripes="1"/>
</table>
</file>

<file path=xl/tables/table5.xml><?xml version="1.0" encoding="utf-8"?>
<table xmlns="http://schemas.openxmlformats.org/spreadsheetml/2006/main" ref="A1:L2001" displayName="Final_Data" name="Final_Data" id="5">
  <autoFilter ref="$A$1:$L$2001"/>
  <tableColumns count="12">
    <tableColumn name="Sales_ID" id="1"/>
    <tableColumn name="Customer_ID" id="2"/>
    <tableColumn name="Customer_name" id="3"/>
    <tableColumn name="Gender" id="4"/>
    <tableColumn name="Order_Date" id="5"/>
    <tableColumn name="Store_ID" id="6"/>
    <tableColumn name="Store_name" id="7"/>
    <tableColumn name="Product_Id" id="8"/>
    <tableColumn name="Product_Name" id="9"/>
    <tableColumn name="Amount" id="10"/>
    <tableColumn name="Month" id="11"/>
    <tableColumn name="Year" id="12"/>
  </tableColumns>
  <tableStyleInfo name="Final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21.0"/>
    <col customWidth="1" min="3" max="3" width="20.86"/>
    <col customWidth="1" min="4" max="4" width="10.0"/>
    <col customWidth="1" hidden="1" min="5" max="5" width="13.0"/>
    <col customWidth="1" min="6" max="6" width="19.43"/>
    <col customWidth="1" min="7" max="7" width="21.57"/>
    <col customWidth="1" min="8" max="8" width="17.43"/>
    <col customWidth="1" min="9" max="9" width="22.29"/>
    <col customWidth="1" min="10" max="10" width="18.71"/>
    <col customWidth="1" min="11" max="11" width="27.71"/>
    <col customWidth="1" min="12" max="12" width="15.71"/>
    <col customWidth="1" min="13" max="13" width="20.29"/>
    <col customWidth="1" min="14" max="30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M1" s="4" t="s">
        <v>11</v>
      </c>
      <c r="N1" s="5"/>
    </row>
    <row r="2" ht="14.25" customHeight="1">
      <c r="A2" s="6" t="s">
        <v>12</v>
      </c>
      <c r="B2" s="6" t="s">
        <v>13</v>
      </c>
      <c r="C2" s="6" t="str">
        <f t="shared" ref="C2:C501" si="1">TRIM(PROPER(B2))</f>
        <v>Sheena Bonilla</v>
      </c>
      <c r="D2" s="6">
        <v>55.0</v>
      </c>
      <c r="E2" s="6" t="s">
        <v>14</v>
      </c>
      <c r="F2" s="6" t="str">
        <f t="shared" ref="F2:F501" si="2">IFS(E2="Male","Female",E2="Female","Male")</f>
        <v>Female</v>
      </c>
      <c r="G2" s="6" t="s">
        <v>15</v>
      </c>
      <c r="H2" s="6" t="s">
        <v>16</v>
      </c>
      <c r="I2" s="6" t="s">
        <v>17</v>
      </c>
      <c r="K2" s="6" t="str">
        <f t="shared" ref="K2:K501" si="3">IF(ISBLANK(J2),"Platinum",J2)</f>
        <v>Platinum</v>
      </c>
      <c r="M2" s="7" t="s">
        <v>18</v>
      </c>
      <c r="N2" s="8">
        <f>COUNTIF(Customer[Loyalty_Level(Cleaned)],M2)</f>
        <v>149</v>
      </c>
    </row>
    <row r="3" ht="14.25" customHeight="1">
      <c r="A3" s="6" t="s">
        <v>19</v>
      </c>
      <c r="B3" s="6" t="s">
        <v>20</v>
      </c>
      <c r="C3" s="6" t="str">
        <f t="shared" si="1"/>
        <v>Eugene Nelson</v>
      </c>
      <c r="D3" s="6">
        <v>26.0</v>
      </c>
      <c r="E3" s="6" t="s">
        <v>21</v>
      </c>
      <c r="F3" s="6" t="str">
        <f t="shared" si="2"/>
        <v>Male</v>
      </c>
      <c r="G3" s="6" t="s">
        <v>22</v>
      </c>
      <c r="H3" s="6" t="s">
        <v>23</v>
      </c>
      <c r="I3" s="6" t="s">
        <v>17</v>
      </c>
      <c r="J3" s="6" t="s">
        <v>18</v>
      </c>
      <c r="K3" s="6" t="str">
        <f t="shared" si="3"/>
        <v>Platinum</v>
      </c>
      <c r="M3" s="7" t="s">
        <v>24</v>
      </c>
      <c r="N3" s="8">
        <f>COUNTIF(Customer[Loyalty_Level(Cleaned)],M3)</f>
        <v>122</v>
      </c>
    </row>
    <row r="4" ht="14.25" customHeight="1">
      <c r="A4" s="6" t="s">
        <v>25</v>
      </c>
      <c r="B4" s="6" t="s">
        <v>26</v>
      </c>
      <c r="C4" s="6" t="str">
        <f t="shared" si="1"/>
        <v>Dr. Benjamin Price</v>
      </c>
      <c r="D4" s="6">
        <v>29.0</v>
      </c>
      <c r="E4" s="6" t="s">
        <v>21</v>
      </c>
      <c r="F4" s="6" t="str">
        <f t="shared" si="2"/>
        <v>Male</v>
      </c>
      <c r="G4" s="6" t="s">
        <v>27</v>
      </c>
      <c r="H4" s="6" t="s">
        <v>28</v>
      </c>
      <c r="I4" s="6" t="s">
        <v>17</v>
      </c>
      <c r="J4" s="6" t="s">
        <v>18</v>
      </c>
      <c r="K4" s="6" t="str">
        <f t="shared" si="3"/>
        <v>Platinum</v>
      </c>
      <c r="M4" s="7" t="s">
        <v>29</v>
      </c>
      <c r="N4" s="8">
        <f>COUNTIF(Customer[Loyalty_Level(Cleaned)],M4)</f>
        <v>125</v>
      </c>
    </row>
    <row r="5" ht="14.25" customHeight="1">
      <c r="A5" s="6" t="s">
        <v>30</v>
      </c>
      <c r="B5" s="6" t="s">
        <v>31</v>
      </c>
      <c r="C5" s="6" t="str">
        <f t="shared" si="1"/>
        <v>Jeremy Harris</v>
      </c>
      <c r="D5" s="6">
        <v>59.0</v>
      </c>
      <c r="E5" s="6" t="s">
        <v>21</v>
      </c>
      <c r="F5" s="6" t="str">
        <f t="shared" si="2"/>
        <v>Male</v>
      </c>
      <c r="G5" s="6" t="s">
        <v>32</v>
      </c>
      <c r="H5" s="6" t="s">
        <v>33</v>
      </c>
      <c r="I5" s="6" t="s">
        <v>17</v>
      </c>
      <c r="J5" s="6" t="s">
        <v>29</v>
      </c>
      <c r="K5" s="6" t="str">
        <f t="shared" si="3"/>
        <v>Bronze</v>
      </c>
      <c r="M5" s="7" t="s">
        <v>34</v>
      </c>
      <c r="N5" s="8">
        <f>COUNTIF(Customer[Loyalty_Level(Cleaned)],M5)</f>
        <v>104</v>
      </c>
    </row>
    <row r="6" ht="14.25" customHeight="1">
      <c r="A6" s="6" t="s">
        <v>35</v>
      </c>
      <c r="B6" s="6" t="s">
        <v>36</v>
      </c>
      <c r="C6" s="6" t="str">
        <f t="shared" si="1"/>
        <v>Caroline Collins</v>
      </c>
      <c r="D6" s="6">
        <v>64.0</v>
      </c>
      <c r="E6" s="6" t="s">
        <v>21</v>
      </c>
      <c r="F6" s="6" t="str">
        <f t="shared" si="2"/>
        <v>Male</v>
      </c>
      <c r="G6" s="6" t="s">
        <v>37</v>
      </c>
      <c r="H6" s="6" t="s">
        <v>38</v>
      </c>
      <c r="I6" s="6" t="s">
        <v>17</v>
      </c>
      <c r="J6" s="6" t="s">
        <v>34</v>
      </c>
      <c r="K6" s="6" t="str">
        <f t="shared" si="3"/>
        <v>Silver</v>
      </c>
    </row>
    <row r="7" ht="14.25" customHeight="1">
      <c r="A7" s="6" t="s">
        <v>39</v>
      </c>
      <c r="B7" s="6" t="s">
        <v>40</v>
      </c>
      <c r="C7" s="6" t="str">
        <f t="shared" si="1"/>
        <v>Christine Vaughn</v>
      </c>
      <c r="D7" s="6">
        <v>24.0</v>
      </c>
      <c r="E7" s="6" t="s">
        <v>14</v>
      </c>
      <c r="F7" s="6" t="str">
        <f t="shared" si="2"/>
        <v>Female</v>
      </c>
      <c r="G7" s="6" t="s">
        <v>41</v>
      </c>
      <c r="H7" s="6" t="s">
        <v>42</v>
      </c>
      <c r="I7" s="6" t="s">
        <v>17</v>
      </c>
      <c r="J7" s="6" t="s">
        <v>29</v>
      </c>
      <c r="K7" s="6" t="str">
        <f t="shared" si="3"/>
        <v>Bronze</v>
      </c>
    </row>
    <row r="8" ht="14.25" customHeight="1">
      <c r="A8" s="6" t="s">
        <v>43</v>
      </c>
      <c r="B8" s="6" t="s">
        <v>44</v>
      </c>
      <c r="C8" s="6" t="str">
        <f t="shared" si="1"/>
        <v>Amber Jackson</v>
      </c>
      <c r="D8" s="6">
        <v>29.0</v>
      </c>
      <c r="E8" s="6" t="s">
        <v>21</v>
      </c>
      <c r="F8" s="6" t="str">
        <f t="shared" si="2"/>
        <v>Male</v>
      </c>
      <c r="G8" s="6" t="s">
        <v>45</v>
      </c>
      <c r="H8" s="6" t="s">
        <v>46</v>
      </c>
      <c r="I8" s="6" t="s">
        <v>17</v>
      </c>
      <c r="J8" s="6" t="s">
        <v>18</v>
      </c>
      <c r="K8" s="6" t="str">
        <f t="shared" si="3"/>
        <v>Platinum</v>
      </c>
    </row>
    <row r="9" ht="14.25" customHeight="1">
      <c r="A9" s="6" t="s">
        <v>47</v>
      </c>
      <c r="B9" s="6" t="s">
        <v>48</v>
      </c>
      <c r="C9" s="6" t="str">
        <f t="shared" si="1"/>
        <v>Daniel Boyd</v>
      </c>
      <c r="D9" s="6">
        <v>29.0</v>
      </c>
      <c r="E9" s="6" t="s">
        <v>21</v>
      </c>
      <c r="F9" s="6" t="str">
        <f t="shared" si="2"/>
        <v>Male</v>
      </c>
      <c r="G9" s="6" t="s">
        <v>49</v>
      </c>
      <c r="H9" s="6" t="s">
        <v>50</v>
      </c>
      <c r="I9" s="6" t="s">
        <v>17</v>
      </c>
      <c r="J9" s="6" t="s">
        <v>29</v>
      </c>
      <c r="K9" s="6" t="str">
        <f t="shared" si="3"/>
        <v>Bronze</v>
      </c>
    </row>
    <row r="10" ht="14.25" customHeight="1">
      <c r="A10" s="6" t="s">
        <v>51</v>
      </c>
      <c r="B10" s="6" t="s">
        <v>52</v>
      </c>
      <c r="C10" s="6" t="str">
        <f t="shared" si="1"/>
        <v>Melissa Howard</v>
      </c>
      <c r="D10" s="6">
        <v>53.0</v>
      </c>
      <c r="E10" s="6" t="s">
        <v>21</v>
      </c>
      <c r="F10" s="6" t="str">
        <f t="shared" si="2"/>
        <v>Male</v>
      </c>
      <c r="G10" s="6" t="s">
        <v>53</v>
      </c>
      <c r="H10" s="6" t="s">
        <v>54</v>
      </c>
      <c r="I10" s="6" t="s">
        <v>17</v>
      </c>
      <c r="J10" s="6" t="s">
        <v>24</v>
      </c>
      <c r="K10" s="6" t="str">
        <f t="shared" si="3"/>
        <v>Gold</v>
      </c>
    </row>
    <row r="11" ht="14.25" customHeight="1">
      <c r="A11" s="6" t="s">
        <v>55</v>
      </c>
      <c r="B11" s="6" t="s">
        <v>56</v>
      </c>
      <c r="C11" s="6" t="str">
        <f t="shared" si="1"/>
        <v>Ms. Maria Leach</v>
      </c>
      <c r="D11" s="6">
        <v>64.0</v>
      </c>
      <c r="E11" s="6" t="s">
        <v>14</v>
      </c>
      <c r="F11" s="6" t="str">
        <f t="shared" si="2"/>
        <v>Female</v>
      </c>
      <c r="G11" s="6" t="s">
        <v>57</v>
      </c>
      <c r="H11" s="6" t="s">
        <v>58</v>
      </c>
      <c r="I11" s="6" t="s">
        <v>17</v>
      </c>
      <c r="J11" s="6" t="s">
        <v>18</v>
      </c>
      <c r="K11" s="6" t="str">
        <f t="shared" si="3"/>
        <v>Platinum</v>
      </c>
    </row>
    <row r="12" ht="14.25" customHeight="1">
      <c r="A12" s="6" t="s">
        <v>59</v>
      </c>
      <c r="B12" s="6" t="s">
        <v>60</v>
      </c>
      <c r="C12" s="6" t="str">
        <f t="shared" si="1"/>
        <v>Dominic Page</v>
      </c>
      <c r="D12" s="6">
        <v>53.0</v>
      </c>
      <c r="E12" s="6" t="s">
        <v>14</v>
      </c>
      <c r="F12" s="6" t="str">
        <f t="shared" si="2"/>
        <v>Female</v>
      </c>
      <c r="G12" s="6" t="s">
        <v>61</v>
      </c>
      <c r="H12" s="6" t="s">
        <v>58</v>
      </c>
      <c r="I12" s="6" t="s">
        <v>17</v>
      </c>
      <c r="J12" s="6" t="s">
        <v>29</v>
      </c>
      <c r="K12" s="6" t="str">
        <f t="shared" si="3"/>
        <v>Bronze</v>
      </c>
    </row>
    <row r="13" ht="14.25" customHeight="1">
      <c r="A13" s="6" t="s">
        <v>62</v>
      </c>
      <c r="B13" s="6" t="s">
        <v>63</v>
      </c>
      <c r="C13" s="6" t="str">
        <f t="shared" si="1"/>
        <v>Brian Lopez</v>
      </c>
      <c r="D13" s="6">
        <v>28.0</v>
      </c>
      <c r="E13" s="6" t="s">
        <v>21</v>
      </c>
      <c r="F13" s="6" t="str">
        <f t="shared" si="2"/>
        <v>Male</v>
      </c>
      <c r="G13" s="6" t="s">
        <v>64</v>
      </c>
      <c r="H13" s="6" t="s">
        <v>65</v>
      </c>
      <c r="I13" s="6" t="s">
        <v>17</v>
      </c>
      <c r="J13" s="6" t="s">
        <v>24</v>
      </c>
      <c r="K13" s="6" t="str">
        <f t="shared" si="3"/>
        <v>Gold</v>
      </c>
    </row>
    <row r="14" ht="14.25" customHeight="1">
      <c r="A14" s="6" t="s">
        <v>66</v>
      </c>
      <c r="B14" s="6" t="s">
        <v>67</v>
      </c>
      <c r="C14" s="6" t="str">
        <f t="shared" si="1"/>
        <v>Kenneth Lambert</v>
      </c>
      <c r="D14" s="6">
        <v>55.0</v>
      </c>
      <c r="E14" s="6" t="s">
        <v>21</v>
      </c>
      <c r="F14" s="6" t="str">
        <f t="shared" si="2"/>
        <v>Male</v>
      </c>
      <c r="G14" s="6" t="s">
        <v>68</v>
      </c>
      <c r="H14" s="6" t="s">
        <v>69</v>
      </c>
      <c r="I14" s="6" t="s">
        <v>17</v>
      </c>
      <c r="J14" s="6" t="s">
        <v>18</v>
      </c>
      <c r="K14" s="6" t="str">
        <f t="shared" si="3"/>
        <v>Platinum</v>
      </c>
    </row>
    <row r="15" ht="14.25" customHeight="1">
      <c r="A15" s="6" t="s">
        <v>70</v>
      </c>
      <c r="B15" s="6" t="s">
        <v>71</v>
      </c>
      <c r="C15" s="6" t="str">
        <f t="shared" si="1"/>
        <v>Nathan Hernandez</v>
      </c>
      <c r="D15" s="6">
        <v>32.0</v>
      </c>
      <c r="E15" s="6" t="s">
        <v>21</v>
      </c>
      <c r="F15" s="6" t="str">
        <f t="shared" si="2"/>
        <v>Male</v>
      </c>
      <c r="G15" s="6" t="s">
        <v>72</v>
      </c>
      <c r="H15" s="6" t="s">
        <v>73</v>
      </c>
      <c r="I15" s="6" t="s">
        <v>17</v>
      </c>
      <c r="J15" s="6" t="s">
        <v>34</v>
      </c>
      <c r="K15" s="6" t="str">
        <f t="shared" si="3"/>
        <v>Silver</v>
      </c>
    </row>
    <row r="16" ht="14.25" customHeight="1">
      <c r="A16" s="6" t="s">
        <v>74</v>
      </c>
      <c r="B16" s="6" t="s">
        <v>75</v>
      </c>
      <c r="C16" s="6" t="str">
        <f t="shared" si="1"/>
        <v>Ashley Cohen</v>
      </c>
      <c r="D16" s="6">
        <v>53.0</v>
      </c>
      <c r="E16" s="6" t="s">
        <v>21</v>
      </c>
      <c r="F16" s="6" t="str">
        <f t="shared" si="2"/>
        <v>Male</v>
      </c>
      <c r="G16" s="6" t="s">
        <v>76</v>
      </c>
      <c r="H16" s="6" t="s">
        <v>77</v>
      </c>
      <c r="I16" s="6" t="s">
        <v>17</v>
      </c>
      <c r="J16" s="6" t="s">
        <v>34</v>
      </c>
      <c r="K16" s="6" t="str">
        <f t="shared" si="3"/>
        <v>Silver</v>
      </c>
    </row>
    <row r="17" ht="14.25" customHeight="1">
      <c r="A17" s="6" t="s">
        <v>78</v>
      </c>
      <c r="B17" s="6" t="s">
        <v>79</v>
      </c>
      <c r="C17" s="6" t="str">
        <f t="shared" si="1"/>
        <v>Laura Alvarez</v>
      </c>
      <c r="D17" s="6">
        <v>49.0</v>
      </c>
      <c r="E17" s="6" t="s">
        <v>21</v>
      </c>
      <c r="F17" s="6" t="str">
        <f t="shared" si="2"/>
        <v>Male</v>
      </c>
      <c r="G17" s="6" t="s">
        <v>80</v>
      </c>
      <c r="H17" s="6" t="s">
        <v>81</v>
      </c>
      <c r="I17" s="6" t="s">
        <v>17</v>
      </c>
      <c r="J17" s="6" t="s">
        <v>18</v>
      </c>
      <c r="K17" s="6" t="str">
        <f t="shared" si="3"/>
        <v>Platinum</v>
      </c>
    </row>
    <row r="18" ht="14.25" customHeight="1">
      <c r="A18" s="6" t="s">
        <v>82</v>
      </c>
      <c r="B18" s="6" t="s">
        <v>83</v>
      </c>
      <c r="C18" s="6" t="str">
        <f t="shared" si="1"/>
        <v>John Scott</v>
      </c>
      <c r="D18" s="6">
        <v>24.0</v>
      </c>
      <c r="E18" s="6" t="s">
        <v>21</v>
      </c>
      <c r="F18" s="6" t="str">
        <f t="shared" si="2"/>
        <v>Male</v>
      </c>
      <c r="G18" s="6" t="s">
        <v>84</v>
      </c>
      <c r="H18" s="6" t="s">
        <v>58</v>
      </c>
      <c r="I18" s="6" t="s">
        <v>17</v>
      </c>
      <c r="J18" s="6" t="s">
        <v>29</v>
      </c>
      <c r="K18" s="6" t="str">
        <f t="shared" si="3"/>
        <v>Bronze</v>
      </c>
    </row>
    <row r="19" ht="14.25" customHeight="1">
      <c r="A19" s="6" t="s">
        <v>85</v>
      </c>
      <c r="B19" s="6" t="s">
        <v>86</v>
      </c>
      <c r="C19" s="6" t="str">
        <f t="shared" si="1"/>
        <v>Adam Cruz</v>
      </c>
      <c r="D19" s="6">
        <v>60.0</v>
      </c>
      <c r="E19" s="6" t="s">
        <v>21</v>
      </c>
      <c r="F19" s="6" t="str">
        <f t="shared" si="2"/>
        <v>Male</v>
      </c>
      <c r="G19" s="6" t="s">
        <v>87</v>
      </c>
      <c r="H19" s="6" t="s">
        <v>88</v>
      </c>
      <c r="I19" s="6" t="s">
        <v>17</v>
      </c>
      <c r="J19" s="6" t="s">
        <v>18</v>
      </c>
      <c r="K19" s="6" t="str">
        <f t="shared" si="3"/>
        <v>Platinum</v>
      </c>
    </row>
    <row r="20" ht="14.25" customHeight="1">
      <c r="A20" s="6" t="s">
        <v>89</v>
      </c>
      <c r="B20" s="6" t="s">
        <v>90</v>
      </c>
      <c r="C20" s="6" t="str">
        <f t="shared" si="1"/>
        <v>Rhonda Moss</v>
      </c>
      <c r="D20" s="6">
        <v>43.0</v>
      </c>
      <c r="E20" s="6" t="s">
        <v>14</v>
      </c>
      <c r="F20" s="6" t="str">
        <f t="shared" si="2"/>
        <v>Female</v>
      </c>
      <c r="G20" s="6" t="s">
        <v>91</v>
      </c>
      <c r="H20" s="6" t="s">
        <v>69</v>
      </c>
      <c r="I20" s="6" t="s">
        <v>17</v>
      </c>
      <c r="K20" s="6" t="str">
        <f t="shared" si="3"/>
        <v>Platinum</v>
      </c>
    </row>
    <row r="21" ht="14.25" customHeight="1">
      <c r="A21" s="6" t="s">
        <v>92</v>
      </c>
      <c r="B21" s="6" t="s">
        <v>93</v>
      </c>
      <c r="C21" s="6" t="str">
        <f t="shared" si="1"/>
        <v>Michael Torres</v>
      </c>
      <c r="D21" s="6">
        <v>46.0</v>
      </c>
      <c r="E21" s="6" t="s">
        <v>21</v>
      </c>
      <c r="F21" s="6" t="str">
        <f t="shared" si="2"/>
        <v>Male</v>
      </c>
      <c r="G21" s="6" t="s">
        <v>94</v>
      </c>
      <c r="H21" s="6" t="s">
        <v>95</v>
      </c>
      <c r="I21" s="6" t="s">
        <v>17</v>
      </c>
      <c r="J21" s="6" t="s">
        <v>18</v>
      </c>
      <c r="K21" s="6" t="str">
        <f t="shared" si="3"/>
        <v>Platinum</v>
      </c>
    </row>
    <row r="22" ht="14.25" customHeight="1">
      <c r="A22" s="6" t="s">
        <v>96</v>
      </c>
      <c r="B22" s="6" t="s">
        <v>97</v>
      </c>
      <c r="C22" s="6" t="str">
        <f t="shared" si="1"/>
        <v>Bridget Allen</v>
      </c>
      <c r="D22" s="6">
        <v>59.0</v>
      </c>
      <c r="E22" s="6" t="s">
        <v>14</v>
      </c>
      <c r="F22" s="6" t="str">
        <f t="shared" si="2"/>
        <v>Female</v>
      </c>
      <c r="G22" s="6" t="s">
        <v>98</v>
      </c>
      <c r="H22" s="6" t="s">
        <v>99</v>
      </c>
      <c r="I22" s="6" t="s">
        <v>17</v>
      </c>
      <c r="J22" s="6" t="s">
        <v>34</v>
      </c>
      <c r="K22" s="6" t="str">
        <f t="shared" si="3"/>
        <v>Silver</v>
      </c>
    </row>
    <row r="23" ht="14.25" customHeight="1">
      <c r="A23" s="6" t="s">
        <v>100</v>
      </c>
      <c r="B23" s="6" t="s">
        <v>101</v>
      </c>
      <c r="C23" s="6" t="str">
        <f t="shared" si="1"/>
        <v>Jeff Martinez</v>
      </c>
      <c r="D23" s="6">
        <v>36.0</v>
      </c>
      <c r="E23" s="6" t="s">
        <v>21</v>
      </c>
      <c r="F23" s="6" t="str">
        <f t="shared" si="2"/>
        <v>Male</v>
      </c>
      <c r="G23" s="6" t="s">
        <v>102</v>
      </c>
      <c r="H23" s="6" t="s">
        <v>103</v>
      </c>
      <c r="I23" s="6" t="s">
        <v>17</v>
      </c>
      <c r="J23" s="6" t="s">
        <v>24</v>
      </c>
      <c r="K23" s="6" t="str">
        <f t="shared" si="3"/>
        <v>Gold</v>
      </c>
    </row>
    <row r="24" ht="14.25" customHeight="1">
      <c r="A24" s="6" t="s">
        <v>104</v>
      </c>
      <c r="B24" s="6" t="s">
        <v>105</v>
      </c>
      <c r="C24" s="6" t="str">
        <f t="shared" si="1"/>
        <v>Paul Fox</v>
      </c>
      <c r="D24" s="6">
        <v>33.0</v>
      </c>
      <c r="E24" s="6" t="s">
        <v>21</v>
      </c>
      <c r="F24" s="6" t="str">
        <f t="shared" si="2"/>
        <v>Male</v>
      </c>
      <c r="G24" s="6" t="s">
        <v>106</v>
      </c>
      <c r="H24" s="6" t="s">
        <v>107</v>
      </c>
      <c r="I24" s="6" t="s">
        <v>17</v>
      </c>
      <c r="J24" s="6" t="s">
        <v>34</v>
      </c>
      <c r="K24" s="6" t="str">
        <f t="shared" si="3"/>
        <v>Silver</v>
      </c>
    </row>
    <row r="25" ht="14.25" customHeight="1">
      <c r="A25" s="6" t="s">
        <v>108</v>
      </c>
      <c r="B25" s="6" t="s">
        <v>109</v>
      </c>
      <c r="C25" s="6" t="str">
        <f t="shared" si="1"/>
        <v>Jonathan Steele</v>
      </c>
      <c r="D25" s="6">
        <v>52.0</v>
      </c>
      <c r="E25" s="6" t="s">
        <v>21</v>
      </c>
      <c r="F25" s="6" t="str">
        <f t="shared" si="2"/>
        <v>Male</v>
      </c>
      <c r="G25" s="6" t="s">
        <v>110</v>
      </c>
      <c r="H25" s="6" t="s">
        <v>42</v>
      </c>
      <c r="I25" s="6" t="s">
        <v>17</v>
      </c>
      <c r="J25" s="6" t="s">
        <v>34</v>
      </c>
      <c r="K25" s="6" t="str">
        <f t="shared" si="3"/>
        <v>Silver</v>
      </c>
    </row>
    <row r="26" ht="14.25" customHeight="1">
      <c r="A26" s="6" t="s">
        <v>111</v>
      </c>
      <c r="B26" s="6" t="s">
        <v>112</v>
      </c>
      <c r="C26" s="6" t="str">
        <f t="shared" si="1"/>
        <v>Heather Collins</v>
      </c>
      <c r="D26" s="6">
        <v>40.0</v>
      </c>
      <c r="E26" s="6" t="s">
        <v>14</v>
      </c>
      <c r="F26" s="6" t="str">
        <f t="shared" si="2"/>
        <v>Female</v>
      </c>
      <c r="G26" s="6" t="s">
        <v>113</v>
      </c>
      <c r="H26" s="6" t="s">
        <v>114</v>
      </c>
      <c r="I26" s="6" t="s">
        <v>17</v>
      </c>
      <c r="J26" s="6" t="s">
        <v>18</v>
      </c>
      <c r="K26" s="6" t="str">
        <f t="shared" si="3"/>
        <v>Platinum</v>
      </c>
    </row>
    <row r="27" ht="14.25" customHeight="1">
      <c r="A27" s="6" t="s">
        <v>115</v>
      </c>
      <c r="B27" s="6" t="s">
        <v>116</v>
      </c>
      <c r="C27" s="6" t="str">
        <f t="shared" si="1"/>
        <v>Diana Taylor</v>
      </c>
      <c r="D27" s="6">
        <v>59.0</v>
      </c>
      <c r="E27" s="6" t="s">
        <v>21</v>
      </c>
      <c r="F27" s="6" t="str">
        <f t="shared" si="2"/>
        <v>Male</v>
      </c>
      <c r="G27" s="6" t="s">
        <v>117</v>
      </c>
      <c r="H27" s="6" t="s">
        <v>38</v>
      </c>
      <c r="I27" s="6" t="s">
        <v>17</v>
      </c>
      <c r="J27" s="6" t="s">
        <v>29</v>
      </c>
      <c r="K27" s="6" t="str">
        <f t="shared" si="3"/>
        <v>Bronze</v>
      </c>
    </row>
    <row r="28" ht="14.25" customHeight="1">
      <c r="A28" s="6" t="s">
        <v>118</v>
      </c>
      <c r="B28" s="6" t="s">
        <v>119</v>
      </c>
      <c r="C28" s="6" t="str">
        <f t="shared" si="1"/>
        <v>Amber Carlson</v>
      </c>
      <c r="D28" s="6">
        <v>18.0</v>
      </c>
      <c r="E28" s="6" t="s">
        <v>21</v>
      </c>
      <c r="F28" s="6" t="str">
        <f t="shared" si="2"/>
        <v>Male</v>
      </c>
      <c r="G28" s="6" t="s">
        <v>120</v>
      </c>
      <c r="H28" s="6" t="s">
        <v>121</v>
      </c>
      <c r="I28" s="6" t="s">
        <v>17</v>
      </c>
      <c r="J28" s="6" t="s">
        <v>24</v>
      </c>
      <c r="K28" s="6" t="str">
        <f t="shared" si="3"/>
        <v>Gold</v>
      </c>
    </row>
    <row r="29" ht="14.25" customHeight="1">
      <c r="A29" s="6" t="s">
        <v>122</v>
      </c>
      <c r="B29" s="6" t="s">
        <v>123</v>
      </c>
      <c r="C29" s="6" t="str">
        <f t="shared" si="1"/>
        <v>Leslie Johnson</v>
      </c>
      <c r="D29" s="6">
        <v>31.0</v>
      </c>
      <c r="E29" s="6" t="s">
        <v>14</v>
      </c>
      <c r="F29" s="6" t="str">
        <f t="shared" si="2"/>
        <v>Female</v>
      </c>
      <c r="G29" s="6" t="s">
        <v>124</v>
      </c>
      <c r="H29" s="6" t="s">
        <v>125</v>
      </c>
      <c r="I29" s="6" t="s">
        <v>17</v>
      </c>
      <c r="K29" s="6" t="str">
        <f t="shared" si="3"/>
        <v>Platinum</v>
      </c>
    </row>
    <row r="30" ht="14.25" customHeight="1">
      <c r="A30" s="6" t="s">
        <v>126</v>
      </c>
      <c r="B30" s="6" t="s">
        <v>127</v>
      </c>
      <c r="C30" s="6" t="str">
        <f t="shared" si="1"/>
        <v>Joshua Ryan</v>
      </c>
      <c r="D30" s="6">
        <v>27.0</v>
      </c>
      <c r="E30" s="6" t="s">
        <v>21</v>
      </c>
      <c r="F30" s="6" t="str">
        <f t="shared" si="2"/>
        <v>Male</v>
      </c>
      <c r="G30" s="6" t="s">
        <v>128</v>
      </c>
      <c r="H30" s="6" t="s">
        <v>95</v>
      </c>
      <c r="I30" s="6" t="s">
        <v>17</v>
      </c>
      <c r="J30" s="6" t="s">
        <v>18</v>
      </c>
      <c r="K30" s="6" t="str">
        <f t="shared" si="3"/>
        <v>Platinum</v>
      </c>
    </row>
    <row r="31" ht="14.25" customHeight="1">
      <c r="A31" s="6" t="s">
        <v>129</v>
      </c>
      <c r="B31" s="6" t="s">
        <v>130</v>
      </c>
      <c r="C31" s="6" t="str">
        <f t="shared" si="1"/>
        <v>David Arnold</v>
      </c>
      <c r="D31" s="6">
        <v>54.0</v>
      </c>
      <c r="E31" s="6" t="s">
        <v>21</v>
      </c>
      <c r="F31" s="6" t="str">
        <f t="shared" si="2"/>
        <v>Male</v>
      </c>
      <c r="G31" s="6" t="s">
        <v>131</v>
      </c>
      <c r="H31" s="6" t="s">
        <v>38</v>
      </c>
      <c r="I31" s="6" t="s">
        <v>17</v>
      </c>
      <c r="J31" s="6" t="s">
        <v>34</v>
      </c>
      <c r="K31" s="6" t="str">
        <f t="shared" si="3"/>
        <v>Silver</v>
      </c>
    </row>
    <row r="32" ht="14.25" customHeight="1">
      <c r="A32" s="6" t="s">
        <v>132</v>
      </c>
      <c r="B32" s="6" t="s">
        <v>133</v>
      </c>
      <c r="C32" s="6" t="str">
        <f t="shared" si="1"/>
        <v>Jessica Acevedo</v>
      </c>
      <c r="D32" s="6">
        <v>64.0</v>
      </c>
      <c r="E32" s="6" t="s">
        <v>21</v>
      </c>
      <c r="F32" s="6" t="str">
        <f t="shared" si="2"/>
        <v>Male</v>
      </c>
      <c r="G32" s="6" t="s">
        <v>134</v>
      </c>
      <c r="H32" s="6" t="s">
        <v>58</v>
      </c>
      <c r="I32" s="6" t="s">
        <v>17</v>
      </c>
      <c r="J32" s="6" t="s">
        <v>29</v>
      </c>
      <c r="K32" s="6" t="str">
        <f t="shared" si="3"/>
        <v>Bronze</v>
      </c>
    </row>
    <row r="33" ht="14.25" customHeight="1">
      <c r="A33" s="6" t="s">
        <v>135</v>
      </c>
      <c r="B33" s="6" t="s">
        <v>136</v>
      </c>
      <c r="C33" s="6" t="str">
        <f t="shared" si="1"/>
        <v>Sarah Vance</v>
      </c>
      <c r="D33" s="6">
        <v>41.0</v>
      </c>
      <c r="E33" s="6" t="s">
        <v>14</v>
      </c>
      <c r="F33" s="6" t="str">
        <f t="shared" si="2"/>
        <v>Female</v>
      </c>
      <c r="G33" s="6" t="s">
        <v>137</v>
      </c>
      <c r="H33" s="6" t="s">
        <v>42</v>
      </c>
      <c r="I33" s="6" t="s">
        <v>17</v>
      </c>
      <c r="J33" s="6" t="s">
        <v>34</v>
      </c>
      <c r="K33" s="6" t="str">
        <f t="shared" si="3"/>
        <v>Silver</v>
      </c>
    </row>
    <row r="34" ht="14.25" customHeight="1">
      <c r="A34" s="6" t="s">
        <v>138</v>
      </c>
      <c r="B34" s="6" t="s">
        <v>139</v>
      </c>
      <c r="C34" s="6" t="str">
        <f t="shared" si="1"/>
        <v>Mike Jennings</v>
      </c>
      <c r="D34" s="6">
        <v>48.0</v>
      </c>
      <c r="E34" s="6" t="s">
        <v>21</v>
      </c>
      <c r="F34" s="6" t="str">
        <f t="shared" si="2"/>
        <v>Male</v>
      </c>
      <c r="G34" s="6" t="s">
        <v>140</v>
      </c>
      <c r="H34" s="6" t="s">
        <v>141</v>
      </c>
      <c r="I34" s="6" t="s">
        <v>17</v>
      </c>
      <c r="J34" s="6" t="s">
        <v>24</v>
      </c>
      <c r="K34" s="6" t="str">
        <f t="shared" si="3"/>
        <v>Gold</v>
      </c>
    </row>
    <row r="35" ht="14.25" customHeight="1">
      <c r="A35" s="6" t="s">
        <v>142</v>
      </c>
      <c r="B35" s="6" t="s">
        <v>143</v>
      </c>
      <c r="C35" s="6" t="str">
        <f t="shared" si="1"/>
        <v>Robert Jones Dds</v>
      </c>
      <c r="D35" s="6">
        <v>25.0</v>
      </c>
      <c r="E35" s="6" t="s">
        <v>14</v>
      </c>
      <c r="F35" s="6" t="str">
        <f t="shared" si="2"/>
        <v>Female</v>
      </c>
      <c r="G35" s="6" t="s">
        <v>144</v>
      </c>
      <c r="H35" s="6" t="s">
        <v>103</v>
      </c>
      <c r="I35" s="6" t="s">
        <v>17</v>
      </c>
      <c r="J35" s="6" t="s">
        <v>18</v>
      </c>
      <c r="K35" s="6" t="str">
        <f t="shared" si="3"/>
        <v>Platinum</v>
      </c>
    </row>
    <row r="36" ht="14.25" customHeight="1">
      <c r="A36" s="6" t="s">
        <v>145</v>
      </c>
      <c r="B36" s="6" t="s">
        <v>146</v>
      </c>
      <c r="C36" s="6" t="str">
        <f t="shared" si="1"/>
        <v>Christopher Olson</v>
      </c>
      <c r="D36" s="6">
        <v>27.0</v>
      </c>
      <c r="E36" s="6" t="s">
        <v>21</v>
      </c>
      <c r="F36" s="6" t="str">
        <f t="shared" si="2"/>
        <v>Male</v>
      </c>
      <c r="G36" s="6" t="s">
        <v>147</v>
      </c>
      <c r="H36" s="6" t="s">
        <v>148</v>
      </c>
      <c r="I36" s="6" t="s">
        <v>17</v>
      </c>
      <c r="J36" s="6" t="s">
        <v>18</v>
      </c>
      <c r="K36" s="6" t="str">
        <f t="shared" si="3"/>
        <v>Platinum</v>
      </c>
    </row>
    <row r="37" ht="14.25" customHeight="1">
      <c r="A37" s="6" t="s">
        <v>149</v>
      </c>
      <c r="B37" s="6" t="s">
        <v>150</v>
      </c>
      <c r="C37" s="6" t="str">
        <f t="shared" si="1"/>
        <v>Rachel Myers</v>
      </c>
      <c r="D37" s="6">
        <v>52.0</v>
      </c>
      <c r="E37" s="6" t="s">
        <v>14</v>
      </c>
      <c r="F37" s="6" t="str">
        <f t="shared" si="2"/>
        <v>Female</v>
      </c>
      <c r="G37" s="6" t="s">
        <v>151</v>
      </c>
      <c r="H37" s="6" t="s">
        <v>23</v>
      </c>
      <c r="I37" s="6" t="s">
        <v>17</v>
      </c>
      <c r="J37" s="6" t="s">
        <v>34</v>
      </c>
      <c r="K37" s="6" t="str">
        <f t="shared" si="3"/>
        <v>Silver</v>
      </c>
    </row>
    <row r="38" ht="14.25" customHeight="1">
      <c r="A38" s="6" t="s">
        <v>152</v>
      </c>
      <c r="B38" s="6" t="s">
        <v>153</v>
      </c>
      <c r="C38" s="6" t="str">
        <f t="shared" si="1"/>
        <v>Thomas Phillips</v>
      </c>
      <c r="D38" s="6">
        <v>20.0</v>
      </c>
      <c r="E38" s="6" t="s">
        <v>21</v>
      </c>
      <c r="F38" s="6" t="str">
        <f t="shared" si="2"/>
        <v>Male</v>
      </c>
      <c r="G38" s="6" t="s">
        <v>154</v>
      </c>
      <c r="H38" s="6" t="s">
        <v>88</v>
      </c>
      <c r="I38" s="6" t="s">
        <v>17</v>
      </c>
      <c r="J38" s="6" t="s">
        <v>24</v>
      </c>
      <c r="K38" s="6" t="str">
        <f t="shared" si="3"/>
        <v>Gold</v>
      </c>
    </row>
    <row r="39" ht="14.25" customHeight="1">
      <c r="A39" s="6" t="s">
        <v>155</v>
      </c>
      <c r="B39" s="6" t="s">
        <v>156</v>
      </c>
      <c r="C39" s="6" t="str">
        <f t="shared" si="1"/>
        <v>Christopher Carter</v>
      </c>
      <c r="D39" s="6">
        <v>27.0</v>
      </c>
      <c r="E39" s="6" t="s">
        <v>21</v>
      </c>
      <c r="F39" s="6" t="str">
        <f t="shared" si="2"/>
        <v>Male</v>
      </c>
      <c r="G39" s="6" t="s">
        <v>157</v>
      </c>
      <c r="H39" s="6" t="s">
        <v>46</v>
      </c>
      <c r="I39" s="6" t="s">
        <v>17</v>
      </c>
      <c r="K39" s="6" t="str">
        <f t="shared" si="3"/>
        <v>Platinum</v>
      </c>
    </row>
    <row r="40" ht="14.25" customHeight="1">
      <c r="A40" s="6" t="s">
        <v>158</v>
      </c>
      <c r="B40" s="6" t="s">
        <v>159</v>
      </c>
      <c r="C40" s="6" t="str">
        <f t="shared" si="1"/>
        <v>Deanna Simpson</v>
      </c>
      <c r="D40" s="6">
        <v>35.0</v>
      </c>
      <c r="E40" s="6" t="s">
        <v>21</v>
      </c>
      <c r="F40" s="6" t="str">
        <f t="shared" si="2"/>
        <v>Male</v>
      </c>
      <c r="G40" s="6" t="s">
        <v>160</v>
      </c>
      <c r="H40" s="6" t="s">
        <v>23</v>
      </c>
      <c r="I40" s="6" t="s">
        <v>17</v>
      </c>
      <c r="J40" s="6" t="s">
        <v>29</v>
      </c>
      <c r="K40" s="6" t="str">
        <f t="shared" si="3"/>
        <v>Bronze</v>
      </c>
    </row>
    <row r="41" ht="14.25" customHeight="1">
      <c r="A41" s="6" t="s">
        <v>161</v>
      </c>
      <c r="B41" s="6" t="s">
        <v>162</v>
      </c>
      <c r="C41" s="6" t="str">
        <f t="shared" si="1"/>
        <v>Tonya Reynolds</v>
      </c>
      <c r="D41" s="6">
        <v>55.0</v>
      </c>
      <c r="E41" s="6" t="s">
        <v>21</v>
      </c>
      <c r="F41" s="6" t="str">
        <f t="shared" si="2"/>
        <v>Male</v>
      </c>
      <c r="G41" s="6" t="s">
        <v>163</v>
      </c>
      <c r="H41" s="6" t="s">
        <v>164</v>
      </c>
      <c r="I41" s="6" t="s">
        <v>17</v>
      </c>
      <c r="J41" s="6" t="s">
        <v>24</v>
      </c>
      <c r="K41" s="6" t="str">
        <f t="shared" si="3"/>
        <v>Gold</v>
      </c>
    </row>
    <row r="42" ht="14.25" customHeight="1">
      <c r="A42" s="6" t="s">
        <v>165</v>
      </c>
      <c r="B42" s="6" t="s">
        <v>166</v>
      </c>
      <c r="C42" s="6" t="str">
        <f t="shared" si="1"/>
        <v>Eric Vega</v>
      </c>
      <c r="D42" s="6">
        <v>50.0</v>
      </c>
      <c r="E42" s="6" t="s">
        <v>14</v>
      </c>
      <c r="F42" s="6" t="str">
        <f t="shared" si="2"/>
        <v>Female</v>
      </c>
      <c r="G42" s="6" t="s">
        <v>167</v>
      </c>
      <c r="H42" s="6" t="s">
        <v>69</v>
      </c>
      <c r="I42" s="6" t="s">
        <v>17</v>
      </c>
      <c r="J42" s="6" t="s">
        <v>24</v>
      </c>
      <c r="K42" s="6" t="str">
        <f t="shared" si="3"/>
        <v>Gold</v>
      </c>
    </row>
    <row r="43" ht="14.25" customHeight="1">
      <c r="A43" s="6" t="s">
        <v>168</v>
      </c>
      <c r="B43" s="6" t="s">
        <v>169</v>
      </c>
      <c r="C43" s="6" t="str">
        <f t="shared" si="1"/>
        <v>James Gibbs</v>
      </c>
      <c r="D43" s="6">
        <v>21.0</v>
      </c>
      <c r="E43" s="6" t="s">
        <v>14</v>
      </c>
      <c r="F43" s="6" t="str">
        <f t="shared" si="2"/>
        <v>Female</v>
      </c>
      <c r="G43" s="6" t="s">
        <v>170</v>
      </c>
      <c r="H43" s="6" t="s">
        <v>171</v>
      </c>
      <c r="I43" s="6" t="s">
        <v>17</v>
      </c>
      <c r="J43" s="6" t="s">
        <v>18</v>
      </c>
      <c r="K43" s="6" t="str">
        <f t="shared" si="3"/>
        <v>Platinum</v>
      </c>
    </row>
    <row r="44" ht="14.25" customHeight="1">
      <c r="A44" s="6" t="s">
        <v>172</v>
      </c>
      <c r="B44" s="6" t="s">
        <v>173</v>
      </c>
      <c r="C44" s="6" t="str">
        <f t="shared" si="1"/>
        <v>William Martin</v>
      </c>
      <c r="D44" s="6">
        <v>19.0</v>
      </c>
      <c r="E44" s="6" t="s">
        <v>14</v>
      </c>
      <c r="F44" s="6" t="str">
        <f t="shared" si="2"/>
        <v>Female</v>
      </c>
      <c r="G44" s="6" t="s">
        <v>174</v>
      </c>
      <c r="H44" s="6" t="s">
        <v>175</v>
      </c>
      <c r="I44" s="6" t="s">
        <v>17</v>
      </c>
      <c r="J44" s="6" t="s">
        <v>18</v>
      </c>
      <c r="K44" s="6" t="str">
        <f t="shared" si="3"/>
        <v>Platinum</v>
      </c>
    </row>
    <row r="45" ht="14.25" customHeight="1">
      <c r="A45" s="6" t="s">
        <v>176</v>
      </c>
      <c r="B45" s="6" t="s">
        <v>177</v>
      </c>
      <c r="C45" s="6" t="str">
        <f t="shared" si="1"/>
        <v>Joseph Snow</v>
      </c>
      <c r="D45" s="6">
        <v>45.0</v>
      </c>
      <c r="E45" s="6" t="s">
        <v>14</v>
      </c>
      <c r="F45" s="6" t="str">
        <f t="shared" si="2"/>
        <v>Female</v>
      </c>
      <c r="G45" s="6" t="s">
        <v>178</v>
      </c>
      <c r="H45" s="6" t="s">
        <v>179</v>
      </c>
      <c r="I45" s="6" t="s">
        <v>17</v>
      </c>
      <c r="J45" s="6" t="s">
        <v>24</v>
      </c>
      <c r="K45" s="6" t="str">
        <f t="shared" si="3"/>
        <v>Gold</v>
      </c>
    </row>
    <row r="46" ht="14.25" customHeight="1">
      <c r="A46" s="6" t="s">
        <v>180</v>
      </c>
      <c r="B46" s="6" t="s">
        <v>181</v>
      </c>
      <c r="C46" s="6" t="str">
        <f t="shared" si="1"/>
        <v>Denise Williams</v>
      </c>
      <c r="D46" s="6">
        <v>34.0</v>
      </c>
      <c r="E46" s="6" t="s">
        <v>14</v>
      </c>
      <c r="F46" s="6" t="str">
        <f t="shared" si="2"/>
        <v>Female</v>
      </c>
      <c r="G46" s="6" t="s">
        <v>182</v>
      </c>
      <c r="H46" s="6" t="s">
        <v>107</v>
      </c>
      <c r="I46" s="6" t="s">
        <v>17</v>
      </c>
      <c r="J46" s="6" t="s">
        <v>29</v>
      </c>
      <c r="K46" s="6" t="str">
        <f t="shared" si="3"/>
        <v>Bronze</v>
      </c>
    </row>
    <row r="47" ht="14.25" customHeight="1">
      <c r="A47" s="6" t="s">
        <v>183</v>
      </c>
      <c r="B47" s="6" t="s">
        <v>184</v>
      </c>
      <c r="C47" s="6" t="str">
        <f t="shared" si="1"/>
        <v>Jordan Jackson Dds</v>
      </c>
      <c r="D47" s="6">
        <v>54.0</v>
      </c>
      <c r="E47" s="6" t="s">
        <v>14</v>
      </c>
      <c r="F47" s="6" t="str">
        <f t="shared" si="2"/>
        <v>Female</v>
      </c>
      <c r="G47" s="6" t="s">
        <v>185</v>
      </c>
      <c r="H47" s="6" t="s">
        <v>141</v>
      </c>
      <c r="I47" s="6" t="s">
        <v>17</v>
      </c>
      <c r="J47" s="6" t="s">
        <v>24</v>
      </c>
      <c r="K47" s="6" t="str">
        <f t="shared" si="3"/>
        <v>Gold</v>
      </c>
    </row>
    <row r="48" ht="14.25" customHeight="1">
      <c r="A48" s="6" t="s">
        <v>186</v>
      </c>
      <c r="B48" s="6" t="s">
        <v>187</v>
      </c>
      <c r="C48" s="6" t="str">
        <f t="shared" si="1"/>
        <v>Michelle Garcia Dds</v>
      </c>
      <c r="D48" s="6">
        <v>55.0</v>
      </c>
      <c r="E48" s="6" t="s">
        <v>21</v>
      </c>
      <c r="F48" s="6" t="str">
        <f t="shared" si="2"/>
        <v>Male</v>
      </c>
      <c r="G48" s="6" t="s">
        <v>188</v>
      </c>
      <c r="H48" s="6" t="s">
        <v>33</v>
      </c>
      <c r="I48" s="6" t="s">
        <v>17</v>
      </c>
      <c r="J48" s="6" t="s">
        <v>18</v>
      </c>
      <c r="K48" s="6" t="str">
        <f t="shared" si="3"/>
        <v>Platinum</v>
      </c>
    </row>
    <row r="49" ht="14.25" customHeight="1">
      <c r="A49" s="6" t="s">
        <v>189</v>
      </c>
      <c r="B49" s="6" t="s">
        <v>190</v>
      </c>
      <c r="C49" s="6" t="str">
        <f t="shared" si="1"/>
        <v>Gina Knight</v>
      </c>
      <c r="D49" s="6">
        <v>54.0</v>
      </c>
      <c r="E49" s="6" t="s">
        <v>21</v>
      </c>
      <c r="F49" s="6" t="str">
        <f t="shared" si="2"/>
        <v>Male</v>
      </c>
      <c r="G49" s="6" t="s">
        <v>191</v>
      </c>
      <c r="H49" s="6" t="s">
        <v>192</v>
      </c>
      <c r="I49" s="6" t="s">
        <v>17</v>
      </c>
      <c r="J49" s="6" t="s">
        <v>34</v>
      </c>
      <c r="K49" s="6" t="str">
        <f t="shared" si="3"/>
        <v>Silver</v>
      </c>
    </row>
    <row r="50" ht="14.25" customHeight="1">
      <c r="A50" s="6" t="s">
        <v>193</v>
      </c>
      <c r="B50" s="6" t="s">
        <v>194</v>
      </c>
      <c r="C50" s="6" t="str">
        <f t="shared" si="1"/>
        <v>April Mullins</v>
      </c>
      <c r="D50" s="6">
        <v>54.0</v>
      </c>
      <c r="E50" s="6" t="s">
        <v>14</v>
      </c>
      <c r="F50" s="6" t="str">
        <f t="shared" si="2"/>
        <v>Female</v>
      </c>
      <c r="G50" s="6" t="s">
        <v>195</v>
      </c>
      <c r="H50" s="6" t="s">
        <v>16</v>
      </c>
      <c r="I50" s="6" t="s">
        <v>17</v>
      </c>
      <c r="J50" s="6" t="s">
        <v>18</v>
      </c>
      <c r="K50" s="6" t="str">
        <f t="shared" si="3"/>
        <v>Platinum</v>
      </c>
    </row>
    <row r="51" ht="14.25" customHeight="1">
      <c r="A51" s="6" t="s">
        <v>196</v>
      </c>
      <c r="B51" s="6" t="s">
        <v>197</v>
      </c>
      <c r="C51" s="6" t="str">
        <f t="shared" si="1"/>
        <v>Timothy Weaver</v>
      </c>
      <c r="D51" s="6">
        <v>45.0</v>
      </c>
      <c r="E51" s="6" t="s">
        <v>21</v>
      </c>
      <c r="F51" s="6" t="str">
        <f t="shared" si="2"/>
        <v>Male</v>
      </c>
      <c r="G51" s="6" t="s">
        <v>198</v>
      </c>
      <c r="H51" s="6" t="s">
        <v>33</v>
      </c>
      <c r="I51" s="6" t="s">
        <v>17</v>
      </c>
      <c r="J51" s="6" t="s">
        <v>24</v>
      </c>
      <c r="K51" s="6" t="str">
        <f t="shared" si="3"/>
        <v>Gold</v>
      </c>
    </row>
    <row r="52" ht="14.25" customHeight="1">
      <c r="A52" s="6" t="s">
        <v>199</v>
      </c>
      <c r="B52" s="6" t="s">
        <v>200</v>
      </c>
      <c r="C52" s="6" t="str">
        <f t="shared" si="1"/>
        <v>Matthew Hunter Jr.</v>
      </c>
      <c r="D52" s="6">
        <v>61.0</v>
      </c>
      <c r="E52" s="6" t="s">
        <v>21</v>
      </c>
      <c r="F52" s="6" t="str">
        <f t="shared" si="2"/>
        <v>Male</v>
      </c>
      <c r="G52" s="6" t="s">
        <v>201</v>
      </c>
      <c r="H52" s="6" t="s">
        <v>202</v>
      </c>
      <c r="I52" s="6" t="s">
        <v>17</v>
      </c>
      <c r="J52" s="6" t="s">
        <v>24</v>
      </c>
      <c r="K52" s="6" t="str">
        <f t="shared" si="3"/>
        <v>Gold</v>
      </c>
    </row>
    <row r="53" ht="14.25" customHeight="1">
      <c r="A53" s="6" t="s">
        <v>203</v>
      </c>
      <c r="B53" s="6" t="s">
        <v>204</v>
      </c>
      <c r="C53" s="6" t="str">
        <f t="shared" si="1"/>
        <v>Sarah Rodgers</v>
      </c>
      <c r="D53" s="6">
        <v>23.0</v>
      </c>
      <c r="E53" s="6" t="s">
        <v>21</v>
      </c>
      <c r="F53" s="6" t="str">
        <f t="shared" si="2"/>
        <v>Male</v>
      </c>
      <c r="G53" s="6" t="s">
        <v>205</v>
      </c>
      <c r="H53" s="6" t="s">
        <v>50</v>
      </c>
      <c r="I53" s="6" t="s">
        <v>17</v>
      </c>
      <c r="J53" s="6" t="s">
        <v>24</v>
      </c>
      <c r="K53" s="6" t="str">
        <f t="shared" si="3"/>
        <v>Gold</v>
      </c>
    </row>
    <row r="54" ht="14.25" customHeight="1">
      <c r="A54" s="6" t="s">
        <v>206</v>
      </c>
      <c r="B54" s="6" t="s">
        <v>207</v>
      </c>
      <c r="C54" s="6" t="str">
        <f t="shared" si="1"/>
        <v>Debra Liu</v>
      </c>
      <c r="D54" s="6">
        <v>55.0</v>
      </c>
      <c r="E54" s="6" t="s">
        <v>14</v>
      </c>
      <c r="F54" s="6" t="str">
        <f t="shared" si="2"/>
        <v>Female</v>
      </c>
      <c r="G54" s="6" t="s">
        <v>208</v>
      </c>
      <c r="H54" s="6" t="s">
        <v>209</v>
      </c>
      <c r="I54" s="6" t="s">
        <v>17</v>
      </c>
      <c r="J54" s="6" t="s">
        <v>29</v>
      </c>
      <c r="K54" s="6" t="str">
        <f t="shared" si="3"/>
        <v>Bronze</v>
      </c>
    </row>
    <row r="55" ht="14.25" customHeight="1">
      <c r="A55" s="6" t="s">
        <v>210</v>
      </c>
      <c r="B55" s="6" t="s">
        <v>211</v>
      </c>
      <c r="C55" s="6" t="str">
        <f t="shared" si="1"/>
        <v>Sharon Brown</v>
      </c>
      <c r="D55" s="6">
        <v>37.0</v>
      </c>
      <c r="E55" s="6" t="s">
        <v>21</v>
      </c>
      <c r="F55" s="6" t="str">
        <f t="shared" si="2"/>
        <v>Male</v>
      </c>
      <c r="G55" s="6" t="s">
        <v>212</v>
      </c>
      <c r="H55" s="6" t="s">
        <v>164</v>
      </c>
      <c r="I55" s="6" t="s">
        <v>17</v>
      </c>
      <c r="J55" s="6" t="s">
        <v>24</v>
      </c>
      <c r="K55" s="6" t="str">
        <f t="shared" si="3"/>
        <v>Gold</v>
      </c>
    </row>
    <row r="56" ht="14.25" customHeight="1">
      <c r="A56" s="6" t="s">
        <v>213</v>
      </c>
      <c r="B56" s="6" t="s">
        <v>214</v>
      </c>
      <c r="C56" s="6" t="str">
        <f t="shared" si="1"/>
        <v>Katherine Dorsey</v>
      </c>
      <c r="D56" s="6">
        <v>24.0</v>
      </c>
      <c r="E56" s="6" t="s">
        <v>14</v>
      </c>
      <c r="F56" s="6" t="str">
        <f t="shared" si="2"/>
        <v>Female</v>
      </c>
      <c r="G56" s="6" t="s">
        <v>215</v>
      </c>
      <c r="H56" s="6" t="s">
        <v>103</v>
      </c>
      <c r="I56" s="6" t="s">
        <v>17</v>
      </c>
      <c r="J56" s="6" t="s">
        <v>18</v>
      </c>
      <c r="K56" s="6" t="str">
        <f t="shared" si="3"/>
        <v>Platinum</v>
      </c>
    </row>
    <row r="57" ht="14.25" customHeight="1">
      <c r="A57" s="6" t="s">
        <v>216</v>
      </c>
      <c r="B57" s="6" t="s">
        <v>217</v>
      </c>
      <c r="C57" s="6" t="str">
        <f t="shared" si="1"/>
        <v>Wayne Mcpherson</v>
      </c>
      <c r="D57" s="6">
        <v>56.0</v>
      </c>
      <c r="E57" s="6" t="s">
        <v>21</v>
      </c>
      <c r="F57" s="6" t="str">
        <f t="shared" si="2"/>
        <v>Male</v>
      </c>
      <c r="G57" s="6" t="s">
        <v>218</v>
      </c>
      <c r="H57" s="6" t="s">
        <v>209</v>
      </c>
      <c r="I57" s="6" t="s">
        <v>17</v>
      </c>
      <c r="J57" s="6" t="s">
        <v>29</v>
      </c>
      <c r="K57" s="6" t="str">
        <f t="shared" si="3"/>
        <v>Bronze</v>
      </c>
    </row>
    <row r="58" ht="14.25" customHeight="1">
      <c r="A58" s="6" t="s">
        <v>219</v>
      </c>
      <c r="B58" s="6" t="s">
        <v>220</v>
      </c>
      <c r="C58" s="6" t="str">
        <f t="shared" si="1"/>
        <v>Christopher Sutton</v>
      </c>
      <c r="D58" s="6">
        <v>49.0</v>
      </c>
      <c r="E58" s="6" t="s">
        <v>21</v>
      </c>
      <c r="F58" s="6" t="str">
        <f t="shared" si="2"/>
        <v>Male</v>
      </c>
      <c r="G58" s="6" t="s">
        <v>221</v>
      </c>
      <c r="H58" s="6" t="s">
        <v>58</v>
      </c>
      <c r="I58" s="6" t="s">
        <v>17</v>
      </c>
      <c r="J58" s="6" t="s">
        <v>24</v>
      </c>
      <c r="K58" s="6" t="str">
        <f t="shared" si="3"/>
        <v>Gold</v>
      </c>
    </row>
    <row r="59" ht="14.25" customHeight="1">
      <c r="A59" s="6" t="s">
        <v>222</v>
      </c>
      <c r="B59" s="6" t="s">
        <v>223</v>
      </c>
      <c r="C59" s="6" t="str">
        <f t="shared" si="1"/>
        <v>Jay Patel</v>
      </c>
      <c r="D59" s="6">
        <v>43.0</v>
      </c>
      <c r="E59" s="6" t="s">
        <v>21</v>
      </c>
      <c r="F59" s="6" t="str">
        <f t="shared" si="2"/>
        <v>Male</v>
      </c>
      <c r="G59" s="6" t="s">
        <v>224</v>
      </c>
      <c r="H59" s="6" t="s">
        <v>225</v>
      </c>
      <c r="I59" s="6" t="s">
        <v>17</v>
      </c>
      <c r="J59" s="6" t="s">
        <v>18</v>
      </c>
      <c r="K59" s="6" t="str">
        <f t="shared" si="3"/>
        <v>Platinum</v>
      </c>
    </row>
    <row r="60" ht="14.25" customHeight="1">
      <c r="A60" s="6" t="s">
        <v>226</v>
      </c>
      <c r="B60" s="6" t="s">
        <v>227</v>
      </c>
      <c r="C60" s="6" t="str">
        <f t="shared" si="1"/>
        <v>Cheryl Copeland</v>
      </c>
      <c r="D60" s="6">
        <v>51.0</v>
      </c>
      <c r="E60" s="6" t="s">
        <v>14</v>
      </c>
      <c r="F60" s="6" t="str">
        <f t="shared" si="2"/>
        <v>Female</v>
      </c>
      <c r="G60" s="6" t="s">
        <v>228</v>
      </c>
      <c r="H60" s="6" t="s">
        <v>148</v>
      </c>
      <c r="I60" s="6" t="s">
        <v>17</v>
      </c>
      <c r="J60" s="6" t="s">
        <v>18</v>
      </c>
      <c r="K60" s="6" t="str">
        <f t="shared" si="3"/>
        <v>Platinum</v>
      </c>
    </row>
    <row r="61" ht="14.25" customHeight="1">
      <c r="A61" s="6" t="s">
        <v>229</v>
      </c>
      <c r="B61" s="6" t="s">
        <v>230</v>
      </c>
      <c r="C61" s="6" t="str">
        <f t="shared" si="1"/>
        <v>Alyssa Vargas</v>
      </c>
      <c r="D61" s="6">
        <v>53.0</v>
      </c>
      <c r="E61" s="6" t="s">
        <v>14</v>
      </c>
      <c r="F61" s="6" t="str">
        <f t="shared" si="2"/>
        <v>Female</v>
      </c>
      <c r="G61" s="6" t="s">
        <v>231</v>
      </c>
      <c r="H61" s="6" t="s">
        <v>73</v>
      </c>
      <c r="I61" s="6" t="s">
        <v>17</v>
      </c>
      <c r="J61" s="6" t="s">
        <v>18</v>
      </c>
      <c r="K61" s="6" t="str">
        <f t="shared" si="3"/>
        <v>Platinum</v>
      </c>
    </row>
    <row r="62" ht="14.25" customHeight="1">
      <c r="A62" s="6" t="s">
        <v>232</v>
      </c>
      <c r="B62" s="6" t="s">
        <v>233</v>
      </c>
      <c r="C62" s="6" t="str">
        <f t="shared" si="1"/>
        <v>Dr. David Smith</v>
      </c>
      <c r="D62" s="6">
        <v>22.0</v>
      </c>
      <c r="E62" s="6" t="s">
        <v>21</v>
      </c>
      <c r="F62" s="6" t="str">
        <f t="shared" si="2"/>
        <v>Male</v>
      </c>
      <c r="G62" s="6" t="s">
        <v>234</v>
      </c>
      <c r="H62" s="6" t="s">
        <v>171</v>
      </c>
      <c r="I62" s="6" t="s">
        <v>17</v>
      </c>
      <c r="J62" s="6" t="s">
        <v>34</v>
      </c>
      <c r="K62" s="6" t="str">
        <f t="shared" si="3"/>
        <v>Silver</v>
      </c>
    </row>
    <row r="63" ht="14.25" customHeight="1">
      <c r="A63" s="6" t="s">
        <v>235</v>
      </c>
      <c r="B63" s="6" t="s">
        <v>236</v>
      </c>
      <c r="C63" s="6" t="str">
        <f t="shared" si="1"/>
        <v>Kristin Stein</v>
      </c>
      <c r="D63" s="6">
        <v>23.0</v>
      </c>
      <c r="E63" s="6" t="s">
        <v>14</v>
      </c>
      <c r="F63" s="6" t="str">
        <f t="shared" si="2"/>
        <v>Female</v>
      </c>
      <c r="G63" s="6" t="s">
        <v>237</v>
      </c>
      <c r="H63" s="6" t="s">
        <v>121</v>
      </c>
      <c r="I63" s="6" t="s">
        <v>17</v>
      </c>
      <c r="J63" s="6" t="s">
        <v>34</v>
      </c>
      <c r="K63" s="6" t="str">
        <f t="shared" si="3"/>
        <v>Silver</v>
      </c>
    </row>
    <row r="64" ht="14.25" customHeight="1">
      <c r="A64" s="6" t="s">
        <v>238</v>
      </c>
      <c r="B64" s="6" t="s">
        <v>239</v>
      </c>
      <c r="C64" s="6" t="str">
        <f t="shared" si="1"/>
        <v>James Bean</v>
      </c>
      <c r="D64" s="6">
        <v>50.0</v>
      </c>
      <c r="E64" s="6" t="s">
        <v>14</v>
      </c>
      <c r="F64" s="6" t="str">
        <f t="shared" si="2"/>
        <v>Female</v>
      </c>
      <c r="G64" s="6" t="s">
        <v>240</v>
      </c>
      <c r="H64" s="6" t="s">
        <v>241</v>
      </c>
      <c r="I64" s="6" t="s">
        <v>17</v>
      </c>
      <c r="J64" s="6" t="s">
        <v>29</v>
      </c>
      <c r="K64" s="6" t="str">
        <f t="shared" si="3"/>
        <v>Bronze</v>
      </c>
    </row>
    <row r="65" ht="14.25" customHeight="1">
      <c r="A65" s="6" t="s">
        <v>242</v>
      </c>
      <c r="B65" s="6" t="s">
        <v>243</v>
      </c>
      <c r="C65" s="6" t="str">
        <f t="shared" si="1"/>
        <v>Michael Daniel</v>
      </c>
      <c r="D65" s="6">
        <v>51.0</v>
      </c>
      <c r="E65" s="6" t="s">
        <v>14</v>
      </c>
      <c r="F65" s="6" t="str">
        <f t="shared" si="2"/>
        <v>Female</v>
      </c>
      <c r="G65" s="6" t="s">
        <v>244</v>
      </c>
      <c r="H65" s="6" t="s">
        <v>245</v>
      </c>
      <c r="I65" s="6" t="s">
        <v>17</v>
      </c>
      <c r="J65" s="6" t="s">
        <v>18</v>
      </c>
      <c r="K65" s="6" t="str">
        <f t="shared" si="3"/>
        <v>Platinum</v>
      </c>
    </row>
    <row r="66" ht="14.25" customHeight="1">
      <c r="A66" s="6" t="s">
        <v>246</v>
      </c>
      <c r="B66" s="6" t="s">
        <v>247</v>
      </c>
      <c r="C66" s="6" t="str">
        <f t="shared" si="1"/>
        <v>Mr. Mason Butler</v>
      </c>
      <c r="D66" s="6">
        <v>33.0</v>
      </c>
      <c r="E66" s="6" t="s">
        <v>14</v>
      </c>
      <c r="F66" s="6" t="str">
        <f t="shared" si="2"/>
        <v>Female</v>
      </c>
      <c r="G66" s="6" t="s">
        <v>248</v>
      </c>
      <c r="H66" s="6" t="s">
        <v>141</v>
      </c>
      <c r="I66" s="6" t="s">
        <v>17</v>
      </c>
      <c r="J66" s="6" t="s">
        <v>24</v>
      </c>
      <c r="K66" s="6" t="str">
        <f t="shared" si="3"/>
        <v>Gold</v>
      </c>
    </row>
    <row r="67" ht="14.25" customHeight="1">
      <c r="A67" s="6" t="s">
        <v>249</v>
      </c>
      <c r="B67" s="6" t="s">
        <v>250</v>
      </c>
      <c r="C67" s="6" t="str">
        <f t="shared" si="1"/>
        <v>Michael Thomas</v>
      </c>
      <c r="D67" s="6">
        <v>21.0</v>
      </c>
      <c r="E67" s="6" t="s">
        <v>21</v>
      </c>
      <c r="F67" s="6" t="str">
        <f t="shared" si="2"/>
        <v>Male</v>
      </c>
      <c r="G67" s="6" t="s">
        <v>251</v>
      </c>
      <c r="H67" s="6" t="s">
        <v>192</v>
      </c>
      <c r="I67" s="6" t="s">
        <v>17</v>
      </c>
      <c r="J67" s="6" t="s">
        <v>34</v>
      </c>
      <c r="K67" s="6" t="str">
        <f t="shared" si="3"/>
        <v>Silver</v>
      </c>
    </row>
    <row r="68" ht="14.25" customHeight="1">
      <c r="A68" s="6" t="s">
        <v>252</v>
      </c>
      <c r="B68" s="6" t="s">
        <v>253</v>
      </c>
      <c r="C68" s="6" t="str">
        <f t="shared" si="1"/>
        <v>Cody Diaz</v>
      </c>
      <c r="D68" s="6">
        <v>27.0</v>
      </c>
      <c r="E68" s="6" t="s">
        <v>21</v>
      </c>
      <c r="F68" s="6" t="str">
        <f t="shared" si="2"/>
        <v>Male</v>
      </c>
      <c r="G68" s="6" t="s">
        <v>254</v>
      </c>
      <c r="H68" s="6" t="s">
        <v>54</v>
      </c>
      <c r="I68" s="6" t="s">
        <v>17</v>
      </c>
      <c r="J68" s="6" t="s">
        <v>34</v>
      </c>
      <c r="K68" s="6" t="str">
        <f t="shared" si="3"/>
        <v>Silver</v>
      </c>
    </row>
    <row r="69" ht="14.25" customHeight="1">
      <c r="A69" s="6" t="s">
        <v>255</v>
      </c>
      <c r="B69" s="6" t="s">
        <v>256</v>
      </c>
      <c r="C69" s="6" t="str">
        <f t="shared" si="1"/>
        <v>Amber Mcclain</v>
      </c>
      <c r="D69" s="6">
        <v>58.0</v>
      </c>
      <c r="E69" s="6" t="s">
        <v>14</v>
      </c>
      <c r="F69" s="6" t="str">
        <f t="shared" si="2"/>
        <v>Female</v>
      </c>
      <c r="G69" s="6" t="s">
        <v>257</v>
      </c>
      <c r="H69" s="6" t="s">
        <v>258</v>
      </c>
      <c r="I69" s="6" t="s">
        <v>17</v>
      </c>
      <c r="J69" s="6" t="s">
        <v>34</v>
      </c>
      <c r="K69" s="6" t="str">
        <f t="shared" si="3"/>
        <v>Silver</v>
      </c>
    </row>
    <row r="70" ht="14.25" customHeight="1">
      <c r="A70" s="6" t="s">
        <v>259</v>
      </c>
      <c r="B70" s="6" t="s">
        <v>260</v>
      </c>
      <c r="C70" s="6" t="str">
        <f t="shared" si="1"/>
        <v>Mr. Mark Beasley</v>
      </c>
      <c r="D70" s="6">
        <v>24.0</v>
      </c>
      <c r="E70" s="6" t="s">
        <v>21</v>
      </c>
      <c r="F70" s="6" t="str">
        <f t="shared" si="2"/>
        <v>Male</v>
      </c>
      <c r="G70" s="6" t="s">
        <v>261</v>
      </c>
      <c r="H70" s="6" t="s">
        <v>262</v>
      </c>
      <c r="I70" s="6" t="s">
        <v>17</v>
      </c>
      <c r="J70" s="6" t="s">
        <v>34</v>
      </c>
      <c r="K70" s="6" t="str">
        <f t="shared" si="3"/>
        <v>Silver</v>
      </c>
    </row>
    <row r="71" ht="14.25" customHeight="1">
      <c r="A71" s="6" t="s">
        <v>263</v>
      </c>
      <c r="B71" s="6" t="s">
        <v>264</v>
      </c>
      <c r="C71" s="6" t="str">
        <f t="shared" si="1"/>
        <v>Roy Cole</v>
      </c>
      <c r="D71" s="6">
        <v>24.0</v>
      </c>
      <c r="E71" s="6" t="s">
        <v>21</v>
      </c>
      <c r="F71" s="6" t="str">
        <f t="shared" si="2"/>
        <v>Male</v>
      </c>
      <c r="G71" s="6" t="s">
        <v>265</v>
      </c>
      <c r="H71" s="6" t="s">
        <v>95</v>
      </c>
      <c r="I71" s="6" t="s">
        <v>17</v>
      </c>
      <c r="J71" s="6" t="s">
        <v>18</v>
      </c>
      <c r="K71" s="6" t="str">
        <f t="shared" si="3"/>
        <v>Platinum</v>
      </c>
    </row>
    <row r="72" ht="14.25" customHeight="1">
      <c r="A72" s="6" t="s">
        <v>266</v>
      </c>
      <c r="B72" s="6" t="s">
        <v>267</v>
      </c>
      <c r="C72" s="6" t="str">
        <f t="shared" si="1"/>
        <v>Eric Singh</v>
      </c>
      <c r="D72" s="6">
        <v>29.0</v>
      </c>
      <c r="E72" s="6" t="s">
        <v>21</v>
      </c>
      <c r="F72" s="6" t="str">
        <f t="shared" si="2"/>
        <v>Male</v>
      </c>
      <c r="G72" s="6" t="s">
        <v>268</v>
      </c>
      <c r="H72" s="6" t="s">
        <v>241</v>
      </c>
      <c r="I72" s="6" t="s">
        <v>17</v>
      </c>
      <c r="J72" s="6" t="s">
        <v>24</v>
      </c>
      <c r="K72" s="6" t="str">
        <f t="shared" si="3"/>
        <v>Gold</v>
      </c>
    </row>
    <row r="73" ht="14.25" customHeight="1">
      <c r="A73" s="6" t="s">
        <v>269</v>
      </c>
      <c r="B73" s="6" t="s">
        <v>270</v>
      </c>
      <c r="C73" s="6" t="str">
        <f t="shared" si="1"/>
        <v>Andrea Perez</v>
      </c>
      <c r="D73" s="6">
        <v>61.0</v>
      </c>
      <c r="E73" s="6" t="s">
        <v>21</v>
      </c>
      <c r="F73" s="6" t="str">
        <f t="shared" si="2"/>
        <v>Male</v>
      </c>
      <c r="G73" s="6" t="s">
        <v>271</v>
      </c>
      <c r="H73" s="6" t="s">
        <v>241</v>
      </c>
      <c r="I73" s="6" t="s">
        <v>17</v>
      </c>
      <c r="J73" s="6" t="s">
        <v>24</v>
      </c>
      <c r="K73" s="6" t="str">
        <f t="shared" si="3"/>
        <v>Gold</v>
      </c>
    </row>
    <row r="74" ht="14.25" customHeight="1">
      <c r="A74" s="6" t="s">
        <v>272</v>
      </c>
      <c r="B74" s="6" t="s">
        <v>273</v>
      </c>
      <c r="C74" s="6" t="str">
        <f t="shared" si="1"/>
        <v>Tonya Burch</v>
      </c>
      <c r="D74" s="6">
        <v>39.0</v>
      </c>
      <c r="E74" s="6" t="s">
        <v>21</v>
      </c>
      <c r="F74" s="6" t="str">
        <f t="shared" si="2"/>
        <v>Male</v>
      </c>
      <c r="G74" s="6" t="s">
        <v>274</v>
      </c>
      <c r="H74" s="6" t="s">
        <v>275</v>
      </c>
      <c r="I74" s="6" t="s">
        <v>17</v>
      </c>
      <c r="J74" s="6" t="s">
        <v>24</v>
      </c>
      <c r="K74" s="6" t="str">
        <f t="shared" si="3"/>
        <v>Gold</v>
      </c>
    </row>
    <row r="75" ht="14.25" customHeight="1">
      <c r="A75" s="6" t="s">
        <v>276</v>
      </c>
      <c r="B75" s="6" t="s">
        <v>277</v>
      </c>
      <c r="C75" s="6" t="str">
        <f t="shared" si="1"/>
        <v>Christopher Brown</v>
      </c>
      <c r="D75" s="6">
        <v>56.0</v>
      </c>
      <c r="E75" s="6" t="s">
        <v>21</v>
      </c>
      <c r="F75" s="6" t="str">
        <f t="shared" si="2"/>
        <v>Male</v>
      </c>
      <c r="G75" s="6" t="s">
        <v>278</v>
      </c>
      <c r="H75" s="6" t="s">
        <v>50</v>
      </c>
      <c r="I75" s="6" t="s">
        <v>17</v>
      </c>
      <c r="J75" s="6" t="s">
        <v>34</v>
      </c>
      <c r="K75" s="6" t="str">
        <f t="shared" si="3"/>
        <v>Silver</v>
      </c>
    </row>
    <row r="76" ht="14.25" customHeight="1">
      <c r="A76" s="6" t="s">
        <v>279</v>
      </c>
      <c r="B76" s="6" t="s">
        <v>280</v>
      </c>
      <c r="C76" s="6" t="str">
        <f t="shared" si="1"/>
        <v>John Mayer</v>
      </c>
      <c r="D76" s="6">
        <v>58.0</v>
      </c>
      <c r="E76" s="6" t="s">
        <v>14</v>
      </c>
      <c r="F76" s="6" t="str">
        <f t="shared" si="2"/>
        <v>Female</v>
      </c>
      <c r="G76" s="6" t="s">
        <v>281</v>
      </c>
      <c r="H76" s="6" t="s">
        <v>282</v>
      </c>
      <c r="I76" s="6" t="s">
        <v>17</v>
      </c>
      <c r="J76" s="6" t="s">
        <v>29</v>
      </c>
      <c r="K76" s="6" t="str">
        <f t="shared" si="3"/>
        <v>Bronze</v>
      </c>
    </row>
    <row r="77" ht="14.25" customHeight="1">
      <c r="A77" s="6" t="s">
        <v>283</v>
      </c>
      <c r="B77" s="6" t="s">
        <v>284</v>
      </c>
      <c r="C77" s="6" t="str">
        <f t="shared" si="1"/>
        <v>Rhonda Morales</v>
      </c>
      <c r="D77" s="6">
        <v>61.0</v>
      </c>
      <c r="E77" s="6" t="s">
        <v>21</v>
      </c>
      <c r="F77" s="6" t="str">
        <f t="shared" si="2"/>
        <v>Male</v>
      </c>
      <c r="G77" s="6" t="s">
        <v>285</v>
      </c>
      <c r="H77" s="6" t="s">
        <v>38</v>
      </c>
      <c r="I77" s="6" t="s">
        <v>17</v>
      </c>
      <c r="J77" s="6" t="s">
        <v>24</v>
      </c>
      <c r="K77" s="6" t="str">
        <f t="shared" si="3"/>
        <v>Gold</v>
      </c>
    </row>
    <row r="78" ht="14.25" customHeight="1">
      <c r="A78" s="6" t="s">
        <v>286</v>
      </c>
      <c r="B78" s="6" t="s">
        <v>287</v>
      </c>
      <c r="C78" s="6" t="str">
        <f t="shared" si="1"/>
        <v>Nathan Campbell</v>
      </c>
      <c r="D78" s="6">
        <v>37.0</v>
      </c>
      <c r="E78" s="6" t="s">
        <v>14</v>
      </c>
      <c r="F78" s="6" t="str">
        <f t="shared" si="2"/>
        <v>Female</v>
      </c>
      <c r="G78" s="6" t="s">
        <v>288</v>
      </c>
      <c r="H78" s="6" t="s">
        <v>103</v>
      </c>
      <c r="I78" s="6" t="s">
        <v>17</v>
      </c>
      <c r="J78" s="6" t="s">
        <v>24</v>
      </c>
      <c r="K78" s="6" t="str">
        <f t="shared" si="3"/>
        <v>Gold</v>
      </c>
    </row>
    <row r="79" ht="14.25" customHeight="1">
      <c r="A79" s="6" t="s">
        <v>289</v>
      </c>
      <c r="B79" s="6" t="s">
        <v>290</v>
      </c>
      <c r="C79" s="6" t="str">
        <f t="shared" si="1"/>
        <v>Katherine Young</v>
      </c>
      <c r="D79" s="6">
        <v>29.0</v>
      </c>
      <c r="E79" s="6" t="s">
        <v>14</v>
      </c>
      <c r="F79" s="6" t="str">
        <f t="shared" si="2"/>
        <v>Female</v>
      </c>
      <c r="G79" s="6" t="s">
        <v>291</v>
      </c>
      <c r="H79" s="6" t="s">
        <v>179</v>
      </c>
      <c r="I79" s="6" t="s">
        <v>17</v>
      </c>
      <c r="J79" s="6" t="s">
        <v>24</v>
      </c>
      <c r="K79" s="6" t="str">
        <f t="shared" si="3"/>
        <v>Gold</v>
      </c>
    </row>
    <row r="80" ht="14.25" customHeight="1">
      <c r="A80" s="6" t="s">
        <v>292</v>
      </c>
      <c r="B80" s="6" t="s">
        <v>293</v>
      </c>
      <c r="C80" s="6" t="str">
        <f t="shared" si="1"/>
        <v>Cody Blake</v>
      </c>
      <c r="D80" s="6">
        <v>21.0</v>
      </c>
      <c r="E80" s="6" t="s">
        <v>14</v>
      </c>
      <c r="F80" s="6" t="str">
        <f t="shared" si="2"/>
        <v>Female</v>
      </c>
      <c r="G80" s="6" t="s">
        <v>294</v>
      </c>
      <c r="H80" s="6" t="s">
        <v>295</v>
      </c>
      <c r="I80" s="6" t="s">
        <v>17</v>
      </c>
      <c r="J80" s="6" t="s">
        <v>24</v>
      </c>
      <c r="K80" s="6" t="str">
        <f t="shared" si="3"/>
        <v>Gold</v>
      </c>
    </row>
    <row r="81" ht="14.25" customHeight="1">
      <c r="A81" s="6" t="s">
        <v>296</v>
      </c>
      <c r="B81" s="6" t="s">
        <v>297</v>
      </c>
      <c r="C81" s="6" t="str">
        <f t="shared" si="1"/>
        <v>Molly Gardner</v>
      </c>
      <c r="D81" s="6">
        <v>22.0</v>
      </c>
      <c r="E81" s="6" t="s">
        <v>21</v>
      </c>
      <c r="F81" s="6" t="str">
        <f t="shared" si="2"/>
        <v>Male</v>
      </c>
      <c r="G81" s="6" t="s">
        <v>298</v>
      </c>
      <c r="H81" s="6" t="s">
        <v>299</v>
      </c>
      <c r="I81" s="6" t="s">
        <v>17</v>
      </c>
      <c r="J81" s="6" t="s">
        <v>18</v>
      </c>
      <c r="K81" s="6" t="str">
        <f t="shared" si="3"/>
        <v>Platinum</v>
      </c>
    </row>
    <row r="82" ht="14.25" customHeight="1">
      <c r="A82" s="6" t="s">
        <v>300</v>
      </c>
      <c r="B82" s="6" t="s">
        <v>301</v>
      </c>
      <c r="C82" s="6" t="str">
        <f t="shared" si="1"/>
        <v>Jennifer Garcia</v>
      </c>
      <c r="D82" s="6">
        <v>61.0</v>
      </c>
      <c r="E82" s="6" t="s">
        <v>21</v>
      </c>
      <c r="F82" s="6" t="str">
        <f t="shared" si="2"/>
        <v>Male</v>
      </c>
      <c r="G82" s="6" t="s">
        <v>302</v>
      </c>
      <c r="H82" s="6" t="s">
        <v>241</v>
      </c>
      <c r="I82" s="6" t="s">
        <v>17</v>
      </c>
      <c r="J82" s="6" t="s">
        <v>29</v>
      </c>
      <c r="K82" s="6" t="str">
        <f t="shared" si="3"/>
        <v>Bronze</v>
      </c>
    </row>
    <row r="83" ht="14.25" customHeight="1">
      <c r="A83" s="6" t="s">
        <v>303</v>
      </c>
      <c r="B83" s="6" t="s">
        <v>304</v>
      </c>
      <c r="C83" s="6" t="str">
        <f t="shared" si="1"/>
        <v>Krystal Ford</v>
      </c>
      <c r="D83" s="6">
        <v>34.0</v>
      </c>
      <c r="E83" s="6" t="s">
        <v>21</v>
      </c>
      <c r="F83" s="6" t="str">
        <f t="shared" si="2"/>
        <v>Male</v>
      </c>
      <c r="G83" s="6" t="s">
        <v>305</v>
      </c>
      <c r="H83" s="6" t="s">
        <v>141</v>
      </c>
      <c r="I83" s="6" t="s">
        <v>17</v>
      </c>
      <c r="J83" s="6" t="s">
        <v>18</v>
      </c>
      <c r="K83" s="6" t="str">
        <f t="shared" si="3"/>
        <v>Platinum</v>
      </c>
    </row>
    <row r="84" ht="14.25" customHeight="1">
      <c r="A84" s="6" t="s">
        <v>306</v>
      </c>
      <c r="B84" s="6" t="s">
        <v>307</v>
      </c>
      <c r="C84" s="6" t="str">
        <f t="shared" si="1"/>
        <v>George Rosario</v>
      </c>
      <c r="D84" s="6">
        <v>53.0</v>
      </c>
      <c r="E84" s="6" t="s">
        <v>14</v>
      </c>
      <c r="F84" s="6" t="str">
        <f t="shared" si="2"/>
        <v>Female</v>
      </c>
      <c r="G84" s="6" t="s">
        <v>308</v>
      </c>
      <c r="H84" s="6" t="s">
        <v>258</v>
      </c>
      <c r="I84" s="6" t="s">
        <v>17</v>
      </c>
      <c r="J84" s="6" t="s">
        <v>29</v>
      </c>
      <c r="K84" s="6" t="str">
        <f t="shared" si="3"/>
        <v>Bronze</v>
      </c>
    </row>
    <row r="85" ht="14.25" customHeight="1">
      <c r="A85" s="6" t="s">
        <v>309</v>
      </c>
      <c r="B85" s="6" t="s">
        <v>310</v>
      </c>
      <c r="C85" s="6" t="str">
        <f t="shared" si="1"/>
        <v>Thomas Robinson</v>
      </c>
      <c r="D85" s="6">
        <v>48.0</v>
      </c>
      <c r="E85" s="6" t="s">
        <v>21</v>
      </c>
      <c r="F85" s="6" t="str">
        <f t="shared" si="2"/>
        <v>Male</v>
      </c>
      <c r="G85" s="6" t="s">
        <v>311</v>
      </c>
      <c r="H85" s="6" t="s">
        <v>88</v>
      </c>
      <c r="I85" s="6" t="s">
        <v>17</v>
      </c>
      <c r="J85" s="6" t="s">
        <v>29</v>
      </c>
      <c r="K85" s="6" t="str">
        <f t="shared" si="3"/>
        <v>Bronze</v>
      </c>
    </row>
    <row r="86" ht="14.25" customHeight="1">
      <c r="A86" s="6" t="s">
        <v>312</v>
      </c>
      <c r="B86" s="6" t="s">
        <v>313</v>
      </c>
      <c r="C86" s="6" t="str">
        <f t="shared" si="1"/>
        <v>Christy Hoffman</v>
      </c>
      <c r="D86" s="6">
        <v>26.0</v>
      </c>
      <c r="E86" s="6" t="s">
        <v>21</v>
      </c>
      <c r="F86" s="6" t="str">
        <f t="shared" si="2"/>
        <v>Male</v>
      </c>
      <c r="G86" s="6" t="s">
        <v>314</v>
      </c>
      <c r="H86" s="6" t="s">
        <v>262</v>
      </c>
      <c r="I86" s="6" t="s">
        <v>17</v>
      </c>
      <c r="J86" s="6" t="s">
        <v>18</v>
      </c>
      <c r="K86" s="6" t="str">
        <f t="shared" si="3"/>
        <v>Platinum</v>
      </c>
    </row>
    <row r="87" ht="14.25" customHeight="1">
      <c r="A87" s="6" t="s">
        <v>315</v>
      </c>
      <c r="B87" s="6" t="s">
        <v>316</v>
      </c>
      <c r="C87" s="6" t="str">
        <f t="shared" si="1"/>
        <v>Richard Delgado</v>
      </c>
      <c r="D87" s="6">
        <v>36.0</v>
      </c>
      <c r="E87" s="6" t="s">
        <v>14</v>
      </c>
      <c r="F87" s="6" t="str">
        <f t="shared" si="2"/>
        <v>Female</v>
      </c>
      <c r="G87" s="6" t="s">
        <v>317</v>
      </c>
      <c r="H87" s="6" t="s">
        <v>58</v>
      </c>
      <c r="I87" s="6" t="s">
        <v>17</v>
      </c>
      <c r="J87" s="6" t="s">
        <v>34</v>
      </c>
      <c r="K87" s="6" t="str">
        <f t="shared" si="3"/>
        <v>Silver</v>
      </c>
    </row>
    <row r="88" ht="14.25" customHeight="1">
      <c r="A88" s="6" t="s">
        <v>318</v>
      </c>
      <c r="B88" s="6" t="s">
        <v>319</v>
      </c>
      <c r="C88" s="6" t="str">
        <f t="shared" si="1"/>
        <v>Tammy Miller Md</v>
      </c>
      <c r="D88" s="6">
        <v>19.0</v>
      </c>
      <c r="E88" s="6" t="s">
        <v>21</v>
      </c>
      <c r="F88" s="6" t="str">
        <f t="shared" si="2"/>
        <v>Male</v>
      </c>
      <c r="G88" s="6" t="s">
        <v>320</v>
      </c>
      <c r="H88" s="6" t="s">
        <v>321</v>
      </c>
      <c r="I88" s="6" t="s">
        <v>17</v>
      </c>
      <c r="J88" s="6" t="s">
        <v>24</v>
      </c>
      <c r="K88" s="6" t="str">
        <f t="shared" si="3"/>
        <v>Gold</v>
      </c>
    </row>
    <row r="89" ht="14.25" customHeight="1">
      <c r="A89" s="6" t="s">
        <v>322</v>
      </c>
      <c r="B89" s="6" t="s">
        <v>323</v>
      </c>
      <c r="C89" s="6" t="str">
        <f t="shared" si="1"/>
        <v>Melissa Duffy Md</v>
      </c>
      <c r="D89" s="6">
        <v>58.0</v>
      </c>
      <c r="E89" s="6" t="s">
        <v>21</v>
      </c>
      <c r="F89" s="6" t="str">
        <f t="shared" si="2"/>
        <v>Male</v>
      </c>
      <c r="G89" s="6" t="s">
        <v>324</v>
      </c>
      <c r="H89" s="6" t="s">
        <v>325</v>
      </c>
      <c r="I89" s="6" t="s">
        <v>17</v>
      </c>
      <c r="J89" s="6" t="s">
        <v>29</v>
      </c>
      <c r="K89" s="6" t="str">
        <f t="shared" si="3"/>
        <v>Bronze</v>
      </c>
    </row>
    <row r="90" ht="14.25" customHeight="1">
      <c r="A90" s="6" t="s">
        <v>326</v>
      </c>
      <c r="B90" s="6" t="s">
        <v>327</v>
      </c>
      <c r="C90" s="6" t="str">
        <f t="shared" si="1"/>
        <v>Timothy Wright</v>
      </c>
      <c r="D90" s="6">
        <v>58.0</v>
      </c>
      <c r="E90" s="6" t="s">
        <v>14</v>
      </c>
      <c r="F90" s="6" t="str">
        <f t="shared" si="2"/>
        <v>Female</v>
      </c>
      <c r="G90" s="6" t="s">
        <v>328</v>
      </c>
      <c r="H90" s="6" t="s">
        <v>299</v>
      </c>
      <c r="I90" s="6" t="s">
        <v>17</v>
      </c>
      <c r="J90" s="6" t="s">
        <v>34</v>
      </c>
      <c r="K90" s="6" t="str">
        <f t="shared" si="3"/>
        <v>Silver</v>
      </c>
    </row>
    <row r="91" ht="14.25" customHeight="1">
      <c r="A91" s="6" t="s">
        <v>329</v>
      </c>
      <c r="B91" s="6" t="s">
        <v>330</v>
      </c>
      <c r="C91" s="6" t="str">
        <f t="shared" si="1"/>
        <v>Jamie Yoder</v>
      </c>
      <c r="D91" s="6">
        <v>43.0</v>
      </c>
      <c r="E91" s="6" t="s">
        <v>14</v>
      </c>
      <c r="F91" s="6" t="str">
        <f t="shared" si="2"/>
        <v>Female</v>
      </c>
      <c r="G91" s="6" t="s">
        <v>331</v>
      </c>
      <c r="H91" s="6" t="s">
        <v>332</v>
      </c>
      <c r="I91" s="6" t="s">
        <v>17</v>
      </c>
      <c r="J91" s="6" t="s">
        <v>18</v>
      </c>
      <c r="K91" s="6" t="str">
        <f t="shared" si="3"/>
        <v>Platinum</v>
      </c>
    </row>
    <row r="92" ht="14.25" customHeight="1">
      <c r="A92" s="6" t="s">
        <v>333</v>
      </c>
      <c r="B92" s="6" t="s">
        <v>334</v>
      </c>
      <c r="C92" s="6" t="str">
        <f t="shared" si="1"/>
        <v>Oscar Moon</v>
      </c>
      <c r="D92" s="6">
        <v>58.0</v>
      </c>
      <c r="E92" s="6" t="s">
        <v>21</v>
      </c>
      <c r="F92" s="6" t="str">
        <f t="shared" si="2"/>
        <v>Male</v>
      </c>
      <c r="G92" s="6" t="s">
        <v>335</v>
      </c>
      <c r="H92" s="6" t="s">
        <v>336</v>
      </c>
      <c r="I92" s="6" t="s">
        <v>17</v>
      </c>
      <c r="J92" s="6" t="s">
        <v>18</v>
      </c>
      <c r="K92" s="6" t="str">
        <f t="shared" si="3"/>
        <v>Platinum</v>
      </c>
    </row>
    <row r="93" ht="14.25" customHeight="1">
      <c r="A93" s="6" t="s">
        <v>337</v>
      </c>
      <c r="B93" s="6" t="s">
        <v>338</v>
      </c>
      <c r="C93" s="6" t="str">
        <f t="shared" si="1"/>
        <v>Donna Gregory</v>
      </c>
      <c r="D93" s="6">
        <v>29.0</v>
      </c>
      <c r="E93" s="6" t="s">
        <v>21</v>
      </c>
      <c r="F93" s="6" t="str">
        <f t="shared" si="2"/>
        <v>Male</v>
      </c>
      <c r="G93" s="6" t="s">
        <v>339</v>
      </c>
      <c r="H93" s="6" t="s">
        <v>141</v>
      </c>
      <c r="I93" s="6" t="s">
        <v>17</v>
      </c>
      <c r="J93" s="6" t="s">
        <v>34</v>
      </c>
      <c r="K93" s="6" t="str">
        <f t="shared" si="3"/>
        <v>Silver</v>
      </c>
    </row>
    <row r="94" ht="14.25" customHeight="1">
      <c r="A94" s="6" t="s">
        <v>340</v>
      </c>
      <c r="B94" s="6" t="s">
        <v>341</v>
      </c>
      <c r="C94" s="6" t="str">
        <f t="shared" si="1"/>
        <v>Robert Jackson</v>
      </c>
      <c r="D94" s="6">
        <v>44.0</v>
      </c>
      <c r="E94" s="6" t="s">
        <v>21</v>
      </c>
      <c r="F94" s="6" t="str">
        <f t="shared" si="2"/>
        <v>Male</v>
      </c>
      <c r="G94" s="6" t="s">
        <v>342</v>
      </c>
      <c r="H94" s="6" t="s">
        <v>245</v>
      </c>
      <c r="I94" s="6" t="s">
        <v>17</v>
      </c>
      <c r="J94" s="6" t="s">
        <v>18</v>
      </c>
      <c r="K94" s="6" t="str">
        <f t="shared" si="3"/>
        <v>Platinum</v>
      </c>
    </row>
    <row r="95" ht="14.25" customHeight="1">
      <c r="A95" s="6" t="s">
        <v>343</v>
      </c>
      <c r="B95" s="6" t="s">
        <v>344</v>
      </c>
      <c r="C95" s="6" t="str">
        <f t="shared" si="1"/>
        <v>Christy Vasquez</v>
      </c>
      <c r="D95" s="6">
        <v>28.0</v>
      </c>
      <c r="E95" s="6" t="s">
        <v>21</v>
      </c>
      <c r="F95" s="6" t="str">
        <f t="shared" si="2"/>
        <v>Male</v>
      </c>
      <c r="G95" s="6" t="s">
        <v>345</v>
      </c>
      <c r="H95" s="6" t="s">
        <v>325</v>
      </c>
      <c r="I95" s="6" t="s">
        <v>17</v>
      </c>
      <c r="J95" s="6" t="s">
        <v>24</v>
      </c>
      <c r="K95" s="6" t="str">
        <f t="shared" si="3"/>
        <v>Gold</v>
      </c>
    </row>
    <row r="96" ht="14.25" customHeight="1">
      <c r="A96" s="6" t="s">
        <v>346</v>
      </c>
      <c r="B96" s="6" t="s">
        <v>347</v>
      </c>
      <c r="C96" s="6" t="str">
        <f t="shared" si="1"/>
        <v>David Patterson</v>
      </c>
      <c r="D96" s="6">
        <v>43.0</v>
      </c>
      <c r="E96" s="6" t="s">
        <v>21</v>
      </c>
      <c r="F96" s="6" t="str">
        <f t="shared" si="2"/>
        <v>Male</v>
      </c>
      <c r="G96" s="6" t="s">
        <v>348</v>
      </c>
      <c r="H96" s="6" t="s">
        <v>192</v>
      </c>
      <c r="I96" s="6" t="s">
        <v>17</v>
      </c>
      <c r="J96" s="6" t="s">
        <v>24</v>
      </c>
      <c r="K96" s="6" t="str">
        <f t="shared" si="3"/>
        <v>Gold</v>
      </c>
    </row>
    <row r="97" ht="14.25" customHeight="1">
      <c r="A97" s="6" t="s">
        <v>349</v>
      </c>
      <c r="B97" s="6" t="s">
        <v>350</v>
      </c>
      <c r="C97" s="6" t="str">
        <f t="shared" si="1"/>
        <v>Amy Fowler</v>
      </c>
      <c r="D97" s="6">
        <v>62.0</v>
      </c>
      <c r="E97" s="6" t="s">
        <v>21</v>
      </c>
      <c r="F97" s="6" t="str">
        <f t="shared" si="2"/>
        <v>Male</v>
      </c>
      <c r="G97" s="6" t="s">
        <v>351</v>
      </c>
      <c r="H97" s="6" t="s">
        <v>65</v>
      </c>
      <c r="I97" s="6" t="s">
        <v>17</v>
      </c>
      <c r="J97" s="6" t="s">
        <v>18</v>
      </c>
      <c r="K97" s="6" t="str">
        <f t="shared" si="3"/>
        <v>Platinum</v>
      </c>
    </row>
    <row r="98" ht="14.25" customHeight="1">
      <c r="A98" s="6" t="s">
        <v>352</v>
      </c>
      <c r="B98" s="6" t="s">
        <v>353</v>
      </c>
      <c r="C98" s="6" t="str">
        <f t="shared" si="1"/>
        <v>Samantha Walker</v>
      </c>
      <c r="D98" s="6">
        <v>30.0</v>
      </c>
      <c r="E98" s="6" t="s">
        <v>21</v>
      </c>
      <c r="F98" s="6" t="str">
        <f t="shared" si="2"/>
        <v>Male</v>
      </c>
      <c r="G98" s="6" t="s">
        <v>354</v>
      </c>
      <c r="H98" s="6" t="s">
        <v>336</v>
      </c>
      <c r="I98" s="6" t="s">
        <v>17</v>
      </c>
      <c r="J98" s="6" t="s">
        <v>18</v>
      </c>
      <c r="K98" s="6" t="str">
        <f t="shared" si="3"/>
        <v>Platinum</v>
      </c>
    </row>
    <row r="99" ht="14.25" customHeight="1">
      <c r="A99" s="6" t="s">
        <v>355</v>
      </c>
      <c r="B99" s="6" t="s">
        <v>356</v>
      </c>
      <c r="C99" s="6" t="str">
        <f t="shared" si="1"/>
        <v>David Cobb</v>
      </c>
      <c r="D99" s="6">
        <v>36.0</v>
      </c>
      <c r="E99" s="6" t="s">
        <v>14</v>
      </c>
      <c r="F99" s="6" t="str">
        <f t="shared" si="2"/>
        <v>Female</v>
      </c>
      <c r="G99" s="6" t="s">
        <v>357</v>
      </c>
      <c r="H99" s="6" t="s">
        <v>46</v>
      </c>
      <c r="I99" s="6" t="s">
        <v>17</v>
      </c>
      <c r="J99" s="6" t="s">
        <v>34</v>
      </c>
      <c r="K99" s="6" t="str">
        <f t="shared" si="3"/>
        <v>Silver</v>
      </c>
    </row>
    <row r="100" ht="14.25" customHeight="1">
      <c r="A100" s="6" t="s">
        <v>358</v>
      </c>
      <c r="B100" s="6" t="s">
        <v>359</v>
      </c>
      <c r="C100" s="6" t="str">
        <f t="shared" si="1"/>
        <v>Brittney Morgan</v>
      </c>
      <c r="D100" s="6">
        <v>24.0</v>
      </c>
      <c r="E100" s="6" t="s">
        <v>14</v>
      </c>
      <c r="F100" s="6" t="str">
        <f t="shared" si="2"/>
        <v>Female</v>
      </c>
      <c r="G100" s="6" t="s">
        <v>360</v>
      </c>
      <c r="H100" s="6" t="s">
        <v>171</v>
      </c>
      <c r="I100" s="6" t="s">
        <v>17</v>
      </c>
      <c r="J100" s="6" t="s">
        <v>24</v>
      </c>
      <c r="K100" s="6" t="str">
        <f t="shared" si="3"/>
        <v>Gold</v>
      </c>
    </row>
    <row r="101" ht="14.25" customHeight="1">
      <c r="A101" s="6" t="s">
        <v>361</v>
      </c>
      <c r="B101" s="6" t="s">
        <v>362</v>
      </c>
      <c r="C101" s="6" t="str">
        <f t="shared" si="1"/>
        <v>Sheila Wilson</v>
      </c>
      <c r="D101" s="6">
        <v>35.0</v>
      </c>
      <c r="E101" s="6" t="s">
        <v>14</v>
      </c>
      <c r="F101" s="6" t="str">
        <f t="shared" si="2"/>
        <v>Female</v>
      </c>
      <c r="G101" s="6" t="s">
        <v>363</v>
      </c>
      <c r="H101" s="6" t="s">
        <v>245</v>
      </c>
      <c r="I101" s="6" t="s">
        <v>17</v>
      </c>
      <c r="J101" s="6" t="s">
        <v>34</v>
      </c>
      <c r="K101" s="6" t="str">
        <f t="shared" si="3"/>
        <v>Silver</v>
      </c>
    </row>
    <row r="102" ht="14.25" customHeight="1">
      <c r="A102" s="6" t="s">
        <v>364</v>
      </c>
      <c r="B102" s="6" t="s">
        <v>365</v>
      </c>
      <c r="C102" s="6" t="str">
        <f t="shared" si="1"/>
        <v>Diane Watson</v>
      </c>
      <c r="D102" s="6">
        <v>53.0</v>
      </c>
      <c r="E102" s="6" t="s">
        <v>21</v>
      </c>
      <c r="F102" s="6" t="str">
        <f t="shared" si="2"/>
        <v>Male</v>
      </c>
      <c r="G102" s="6" t="s">
        <v>366</v>
      </c>
      <c r="H102" s="6" t="s">
        <v>367</v>
      </c>
      <c r="I102" s="6" t="s">
        <v>17</v>
      </c>
      <c r="J102" s="6" t="s">
        <v>18</v>
      </c>
      <c r="K102" s="6" t="str">
        <f t="shared" si="3"/>
        <v>Platinum</v>
      </c>
    </row>
    <row r="103" ht="14.25" customHeight="1">
      <c r="A103" s="6" t="s">
        <v>368</v>
      </c>
      <c r="B103" s="6" t="s">
        <v>369</v>
      </c>
      <c r="C103" s="6" t="str">
        <f t="shared" si="1"/>
        <v>Colleen Maynard</v>
      </c>
      <c r="D103" s="6">
        <v>29.0</v>
      </c>
      <c r="E103" s="6" t="s">
        <v>14</v>
      </c>
      <c r="F103" s="6" t="str">
        <f t="shared" si="2"/>
        <v>Female</v>
      </c>
      <c r="G103" s="6" t="s">
        <v>370</v>
      </c>
      <c r="H103" s="6" t="s">
        <v>125</v>
      </c>
      <c r="I103" s="6" t="s">
        <v>17</v>
      </c>
      <c r="J103" s="6" t="s">
        <v>24</v>
      </c>
      <c r="K103" s="6" t="str">
        <f t="shared" si="3"/>
        <v>Gold</v>
      </c>
    </row>
    <row r="104" ht="14.25" customHeight="1">
      <c r="A104" s="6" t="s">
        <v>371</v>
      </c>
      <c r="B104" s="6" t="s">
        <v>372</v>
      </c>
      <c r="C104" s="6" t="str">
        <f t="shared" si="1"/>
        <v>Sarah Schneider</v>
      </c>
      <c r="D104" s="6">
        <v>34.0</v>
      </c>
      <c r="E104" s="6" t="s">
        <v>21</v>
      </c>
      <c r="F104" s="6" t="str">
        <f t="shared" si="2"/>
        <v>Male</v>
      </c>
      <c r="G104" s="6" t="s">
        <v>373</v>
      </c>
      <c r="H104" s="6" t="s">
        <v>58</v>
      </c>
      <c r="I104" s="6" t="s">
        <v>17</v>
      </c>
      <c r="J104" s="6" t="s">
        <v>29</v>
      </c>
      <c r="K104" s="6" t="str">
        <f t="shared" si="3"/>
        <v>Bronze</v>
      </c>
    </row>
    <row r="105" ht="14.25" customHeight="1">
      <c r="A105" s="6" t="s">
        <v>374</v>
      </c>
      <c r="B105" s="6" t="s">
        <v>375</v>
      </c>
      <c r="C105" s="6" t="str">
        <f t="shared" si="1"/>
        <v>Steven Stein</v>
      </c>
      <c r="D105" s="6">
        <v>21.0</v>
      </c>
      <c r="E105" s="6" t="s">
        <v>14</v>
      </c>
      <c r="F105" s="6" t="str">
        <f t="shared" si="2"/>
        <v>Female</v>
      </c>
      <c r="G105" s="6" t="s">
        <v>376</v>
      </c>
      <c r="H105" s="6" t="s">
        <v>175</v>
      </c>
      <c r="I105" s="6" t="s">
        <v>17</v>
      </c>
      <c r="J105" s="6" t="s">
        <v>29</v>
      </c>
      <c r="K105" s="6" t="str">
        <f t="shared" si="3"/>
        <v>Bronze</v>
      </c>
    </row>
    <row r="106" ht="14.25" customHeight="1">
      <c r="A106" s="6" t="s">
        <v>377</v>
      </c>
      <c r="B106" s="6" t="s">
        <v>378</v>
      </c>
      <c r="C106" s="6" t="str">
        <f t="shared" si="1"/>
        <v>Christopher Lester</v>
      </c>
      <c r="D106" s="6">
        <v>64.0</v>
      </c>
      <c r="E106" s="6" t="s">
        <v>14</v>
      </c>
      <c r="F106" s="6" t="str">
        <f t="shared" si="2"/>
        <v>Female</v>
      </c>
      <c r="G106" s="6" t="s">
        <v>379</v>
      </c>
      <c r="H106" s="6" t="s">
        <v>88</v>
      </c>
      <c r="I106" s="6" t="s">
        <v>17</v>
      </c>
      <c r="J106" s="6" t="s">
        <v>34</v>
      </c>
      <c r="K106" s="6" t="str">
        <f t="shared" si="3"/>
        <v>Silver</v>
      </c>
    </row>
    <row r="107" ht="14.25" customHeight="1">
      <c r="A107" s="6" t="s">
        <v>380</v>
      </c>
      <c r="B107" s="6" t="s">
        <v>381</v>
      </c>
      <c r="C107" s="6" t="str">
        <f t="shared" si="1"/>
        <v>Lance Baker</v>
      </c>
      <c r="D107" s="6">
        <v>50.0</v>
      </c>
      <c r="E107" s="6" t="s">
        <v>21</v>
      </c>
      <c r="F107" s="6" t="str">
        <f t="shared" si="2"/>
        <v>Male</v>
      </c>
      <c r="G107" s="6" t="s">
        <v>382</v>
      </c>
      <c r="H107" s="6" t="s">
        <v>258</v>
      </c>
      <c r="I107" s="6" t="s">
        <v>17</v>
      </c>
      <c r="J107" s="6" t="s">
        <v>24</v>
      </c>
      <c r="K107" s="6" t="str">
        <f t="shared" si="3"/>
        <v>Gold</v>
      </c>
    </row>
    <row r="108" ht="14.25" customHeight="1">
      <c r="A108" s="6" t="s">
        <v>383</v>
      </c>
      <c r="B108" s="6" t="s">
        <v>384</v>
      </c>
      <c r="C108" s="6" t="str">
        <f t="shared" si="1"/>
        <v>Howard Summers</v>
      </c>
      <c r="D108" s="6">
        <v>53.0</v>
      </c>
      <c r="E108" s="6" t="s">
        <v>21</v>
      </c>
      <c r="F108" s="6" t="str">
        <f t="shared" si="2"/>
        <v>Male</v>
      </c>
      <c r="G108" s="6" t="s">
        <v>385</v>
      </c>
      <c r="H108" s="6" t="s">
        <v>225</v>
      </c>
      <c r="I108" s="6" t="s">
        <v>17</v>
      </c>
      <c r="J108" s="6" t="s">
        <v>29</v>
      </c>
      <c r="K108" s="6" t="str">
        <f t="shared" si="3"/>
        <v>Bronze</v>
      </c>
    </row>
    <row r="109" ht="14.25" customHeight="1">
      <c r="A109" s="6" t="s">
        <v>386</v>
      </c>
      <c r="B109" s="6" t="s">
        <v>387</v>
      </c>
      <c r="C109" s="6" t="str">
        <f t="shared" si="1"/>
        <v>Erica Carney</v>
      </c>
      <c r="D109" s="6">
        <v>62.0</v>
      </c>
      <c r="E109" s="6" t="s">
        <v>21</v>
      </c>
      <c r="F109" s="6" t="str">
        <f t="shared" si="2"/>
        <v>Male</v>
      </c>
      <c r="G109" s="6" t="s">
        <v>388</v>
      </c>
      <c r="H109" s="6" t="s">
        <v>23</v>
      </c>
      <c r="I109" s="6" t="s">
        <v>17</v>
      </c>
      <c r="J109" s="6" t="s">
        <v>18</v>
      </c>
      <c r="K109" s="6" t="str">
        <f t="shared" si="3"/>
        <v>Platinum</v>
      </c>
    </row>
    <row r="110" ht="14.25" customHeight="1">
      <c r="A110" s="6" t="s">
        <v>389</v>
      </c>
      <c r="B110" s="6" t="s">
        <v>390</v>
      </c>
      <c r="C110" s="6" t="str">
        <f t="shared" si="1"/>
        <v>Travis Holland</v>
      </c>
      <c r="D110" s="6">
        <v>38.0</v>
      </c>
      <c r="E110" s="6" t="s">
        <v>14</v>
      </c>
      <c r="F110" s="6" t="str">
        <f t="shared" si="2"/>
        <v>Female</v>
      </c>
      <c r="G110" s="6" t="s">
        <v>391</v>
      </c>
      <c r="H110" s="6" t="s">
        <v>54</v>
      </c>
      <c r="I110" s="6" t="s">
        <v>17</v>
      </c>
      <c r="J110" s="6" t="s">
        <v>29</v>
      </c>
      <c r="K110" s="6" t="str">
        <f t="shared" si="3"/>
        <v>Bronze</v>
      </c>
    </row>
    <row r="111" ht="14.25" customHeight="1">
      <c r="A111" s="6" t="s">
        <v>392</v>
      </c>
      <c r="B111" s="6" t="s">
        <v>393</v>
      </c>
      <c r="C111" s="6" t="str">
        <f t="shared" si="1"/>
        <v>Amy Walker</v>
      </c>
      <c r="D111" s="6">
        <v>27.0</v>
      </c>
      <c r="E111" s="6" t="s">
        <v>14</v>
      </c>
      <c r="F111" s="6" t="str">
        <f t="shared" si="2"/>
        <v>Female</v>
      </c>
      <c r="G111" s="6" t="s">
        <v>394</v>
      </c>
      <c r="H111" s="6" t="s">
        <v>50</v>
      </c>
      <c r="I111" s="6" t="s">
        <v>17</v>
      </c>
      <c r="J111" s="6" t="s">
        <v>34</v>
      </c>
      <c r="K111" s="6" t="str">
        <f t="shared" si="3"/>
        <v>Silver</v>
      </c>
    </row>
    <row r="112" ht="14.25" customHeight="1">
      <c r="A112" s="6" t="s">
        <v>395</v>
      </c>
      <c r="B112" s="6" t="s">
        <v>396</v>
      </c>
      <c r="C112" s="6" t="str">
        <f t="shared" si="1"/>
        <v>Ashley Griffin</v>
      </c>
      <c r="D112" s="6">
        <v>40.0</v>
      </c>
      <c r="E112" s="6" t="s">
        <v>21</v>
      </c>
      <c r="F112" s="6" t="str">
        <f t="shared" si="2"/>
        <v>Male</v>
      </c>
      <c r="G112" s="6" t="s">
        <v>397</v>
      </c>
      <c r="H112" s="6" t="s">
        <v>148</v>
      </c>
      <c r="I112" s="6" t="s">
        <v>17</v>
      </c>
      <c r="J112" s="6" t="s">
        <v>24</v>
      </c>
      <c r="K112" s="6" t="str">
        <f t="shared" si="3"/>
        <v>Gold</v>
      </c>
    </row>
    <row r="113" ht="14.25" customHeight="1">
      <c r="A113" s="6" t="s">
        <v>398</v>
      </c>
      <c r="B113" s="6" t="s">
        <v>399</v>
      </c>
      <c r="C113" s="6" t="str">
        <f t="shared" si="1"/>
        <v>Julie Farmer</v>
      </c>
      <c r="D113" s="6">
        <v>18.0</v>
      </c>
      <c r="E113" s="6" t="s">
        <v>21</v>
      </c>
      <c r="F113" s="6" t="str">
        <f t="shared" si="2"/>
        <v>Male</v>
      </c>
      <c r="G113" s="6" t="s">
        <v>400</v>
      </c>
      <c r="H113" s="6" t="s">
        <v>141</v>
      </c>
      <c r="I113" s="6" t="s">
        <v>17</v>
      </c>
      <c r="J113" s="6" t="s">
        <v>18</v>
      </c>
      <c r="K113" s="6" t="str">
        <f t="shared" si="3"/>
        <v>Platinum</v>
      </c>
    </row>
    <row r="114" ht="14.25" customHeight="1">
      <c r="A114" s="6" t="s">
        <v>401</v>
      </c>
      <c r="B114" s="6" t="s">
        <v>402</v>
      </c>
      <c r="C114" s="6" t="str">
        <f t="shared" si="1"/>
        <v>David Cole</v>
      </c>
      <c r="D114" s="6">
        <v>27.0</v>
      </c>
      <c r="E114" s="6" t="s">
        <v>21</v>
      </c>
      <c r="F114" s="6" t="str">
        <f t="shared" si="2"/>
        <v>Male</v>
      </c>
      <c r="G114" s="6" t="s">
        <v>403</v>
      </c>
      <c r="H114" s="6" t="s">
        <v>164</v>
      </c>
      <c r="I114" s="6" t="s">
        <v>17</v>
      </c>
      <c r="J114" s="6" t="s">
        <v>34</v>
      </c>
      <c r="K114" s="6" t="str">
        <f t="shared" si="3"/>
        <v>Silver</v>
      </c>
    </row>
    <row r="115" ht="14.25" customHeight="1">
      <c r="A115" s="6" t="s">
        <v>404</v>
      </c>
      <c r="B115" s="6" t="s">
        <v>405</v>
      </c>
      <c r="C115" s="6" t="str">
        <f t="shared" si="1"/>
        <v>Edward Hall</v>
      </c>
      <c r="D115" s="6">
        <v>51.0</v>
      </c>
      <c r="E115" s="6" t="s">
        <v>14</v>
      </c>
      <c r="F115" s="6" t="str">
        <f t="shared" si="2"/>
        <v>Female</v>
      </c>
      <c r="G115" s="6" t="s">
        <v>406</v>
      </c>
      <c r="H115" s="6" t="s">
        <v>241</v>
      </c>
      <c r="I115" s="6" t="s">
        <v>17</v>
      </c>
      <c r="J115" s="6" t="s">
        <v>24</v>
      </c>
      <c r="K115" s="6" t="str">
        <f t="shared" si="3"/>
        <v>Gold</v>
      </c>
    </row>
    <row r="116" ht="14.25" customHeight="1">
      <c r="A116" s="6" t="s">
        <v>407</v>
      </c>
      <c r="B116" s="6" t="s">
        <v>408</v>
      </c>
      <c r="C116" s="6" t="str">
        <f t="shared" si="1"/>
        <v>Ryan Hernandez</v>
      </c>
      <c r="D116" s="6">
        <v>30.0</v>
      </c>
      <c r="E116" s="6" t="s">
        <v>14</v>
      </c>
      <c r="F116" s="6" t="str">
        <f t="shared" si="2"/>
        <v>Female</v>
      </c>
      <c r="G116" s="6" t="s">
        <v>409</v>
      </c>
      <c r="H116" s="6" t="s">
        <v>192</v>
      </c>
      <c r="I116" s="6" t="s">
        <v>17</v>
      </c>
      <c r="J116" s="6" t="s">
        <v>29</v>
      </c>
      <c r="K116" s="6" t="str">
        <f t="shared" si="3"/>
        <v>Bronze</v>
      </c>
    </row>
    <row r="117" ht="14.25" customHeight="1">
      <c r="A117" s="6" t="s">
        <v>410</v>
      </c>
      <c r="B117" s="6" t="s">
        <v>411</v>
      </c>
      <c r="C117" s="6" t="str">
        <f t="shared" si="1"/>
        <v>Tyler Conrad</v>
      </c>
      <c r="D117" s="6">
        <v>53.0</v>
      </c>
      <c r="E117" s="6" t="s">
        <v>21</v>
      </c>
      <c r="F117" s="6" t="str">
        <f t="shared" si="2"/>
        <v>Male</v>
      </c>
      <c r="G117" s="6" t="s">
        <v>412</v>
      </c>
      <c r="H117" s="6" t="s">
        <v>23</v>
      </c>
      <c r="I117" s="6" t="s">
        <v>17</v>
      </c>
      <c r="J117" s="6" t="s">
        <v>18</v>
      </c>
      <c r="K117" s="6" t="str">
        <f t="shared" si="3"/>
        <v>Platinum</v>
      </c>
    </row>
    <row r="118" ht="14.25" customHeight="1">
      <c r="A118" s="6" t="s">
        <v>413</v>
      </c>
      <c r="B118" s="6" t="s">
        <v>414</v>
      </c>
      <c r="C118" s="6" t="str">
        <f t="shared" si="1"/>
        <v>Anthony Phillips</v>
      </c>
      <c r="D118" s="6">
        <v>18.0</v>
      </c>
      <c r="E118" s="6" t="s">
        <v>21</v>
      </c>
      <c r="F118" s="6" t="str">
        <f t="shared" si="2"/>
        <v>Male</v>
      </c>
      <c r="G118" s="6" t="s">
        <v>415</v>
      </c>
      <c r="H118" s="6" t="s">
        <v>225</v>
      </c>
      <c r="I118" s="6" t="s">
        <v>17</v>
      </c>
      <c r="J118" s="6" t="s">
        <v>18</v>
      </c>
      <c r="K118" s="6" t="str">
        <f t="shared" si="3"/>
        <v>Platinum</v>
      </c>
    </row>
    <row r="119" ht="14.25" customHeight="1">
      <c r="A119" s="6" t="s">
        <v>416</v>
      </c>
      <c r="B119" s="6" t="s">
        <v>417</v>
      </c>
      <c r="C119" s="6" t="str">
        <f t="shared" si="1"/>
        <v>Colleen Mccarthy</v>
      </c>
      <c r="D119" s="6">
        <v>21.0</v>
      </c>
      <c r="E119" s="6" t="s">
        <v>21</v>
      </c>
      <c r="F119" s="6" t="str">
        <f t="shared" si="2"/>
        <v>Male</v>
      </c>
      <c r="G119" s="6" t="s">
        <v>418</v>
      </c>
      <c r="H119" s="6" t="s">
        <v>81</v>
      </c>
      <c r="I119" s="6" t="s">
        <v>17</v>
      </c>
      <c r="J119" s="6" t="s">
        <v>18</v>
      </c>
      <c r="K119" s="6" t="str">
        <f t="shared" si="3"/>
        <v>Platinum</v>
      </c>
    </row>
    <row r="120" ht="14.25" customHeight="1">
      <c r="A120" s="6" t="s">
        <v>419</v>
      </c>
      <c r="B120" s="6" t="s">
        <v>420</v>
      </c>
      <c r="C120" s="6" t="str">
        <f t="shared" si="1"/>
        <v>Earl Allen</v>
      </c>
      <c r="D120" s="6">
        <v>36.0</v>
      </c>
      <c r="E120" s="6" t="s">
        <v>14</v>
      </c>
      <c r="F120" s="6" t="str">
        <f t="shared" si="2"/>
        <v>Female</v>
      </c>
      <c r="G120" s="6" t="s">
        <v>421</v>
      </c>
      <c r="H120" s="6" t="s">
        <v>77</v>
      </c>
      <c r="I120" s="6" t="s">
        <v>17</v>
      </c>
      <c r="J120" s="6" t="s">
        <v>18</v>
      </c>
      <c r="K120" s="6" t="str">
        <f t="shared" si="3"/>
        <v>Platinum</v>
      </c>
    </row>
    <row r="121" ht="14.25" customHeight="1">
      <c r="A121" s="6" t="s">
        <v>422</v>
      </c>
      <c r="B121" s="6" t="s">
        <v>423</v>
      </c>
      <c r="C121" s="6" t="str">
        <f t="shared" si="1"/>
        <v>Michael Jones</v>
      </c>
      <c r="D121" s="6">
        <v>40.0</v>
      </c>
      <c r="E121" s="6" t="s">
        <v>14</v>
      </c>
      <c r="F121" s="6" t="str">
        <f t="shared" si="2"/>
        <v>Female</v>
      </c>
      <c r="G121" s="6" t="s">
        <v>424</v>
      </c>
      <c r="H121" s="6" t="s">
        <v>245</v>
      </c>
      <c r="I121" s="6" t="s">
        <v>17</v>
      </c>
      <c r="J121" s="6" t="s">
        <v>29</v>
      </c>
      <c r="K121" s="6" t="str">
        <f t="shared" si="3"/>
        <v>Bronze</v>
      </c>
    </row>
    <row r="122" ht="14.25" customHeight="1">
      <c r="A122" s="6" t="s">
        <v>425</v>
      </c>
      <c r="B122" s="6" t="s">
        <v>426</v>
      </c>
      <c r="C122" s="6" t="str">
        <f t="shared" si="1"/>
        <v>Jacob Hopkins</v>
      </c>
      <c r="D122" s="6">
        <v>44.0</v>
      </c>
      <c r="E122" s="6" t="s">
        <v>21</v>
      </c>
      <c r="F122" s="6" t="str">
        <f t="shared" si="2"/>
        <v>Male</v>
      </c>
      <c r="G122" s="6" t="s">
        <v>427</v>
      </c>
      <c r="H122" s="6" t="s">
        <v>58</v>
      </c>
      <c r="I122" s="6" t="s">
        <v>17</v>
      </c>
      <c r="J122" s="6" t="s">
        <v>18</v>
      </c>
      <c r="K122" s="6" t="str">
        <f t="shared" si="3"/>
        <v>Platinum</v>
      </c>
    </row>
    <row r="123" ht="14.25" customHeight="1">
      <c r="A123" s="6" t="s">
        <v>428</v>
      </c>
      <c r="B123" s="6" t="s">
        <v>429</v>
      </c>
      <c r="C123" s="6" t="str">
        <f t="shared" si="1"/>
        <v>Joel Robinson</v>
      </c>
      <c r="D123" s="6">
        <v>62.0</v>
      </c>
      <c r="E123" s="6" t="s">
        <v>14</v>
      </c>
      <c r="F123" s="6" t="str">
        <f t="shared" si="2"/>
        <v>Female</v>
      </c>
      <c r="G123" s="6" t="s">
        <v>430</v>
      </c>
      <c r="H123" s="6" t="s">
        <v>107</v>
      </c>
      <c r="I123" s="6" t="s">
        <v>17</v>
      </c>
      <c r="J123" s="6" t="s">
        <v>18</v>
      </c>
      <c r="K123" s="6" t="str">
        <f t="shared" si="3"/>
        <v>Platinum</v>
      </c>
    </row>
    <row r="124" ht="14.25" customHeight="1">
      <c r="A124" s="6" t="s">
        <v>431</v>
      </c>
      <c r="B124" s="6" t="s">
        <v>432</v>
      </c>
      <c r="C124" s="6" t="str">
        <f t="shared" si="1"/>
        <v>Michael Chang</v>
      </c>
      <c r="D124" s="6">
        <v>50.0</v>
      </c>
      <c r="E124" s="6" t="s">
        <v>14</v>
      </c>
      <c r="F124" s="6" t="str">
        <f t="shared" si="2"/>
        <v>Female</v>
      </c>
      <c r="G124" s="6" t="s">
        <v>433</v>
      </c>
      <c r="H124" s="6" t="s">
        <v>16</v>
      </c>
      <c r="I124" s="6" t="s">
        <v>17</v>
      </c>
      <c r="J124" s="6" t="s">
        <v>18</v>
      </c>
      <c r="K124" s="6" t="str">
        <f t="shared" si="3"/>
        <v>Platinum</v>
      </c>
    </row>
    <row r="125" ht="14.25" customHeight="1">
      <c r="A125" s="6" t="s">
        <v>434</v>
      </c>
      <c r="B125" s="6" t="s">
        <v>435</v>
      </c>
      <c r="C125" s="6" t="str">
        <f t="shared" si="1"/>
        <v>Erin Hopkins</v>
      </c>
      <c r="D125" s="6">
        <v>40.0</v>
      </c>
      <c r="E125" s="6" t="s">
        <v>14</v>
      </c>
      <c r="F125" s="6" t="str">
        <f t="shared" si="2"/>
        <v>Female</v>
      </c>
      <c r="G125" s="6" t="s">
        <v>436</v>
      </c>
      <c r="H125" s="6" t="s">
        <v>275</v>
      </c>
      <c r="I125" s="6" t="s">
        <v>17</v>
      </c>
      <c r="J125" s="6" t="s">
        <v>34</v>
      </c>
      <c r="K125" s="6" t="str">
        <f t="shared" si="3"/>
        <v>Silver</v>
      </c>
    </row>
    <row r="126" ht="14.25" customHeight="1">
      <c r="A126" s="6" t="s">
        <v>437</v>
      </c>
      <c r="B126" s="6" t="s">
        <v>438</v>
      </c>
      <c r="C126" s="6" t="str">
        <f t="shared" si="1"/>
        <v>Donald Lee</v>
      </c>
      <c r="D126" s="6">
        <v>26.0</v>
      </c>
      <c r="E126" s="6" t="s">
        <v>14</v>
      </c>
      <c r="F126" s="6" t="str">
        <f t="shared" si="2"/>
        <v>Female</v>
      </c>
      <c r="G126" s="6" t="s">
        <v>439</v>
      </c>
      <c r="H126" s="6" t="s">
        <v>202</v>
      </c>
      <c r="I126" s="6" t="s">
        <v>17</v>
      </c>
      <c r="J126" s="6" t="s">
        <v>29</v>
      </c>
      <c r="K126" s="6" t="str">
        <f t="shared" si="3"/>
        <v>Bronze</v>
      </c>
    </row>
    <row r="127" ht="14.25" customHeight="1">
      <c r="A127" s="6" t="s">
        <v>440</v>
      </c>
      <c r="B127" s="6" t="s">
        <v>441</v>
      </c>
      <c r="C127" s="6" t="str">
        <f t="shared" si="1"/>
        <v>Keith Miller</v>
      </c>
      <c r="D127" s="6">
        <v>64.0</v>
      </c>
      <c r="E127" s="6" t="s">
        <v>21</v>
      </c>
      <c r="F127" s="6" t="str">
        <f t="shared" si="2"/>
        <v>Male</v>
      </c>
      <c r="G127" s="6" t="s">
        <v>442</v>
      </c>
      <c r="H127" s="6" t="s">
        <v>443</v>
      </c>
      <c r="I127" s="6" t="s">
        <v>17</v>
      </c>
      <c r="J127" s="6" t="s">
        <v>18</v>
      </c>
      <c r="K127" s="6" t="str">
        <f t="shared" si="3"/>
        <v>Platinum</v>
      </c>
    </row>
    <row r="128" ht="14.25" customHeight="1">
      <c r="A128" s="6" t="s">
        <v>444</v>
      </c>
      <c r="B128" s="6" t="s">
        <v>445</v>
      </c>
      <c r="C128" s="6" t="str">
        <f t="shared" si="1"/>
        <v>James Wolfe</v>
      </c>
      <c r="D128" s="6">
        <v>62.0</v>
      </c>
      <c r="E128" s="6" t="s">
        <v>21</v>
      </c>
      <c r="F128" s="6" t="str">
        <f t="shared" si="2"/>
        <v>Male</v>
      </c>
      <c r="G128" s="6" t="s">
        <v>446</v>
      </c>
      <c r="H128" s="6" t="s">
        <v>141</v>
      </c>
      <c r="I128" s="6" t="s">
        <v>17</v>
      </c>
      <c r="J128" s="6" t="s">
        <v>24</v>
      </c>
      <c r="K128" s="6" t="str">
        <f t="shared" si="3"/>
        <v>Gold</v>
      </c>
    </row>
    <row r="129" ht="14.25" customHeight="1">
      <c r="A129" s="6" t="s">
        <v>447</v>
      </c>
      <c r="B129" s="6" t="s">
        <v>448</v>
      </c>
      <c r="C129" s="6" t="str">
        <f t="shared" si="1"/>
        <v>John Mcknight</v>
      </c>
      <c r="D129" s="6">
        <v>39.0</v>
      </c>
      <c r="E129" s="6" t="s">
        <v>14</v>
      </c>
      <c r="F129" s="6" t="str">
        <f t="shared" si="2"/>
        <v>Female</v>
      </c>
      <c r="G129" s="6" t="s">
        <v>449</v>
      </c>
      <c r="H129" s="6" t="s">
        <v>179</v>
      </c>
      <c r="I129" s="6" t="s">
        <v>17</v>
      </c>
      <c r="J129" s="6" t="s">
        <v>18</v>
      </c>
      <c r="K129" s="6" t="str">
        <f t="shared" si="3"/>
        <v>Platinum</v>
      </c>
    </row>
    <row r="130" ht="14.25" customHeight="1">
      <c r="A130" s="6" t="s">
        <v>450</v>
      </c>
      <c r="B130" s="6" t="s">
        <v>451</v>
      </c>
      <c r="C130" s="6" t="str">
        <f t="shared" si="1"/>
        <v>Susan Mcdonald</v>
      </c>
      <c r="D130" s="6">
        <v>45.0</v>
      </c>
      <c r="E130" s="6" t="s">
        <v>14</v>
      </c>
      <c r="F130" s="6" t="str">
        <f t="shared" si="2"/>
        <v>Female</v>
      </c>
      <c r="G130" s="6" t="s">
        <v>452</v>
      </c>
      <c r="H130" s="6" t="s">
        <v>299</v>
      </c>
      <c r="I130" s="6" t="s">
        <v>17</v>
      </c>
      <c r="J130" s="6" t="s">
        <v>34</v>
      </c>
      <c r="K130" s="6" t="str">
        <f t="shared" si="3"/>
        <v>Silver</v>
      </c>
    </row>
    <row r="131" ht="14.25" customHeight="1">
      <c r="A131" s="6" t="s">
        <v>453</v>
      </c>
      <c r="B131" s="6" t="s">
        <v>454</v>
      </c>
      <c r="C131" s="6" t="str">
        <f t="shared" si="1"/>
        <v>Jessica Mitchell</v>
      </c>
      <c r="D131" s="6">
        <v>43.0</v>
      </c>
      <c r="E131" s="6" t="s">
        <v>21</v>
      </c>
      <c r="F131" s="6" t="str">
        <f t="shared" si="2"/>
        <v>Male</v>
      </c>
      <c r="G131" s="6" t="s">
        <v>455</v>
      </c>
      <c r="H131" s="6" t="s">
        <v>46</v>
      </c>
      <c r="I131" s="6" t="s">
        <v>17</v>
      </c>
      <c r="J131" s="6" t="s">
        <v>34</v>
      </c>
      <c r="K131" s="6" t="str">
        <f t="shared" si="3"/>
        <v>Silver</v>
      </c>
    </row>
    <row r="132" ht="14.25" customHeight="1">
      <c r="A132" s="6" t="s">
        <v>456</v>
      </c>
      <c r="B132" s="6" t="s">
        <v>457</v>
      </c>
      <c r="C132" s="6" t="str">
        <f t="shared" si="1"/>
        <v>Jamie Reyes</v>
      </c>
      <c r="D132" s="6">
        <v>29.0</v>
      </c>
      <c r="E132" s="6" t="s">
        <v>14</v>
      </c>
      <c r="F132" s="6" t="str">
        <f t="shared" si="2"/>
        <v>Female</v>
      </c>
      <c r="G132" s="6" t="s">
        <v>458</v>
      </c>
      <c r="H132" s="6" t="s">
        <v>175</v>
      </c>
      <c r="I132" s="6" t="s">
        <v>459</v>
      </c>
      <c r="J132" s="6" t="s">
        <v>18</v>
      </c>
      <c r="K132" s="6" t="str">
        <f t="shared" si="3"/>
        <v>Platinum</v>
      </c>
    </row>
    <row r="133" ht="14.25" customHeight="1">
      <c r="A133" s="6" t="s">
        <v>460</v>
      </c>
      <c r="B133" s="6" t="s">
        <v>461</v>
      </c>
      <c r="C133" s="6" t="str">
        <f t="shared" si="1"/>
        <v>Joseph Richards</v>
      </c>
      <c r="D133" s="6">
        <v>34.0</v>
      </c>
      <c r="E133" s="6" t="s">
        <v>21</v>
      </c>
      <c r="F133" s="6" t="str">
        <f t="shared" si="2"/>
        <v>Male</v>
      </c>
      <c r="G133" s="6" t="s">
        <v>462</v>
      </c>
      <c r="H133" s="6" t="s">
        <v>28</v>
      </c>
      <c r="I133" s="6" t="s">
        <v>17</v>
      </c>
      <c r="J133" s="6" t="s">
        <v>29</v>
      </c>
      <c r="K133" s="6" t="str">
        <f t="shared" si="3"/>
        <v>Bronze</v>
      </c>
    </row>
    <row r="134" ht="14.25" customHeight="1">
      <c r="A134" s="6" t="s">
        <v>463</v>
      </c>
      <c r="B134" s="6" t="s">
        <v>464</v>
      </c>
      <c r="C134" s="6" t="str">
        <f t="shared" si="1"/>
        <v>Miguel Reynolds</v>
      </c>
      <c r="D134" s="6">
        <v>57.0</v>
      </c>
      <c r="E134" s="6" t="s">
        <v>21</v>
      </c>
      <c r="F134" s="6" t="str">
        <f t="shared" si="2"/>
        <v>Male</v>
      </c>
      <c r="G134" s="6" t="s">
        <v>465</v>
      </c>
      <c r="H134" s="6" t="s">
        <v>33</v>
      </c>
      <c r="I134" s="6" t="s">
        <v>17</v>
      </c>
      <c r="J134" s="6" t="s">
        <v>24</v>
      </c>
      <c r="K134" s="6" t="str">
        <f t="shared" si="3"/>
        <v>Gold</v>
      </c>
    </row>
    <row r="135" ht="14.25" customHeight="1">
      <c r="A135" s="6" t="s">
        <v>466</v>
      </c>
      <c r="B135" s="6" t="s">
        <v>467</v>
      </c>
      <c r="C135" s="6" t="str">
        <f t="shared" si="1"/>
        <v>Hayley Pope</v>
      </c>
      <c r="D135" s="6">
        <v>62.0</v>
      </c>
      <c r="E135" s="6" t="s">
        <v>21</v>
      </c>
      <c r="F135" s="6" t="str">
        <f t="shared" si="2"/>
        <v>Male</v>
      </c>
      <c r="G135" s="6" t="s">
        <v>468</v>
      </c>
      <c r="H135" s="6" t="s">
        <v>258</v>
      </c>
      <c r="I135" s="6" t="s">
        <v>17</v>
      </c>
      <c r="J135" s="6" t="s">
        <v>29</v>
      </c>
      <c r="K135" s="6" t="str">
        <f t="shared" si="3"/>
        <v>Bronze</v>
      </c>
    </row>
    <row r="136" ht="14.25" customHeight="1">
      <c r="A136" s="6" t="s">
        <v>469</v>
      </c>
      <c r="B136" s="6" t="s">
        <v>470</v>
      </c>
      <c r="C136" s="6" t="str">
        <f t="shared" si="1"/>
        <v>Morgan Bowen</v>
      </c>
      <c r="D136" s="6">
        <v>54.0</v>
      </c>
      <c r="E136" s="6" t="s">
        <v>14</v>
      </c>
      <c r="F136" s="6" t="str">
        <f t="shared" si="2"/>
        <v>Female</v>
      </c>
      <c r="G136" s="6" t="s">
        <v>471</v>
      </c>
      <c r="H136" s="6" t="s">
        <v>81</v>
      </c>
      <c r="I136" s="6" t="s">
        <v>17</v>
      </c>
      <c r="J136" s="6" t="s">
        <v>24</v>
      </c>
      <c r="K136" s="6" t="str">
        <f t="shared" si="3"/>
        <v>Gold</v>
      </c>
    </row>
    <row r="137" ht="14.25" customHeight="1">
      <c r="A137" s="6" t="s">
        <v>472</v>
      </c>
      <c r="B137" s="6" t="s">
        <v>473</v>
      </c>
      <c r="C137" s="6" t="str">
        <f t="shared" si="1"/>
        <v>Matthew Hanna</v>
      </c>
      <c r="D137" s="6">
        <v>33.0</v>
      </c>
      <c r="E137" s="6" t="s">
        <v>21</v>
      </c>
      <c r="F137" s="6" t="str">
        <f t="shared" si="2"/>
        <v>Male</v>
      </c>
      <c r="G137" s="6" t="s">
        <v>474</v>
      </c>
      <c r="H137" s="6" t="s">
        <v>164</v>
      </c>
      <c r="I137" s="6" t="s">
        <v>17</v>
      </c>
      <c r="J137" s="6" t="s">
        <v>18</v>
      </c>
      <c r="K137" s="6" t="str">
        <f t="shared" si="3"/>
        <v>Platinum</v>
      </c>
    </row>
    <row r="138" ht="14.25" customHeight="1">
      <c r="A138" s="6" t="s">
        <v>475</v>
      </c>
      <c r="B138" s="6" t="s">
        <v>476</v>
      </c>
      <c r="C138" s="6" t="str">
        <f t="shared" si="1"/>
        <v>Patrick Coleman</v>
      </c>
      <c r="D138" s="6">
        <v>29.0</v>
      </c>
      <c r="E138" s="6" t="s">
        <v>14</v>
      </c>
      <c r="F138" s="6" t="str">
        <f t="shared" si="2"/>
        <v>Female</v>
      </c>
      <c r="G138" s="6" t="s">
        <v>477</v>
      </c>
      <c r="H138" s="6" t="s">
        <v>77</v>
      </c>
      <c r="I138" s="6" t="s">
        <v>17</v>
      </c>
      <c r="J138" s="6" t="s">
        <v>34</v>
      </c>
      <c r="K138" s="6" t="str">
        <f t="shared" si="3"/>
        <v>Silver</v>
      </c>
    </row>
    <row r="139" ht="14.25" customHeight="1">
      <c r="A139" s="6" t="s">
        <v>478</v>
      </c>
      <c r="B139" s="6" t="s">
        <v>479</v>
      </c>
      <c r="C139" s="6" t="str">
        <f t="shared" si="1"/>
        <v>Rick Dominguez</v>
      </c>
      <c r="D139" s="6">
        <v>55.0</v>
      </c>
      <c r="E139" s="6" t="s">
        <v>21</v>
      </c>
      <c r="F139" s="6" t="str">
        <f t="shared" si="2"/>
        <v>Male</v>
      </c>
      <c r="G139" s="6" t="s">
        <v>480</v>
      </c>
      <c r="H139" s="6" t="s">
        <v>33</v>
      </c>
      <c r="I139" s="6" t="s">
        <v>17</v>
      </c>
      <c r="J139" s="6" t="s">
        <v>18</v>
      </c>
      <c r="K139" s="6" t="str">
        <f t="shared" si="3"/>
        <v>Platinum</v>
      </c>
    </row>
    <row r="140" ht="14.25" customHeight="1">
      <c r="A140" s="6" t="s">
        <v>481</v>
      </c>
      <c r="B140" s="6" t="s">
        <v>482</v>
      </c>
      <c r="C140" s="6" t="str">
        <f t="shared" si="1"/>
        <v>Sean Roth</v>
      </c>
      <c r="D140" s="6">
        <v>43.0</v>
      </c>
      <c r="E140" s="6" t="s">
        <v>14</v>
      </c>
      <c r="F140" s="6" t="str">
        <f t="shared" si="2"/>
        <v>Female</v>
      </c>
      <c r="G140" s="6" t="s">
        <v>403</v>
      </c>
      <c r="H140" s="6" t="s">
        <v>295</v>
      </c>
      <c r="I140" s="6" t="s">
        <v>17</v>
      </c>
      <c r="J140" s="6" t="s">
        <v>24</v>
      </c>
      <c r="K140" s="6" t="str">
        <f t="shared" si="3"/>
        <v>Gold</v>
      </c>
    </row>
    <row r="141" ht="14.25" customHeight="1">
      <c r="A141" s="6" t="s">
        <v>483</v>
      </c>
      <c r="B141" s="6" t="s">
        <v>484</v>
      </c>
      <c r="C141" s="6" t="str">
        <f t="shared" si="1"/>
        <v>Brian Holder</v>
      </c>
      <c r="D141" s="6">
        <v>32.0</v>
      </c>
      <c r="E141" s="6" t="s">
        <v>14</v>
      </c>
      <c r="F141" s="6" t="str">
        <f t="shared" si="2"/>
        <v>Female</v>
      </c>
      <c r="G141" s="6" t="s">
        <v>485</v>
      </c>
      <c r="H141" s="6" t="s">
        <v>125</v>
      </c>
      <c r="I141" s="6" t="s">
        <v>17</v>
      </c>
      <c r="J141" s="6" t="s">
        <v>29</v>
      </c>
      <c r="K141" s="6" t="str">
        <f t="shared" si="3"/>
        <v>Bronze</v>
      </c>
    </row>
    <row r="142" ht="14.25" customHeight="1">
      <c r="A142" s="6" t="s">
        <v>486</v>
      </c>
      <c r="B142" s="6" t="s">
        <v>487</v>
      </c>
      <c r="C142" s="6" t="str">
        <f t="shared" si="1"/>
        <v>Patty Francis</v>
      </c>
      <c r="D142" s="6">
        <v>63.0</v>
      </c>
      <c r="E142" s="6" t="s">
        <v>21</v>
      </c>
      <c r="F142" s="6" t="str">
        <f t="shared" si="2"/>
        <v>Male</v>
      </c>
      <c r="G142" s="6" t="s">
        <v>488</v>
      </c>
      <c r="H142" s="6" t="s">
        <v>58</v>
      </c>
      <c r="I142" s="6" t="s">
        <v>17</v>
      </c>
      <c r="J142" s="6" t="s">
        <v>24</v>
      </c>
      <c r="K142" s="6" t="str">
        <f t="shared" si="3"/>
        <v>Gold</v>
      </c>
    </row>
    <row r="143" ht="14.25" customHeight="1">
      <c r="A143" s="6" t="s">
        <v>489</v>
      </c>
      <c r="B143" s="6" t="s">
        <v>490</v>
      </c>
      <c r="C143" s="6" t="str">
        <f t="shared" si="1"/>
        <v>Cristian Wright</v>
      </c>
      <c r="D143" s="6">
        <v>30.0</v>
      </c>
      <c r="E143" s="6" t="s">
        <v>14</v>
      </c>
      <c r="F143" s="6" t="str">
        <f t="shared" si="2"/>
        <v>Female</v>
      </c>
      <c r="G143" s="6" t="s">
        <v>491</v>
      </c>
      <c r="H143" s="6" t="s">
        <v>38</v>
      </c>
      <c r="I143" s="6" t="s">
        <v>459</v>
      </c>
      <c r="J143" s="6" t="s">
        <v>29</v>
      </c>
      <c r="K143" s="6" t="str">
        <f t="shared" si="3"/>
        <v>Bronze</v>
      </c>
    </row>
    <row r="144" ht="14.25" customHeight="1">
      <c r="A144" s="6" t="s">
        <v>492</v>
      </c>
      <c r="B144" s="6" t="s">
        <v>493</v>
      </c>
      <c r="C144" s="6" t="str">
        <f t="shared" si="1"/>
        <v>Maria Ramirez</v>
      </c>
      <c r="D144" s="6">
        <v>37.0</v>
      </c>
      <c r="E144" s="6" t="s">
        <v>14</v>
      </c>
      <c r="F144" s="6" t="str">
        <f t="shared" si="2"/>
        <v>Female</v>
      </c>
      <c r="G144" s="6" t="s">
        <v>494</v>
      </c>
      <c r="H144" s="6" t="s">
        <v>73</v>
      </c>
      <c r="I144" s="6" t="s">
        <v>17</v>
      </c>
      <c r="J144" s="6" t="s">
        <v>29</v>
      </c>
      <c r="K144" s="6" t="str">
        <f t="shared" si="3"/>
        <v>Bronze</v>
      </c>
    </row>
    <row r="145" ht="14.25" customHeight="1">
      <c r="A145" s="6" t="s">
        <v>495</v>
      </c>
      <c r="B145" s="6" t="s">
        <v>496</v>
      </c>
      <c r="C145" s="6" t="str">
        <f t="shared" si="1"/>
        <v>Carlos Skinner</v>
      </c>
      <c r="D145" s="6">
        <v>46.0</v>
      </c>
      <c r="E145" s="6" t="s">
        <v>14</v>
      </c>
      <c r="F145" s="6" t="str">
        <f t="shared" si="2"/>
        <v>Female</v>
      </c>
      <c r="G145" s="6" t="s">
        <v>497</v>
      </c>
      <c r="H145" s="6" t="s">
        <v>28</v>
      </c>
      <c r="I145" s="6" t="s">
        <v>17</v>
      </c>
      <c r="J145" s="6" t="s">
        <v>29</v>
      </c>
      <c r="K145" s="6" t="str">
        <f t="shared" si="3"/>
        <v>Bronze</v>
      </c>
    </row>
    <row r="146" ht="14.25" customHeight="1">
      <c r="A146" s="6" t="s">
        <v>498</v>
      </c>
      <c r="B146" s="6" t="s">
        <v>499</v>
      </c>
      <c r="C146" s="6" t="str">
        <f t="shared" si="1"/>
        <v>Justin Cross</v>
      </c>
      <c r="D146" s="6">
        <v>62.0</v>
      </c>
      <c r="E146" s="6" t="s">
        <v>21</v>
      </c>
      <c r="F146" s="6" t="str">
        <f t="shared" si="2"/>
        <v>Male</v>
      </c>
      <c r="G146" s="6" t="s">
        <v>500</v>
      </c>
      <c r="H146" s="6" t="s">
        <v>192</v>
      </c>
      <c r="I146" s="6" t="s">
        <v>17</v>
      </c>
      <c r="J146" s="6" t="s">
        <v>29</v>
      </c>
      <c r="K146" s="6" t="str">
        <f t="shared" si="3"/>
        <v>Bronze</v>
      </c>
    </row>
    <row r="147" ht="14.25" customHeight="1">
      <c r="A147" s="6" t="s">
        <v>501</v>
      </c>
      <c r="B147" s="6" t="s">
        <v>502</v>
      </c>
      <c r="C147" s="6" t="str">
        <f t="shared" si="1"/>
        <v>Cameron Simpson</v>
      </c>
      <c r="D147" s="6">
        <v>46.0</v>
      </c>
      <c r="E147" s="6" t="s">
        <v>14</v>
      </c>
      <c r="F147" s="6" t="str">
        <f t="shared" si="2"/>
        <v>Female</v>
      </c>
      <c r="G147" s="6" t="s">
        <v>503</v>
      </c>
      <c r="H147" s="6" t="s">
        <v>262</v>
      </c>
      <c r="I147" s="6" t="s">
        <v>17</v>
      </c>
      <c r="J147" s="6" t="s">
        <v>18</v>
      </c>
      <c r="K147" s="6" t="str">
        <f t="shared" si="3"/>
        <v>Platinum</v>
      </c>
    </row>
    <row r="148" ht="14.25" customHeight="1">
      <c r="A148" s="6" t="s">
        <v>504</v>
      </c>
      <c r="B148" s="6" t="s">
        <v>505</v>
      </c>
      <c r="C148" s="6" t="str">
        <f t="shared" si="1"/>
        <v>Edward Rivera</v>
      </c>
      <c r="D148" s="6">
        <v>32.0</v>
      </c>
      <c r="E148" s="6" t="s">
        <v>21</v>
      </c>
      <c r="F148" s="6" t="str">
        <f t="shared" si="2"/>
        <v>Male</v>
      </c>
      <c r="G148" s="6" t="s">
        <v>506</v>
      </c>
      <c r="H148" s="6" t="s">
        <v>325</v>
      </c>
      <c r="I148" s="6" t="s">
        <v>17</v>
      </c>
      <c r="J148" s="6" t="s">
        <v>24</v>
      </c>
      <c r="K148" s="6" t="str">
        <f t="shared" si="3"/>
        <v>Gold</v>
      </c>
    </row>
    <row r="149" ht="14.25" customHeight="1">
      <c r="A149" s="6" t="s">
        <v>507</v>
      </c>
      <c r="B149" s="6" t="s">
        <v>508</v>
      </c>
      <c r="C149" s="6" t="str">
        <f t="shared" si="1"/>
        <v>Rhonda Young</v>
      </c>
      <c r="D149" s="6">
        <v>49.0</v>
      </c>
      <c r="E149" s="6" t="s">
        <v>21</v>
      </c>
      <c r="F149" s="6" t="str">
        <f t="shared" si="2"/>
        <v>Male</v>
      </c>
      <c r="G149" s="6" t="s">
        <v>509</v>
      </c>
      <c r="H149" s="6" t="s">
        <v>171</v>
      </c>
      <c r="I149" s="6" t="s">
        <v>17</v>
      </c>
      <c r="J149" s="6" t="s">
        <v>18</v>
      </c>
      <c r="K149" s="6" t="str">
        <f t="shared" si="3"/>
        <v>Platinum</v>
      </c>
    </row>
    <row r="150" ht="14.25" customHeight="1">
      <c r="A150" s="6" t="s">
        <v>510</v>
      </c>
      <c r="B150" s="6" t="s">
        <v>511</v>
      </c>
      <c r="C150" s="6" t="str">
        <f t="shared" si="1"/>
        <v>Theresa Campbell</v>
      </c>
      <c r="D150" s="6">
        <v>42.0</v>
      </c>
      <c r="E150" s="6" t="s">
        <v>21</v>
      </c>
      <c r="F150" s="6" t="str">
        <f t="shared" si="2"/>
        <v>Male</v>
      </c>
      <c r="G150" s="6" t="s">
        <v>512</v>
      </c>
      <c r="H150" s="6" t="s">
        <v>332</v>
      </c>
      <c r="I150" s="6" t="s">
        <v>17</v>
      </c>
      <c r="J150" s="6" t="s">
        <v>29</v>
      </c>
      <c r="K150" s="6" t="str">
        <f t="shared" si="3"/>
        <v>Bronze</v>
      </c>
    </row>
    <row r="151" ht="14.25" customHeight="1">
      <c r="A151" s="6" t="s">
        <v>513</v>
      </c>
      <c r="B151" s="6" t="s">
        <v>514</v>
      </c>
      <c r="C151" s="6" t="str">
        <f t="shared" si="1"/>
        <v>Denise Griffin</v>
      </c>
      <c r="D151" s="6">
        <v>33.0</v>
      </c>
      <c r="E151" s="6" t="s">
        <v>14</v>
      </c>
      <c r="F151" s="6" t="str">
        <f t="shared" si="2"/>
        <v>Female</v>
      </c>
      <c r="G151" s="6" t="s">
        <v>515</v>
      </c>
      <c r="H151" s="6" t="s">
        <v>258</v>
      </c>
      <c r="I151" s="6" t="s">
        <v>17</v>
      </c>
      <c r="J151" s="6" t="s">
        <v>18</v>
      </c>
      <c r="K151" s="6" t="str">
        <f t="shared" si="3"/>
        <v>Platinum</v>
      </c>
    </row>
    <row r="152" ht="14.25" customHeight="1">
      <c r="A152" s="6" t="s">
        <v>516</v>
      </c>
      <c r="B152" s="6" t="s">
        <v>517</v>
      </c>
      <c r="C152" s="6" t="str">
        <f t="shared" si="1"/>
        <v>Stephanie Conway</v>
      </c>
      <c r="D152" s="6">
        <v>24.0</v>
      </c>
      <c r="E152" s="6" t="s">
        <v>14</v>
      </c>
      <c r="F152" s="6" t="str">
        <f t="shared" si="2"/>
        <v>Female</v>
      </c>
      <c r="G152" s="6" t="s">
        <v>518</v>
      </c>
      <c r="H152" s="6" t="s">
        <v>321</v>
      </c>
      <c r="I152" s="6" t="s">
        <v>17</v>
      </c>
      <c r="J152" s="6" t="s">
        <v>24</v>
      </c>
      <c r="K152" s="6" t="str">
        <f t="shared" si="3"/>
        <v>Gold</v>
      </c>
    </row>
    <row r="153" ht="14.25" customHeight="1">
      <c r="A153" s="6" t="s">
        <v>519</v>
      </c>
      <c r="B153" s="6" t="s">
        <v>520</v>
      </c>
      <c r="C153" s="6" t="str">
        <f t="shared" si="1"/>
        <v>Michael Davies</v>
      </c>
      <c r="D153" s="6">
        <v>25.0</v>
      </c>
      <c r="E153" s="6" t="s">
        <v>21</v>
      </c>
      <c r="F153" s="6" t="str">
        <f t="shared" si="2"/>
        <v>Male</v>
      </c>
      <c r="G153" s="6" t="s">
        <v>521</v>
      </c>
      <c r="H153" s="6" t="s">
        <v>42</v>
      </c>
      <c r="I153" s="6" t="s">
        <v>17</v>
      </c>
      <c r="J153" s="6" t="s">
        <v>24</v>
      </c>
      <c r="K153" s="6" t="str">
        <f t="shared" si="3"/>
        <v>Gold</v>
      </c>
    </row>
    <row r="154" ht="14.25" customHeight="1">
      <c r="A154" s="6" t="s">
        <v>522</v>
      </c>
      <c r="B154" s="6" t="s">
        <v>523</v>
      </c>
      <c r="C154" s="6" t="str">
        <f t="shared" si="1"/>
        <v>Patrick Roberts</v>
      </c>
      <c r="D154" s="6">
        <v>41.0</v>
      </c>
      <c r="E154" s="6" t="s">
        <v>21</v>
      </c>
      <c r="F154" s="6" t="str">
        <f t="shared" si="2"/>
        <v>Male</v>
      </c>
      <c r="G154" s="6" t="s">
        <v>524</v>
      </c>
      <c r="H154" s="6" t="s">
        <v>121</v>
      </c>
      <c r="I154" s="6" t="s">
        <v>17</v>
      </c>
      <c r="J154" s="6" t="s">
        <v>18</v>
      </c>
      <c r="K154" s="6" t="str">
        <f t="shared" si="3"/>
        <v>Platinum</v>
      </c>
    </row>
    <row r="155" ht="14.25" customHeight="1">
      <c r="A155" s="6" t="s">
        <v>525</v>
      </c>
      <c r="B155" s="6" t="s">
        <v>526</v>
      </c>
      <c r="C155" s="6" t="str">
        <f t="shared" si="1"/>
        <v>Joseph Faulkner</v>
      </c>
      <c r="D155" s="6">
        <v>31.0</v>
      </c>
      <c r="E155" s="6" t="s">
        <v>14</v>
      </c>
      <c r="F155" s="6" t="str">
        <f t="shared" si="2"/>
        <v>Female</v>
      </c>
      <c r="G155" s="6" t="s">
        <v>527</v>
      </c>
      <c r="H155" s="6" t="s">
        <v>23</v>
      </c>
      <c r="I155" s="6" t="s">
        <v>17</v>
      </c>
      <c r="J155" s="6" t="s">
        <v>29</v>
      </c>
      <c r="K155" s="6" t="str">
        <f t="shared" si="3"/>
        <v>Bronze</v>
      </c>
    </row>
    <row r="156" ht="14.25" customHeight="1">
      <c r="A156" s="6" t="s">
        <v>528</v>
      </c>
      <c r="B156" s="6" t="s">
        <v>529</v>
      </c>
      <c r="C156" s="6" t="str">
        <f t="shared" si="1"/>
        <v>Julie Hale</v>
      </c>
      <c r="D156" s="6">
        <v>35.0</v>
      </c>
      <c r="E156" s="6" t="s">
        <v>21</v>
      </c>
      <c r="F156" s="6" t="str">
        <f t="shared" si="2"/>
        <v>Male</v>
      </c>
      <c r="G156" s="6" t="s">
        <v>530</v>
      </c>
      <c r="H156" s="6" t="s">
        <v>179</v>
      </c>
      <c r="I156" s="6" t="s">
        <v>17</v>
      </c>
      <c r="J156" s="6" t="s">
        <v>24</v>
      </c>
      <c r="K156" s="6" t="str">
        <f t="shared" si="3"/>
        <v>Gold</v>
      </c>
    </row>
    <row r="157" ht="14.25" customHeight="1">
      <c r="A157" s="6" t="s">
        <v>531</v>
      </c>
      <c r="B157" s="6" t="s">
        <v>532</v>
      </c>
      <c r="C157" s="6" t="str">
        <f t="shared" si="1"/>
        <v>Curtis Haynes</v>
      </c>
      <c r="D157" s="6">
        <v>60.0</v>
      </c>
      <c r="E157" s="6" t="s">
        <v>21</v>
      </c>
      <c r="F157" s="6" t="str">
        <f t="shared" si="2"/>
        <v>Male</v>
      </c>
      <c r="G157" s="6" t="s">
        <v>533</v>
      </c>
      <c r="H157" s="6" t="s">
        <v>275</v>
      </c>
      <c r="I157" s="6" t="s">
        <v>17</v>
      </c>
      <c r="J157" s="6" t="s">
        <v>24</v>
      </c>
      <c r="K157" s="6" t="str">
        <f t="shared" si="3"/>
        <v>Gold</v>
      </c>
    </row>
    <row r="158" ht="14.25" customHeight="1">
      <c r="A158" s="6" t="s">
        <v>534</v>
      </c>
      <c r="B158" s="6" t="s">
        <v>535</v>
      </c>
      <c r="C158" s="6" t="str">
        <f t="shared" si="1"/>
        <v>Maria Sanchez</v>
      </c>
      <c r="D158" s="6">
        <v>46.0</v>
      </c>
      <c r="E158" s="6" t="s">
        <v>14</v>
      </c>
      <c r="F158" s="6" t="str">
        <f t="shared" si="2"/>
        <v>Female</v>
      </c>
      <c r="G158" s="6" t="s">
        <v>536</v>
      </c>
      <c r="H158" s="6" t="s">
        <v>23</v>
      </c>
      <c r="I158" s="6" t="s">
        <v>17</v>
      </c>
      <c r="J158" s="6" t="s">
        <v>29</v>
      </c>
      <c r="K158" s="6" t="str">
        <f t="shared" si="3"/>
        <v>Bronze</v>
      </c>
    </row>
    <row r="159" ht="14.25" customHeight="1">
      <c r="A159" s="6" t="s">
        <v>537</v>
      </c>
      <c r="B159" s="6" t="s">
        <v>538</v>
      </c>
      <c r="C159" s="6" t="str">
        <f t="shared" si="1"/>
        <v>Paul Zamora</v>
      </c>
      <c r="D159" s="6">
        <v>59.0</v>
      </c>
      <c r="E159" s="6" t="s">
        <v>14</v>
      </c>
      <c r="F159" s="6" t="str">
        <f t="shared" si="2"/>
        <v>Female</v>
      </c>
      <c r="G159" s="6" t="s">
        <v>539</v>
      </c>
      <c r="H159" s="6" t="s">
        <v>23</v>
      </c>
      <c r="I159" s="6" t="s">
        <v>17</v>
      </c>
      <c r="J159" s="6" t="s">
        <v>18</v>
      </c>
      <c r="K159" s="6" t="str">
        <f t="shared" si="3"/>
        <v>Platinum</v>
      </c>
    </row>
    <row r="160" ht="14.25" customHeight="1">
      <c r="A160" s="6" t="s">
        <v>540</v>
      </c>
      <c r="B160" s="6" t="s">
        <v>541</v>
      </c>
      <c r="C160" s="6" t="str">
        <f t="shared" si="1"/>
        <v>Sean Powell</v>
      </c>
      <c r="D160" s="6">
        <v>43.0</v>
      </c>
      <c r="E160" s="6" t="s">
        <v>14</v>
      </c>
      <c r="F160" s="6" t="str">
        <f t="shared" si="2"/>
        <v>Female</v>
      </c>
      <c r="G160" s="6" t="s">
        <v>542</v>
      </c>
      <c r="H160" s="6" t="s">
        <v>179</v>
      </c>
      <c r="I160" s="6" t="s">
        <v>17</v>
      </c>
      <c r="J160" s="6" t="s">
        <v>29</v>
      </c>
      <c r="K160" s="6" t="str">
        <f t="shared" si="3"/>
        <v>Bronze</v>
      </c>
    </row>
    <row r="161" ht="14.25" customHeight="1">
      <c r="A161" s="6" t="s">
        <v>543</v>
      </c>
      <c r="B161" s="6" t="s">
        <v>544</v>
      </c>
      <c r="C161" s="6" t="str">
        <f t="shared" si="1"/>
        <v>Brian Choi</v>
      </c>
      <c r="D161" s="6">
        <v>46.0</v>
      </c>
      <c r="E161" s="6" t="s">
        <v>21</v>
      </c>
      <c r="F161" s="6" t="str">
        <f t="shared" si="2"/>
        <v>Male</v>
      </c>
      <c r="G161" s="6" t="s">
        <v>545</v>
      </c>
      <c r="H161" s="6" t="s">
        <v>95</v>
      </c>
      <c r="I161" s="6" t="s">
        <v>17</v>
      </c>
      <c r="J161" s="6" t="s">
        <v>24</v>
      </c>
      <c r="K161" s="6" t="str">
        <f t="shared" si="3"/>
        <v>Gold</v>
      </c>
    </row>
    <row r="162" ht="14.25" customHeight="1">
      <c r="A162" s="6" t="s">
        <v>546</v>
      </c>
      <c r="B162" s="6" t="s">
        <v>547</v>
      </c>
      <c r="C162" s="6" t="str">
        <f t="shared" si="1"/>
        <v>John Lawson</v>
      </c>
      <c r="D162" s="6">
        <v>41.0</v>
      </c>
      <c r="E162" s="6" t="s">
        <v>21</v>
      </c>
      <c r="F162" s="6" t="str">
        <f t="shared" si="2"/>
        <v>Male</v>
      </c>
      <c r="G162" s="6" t="s">
        <v>548</v>
      </c>
      <c r="H162" s="6" t="s">
        <v>16</v>
      </c>
      <c r="I162" s="6" t="s">
        <v>17</v>
      </c>
      <c r="J162" s="6" t="s">
        <v>18</v>
      </c>
      <c r="K162" s="6" t="str">
        <f t="shared" si="3"/>
        <v>Platinum</v>
      </c>
    </row>
    <row r="163" ht="14.25" customHeight="1">
      <c r="A163" s="6" t="s">
        <v>549</v>
      </c>
      <c r="B163" s="6" t="s">
        <v>550</v>
      </c>
      <c r="C163" s="6" t="str">
        <f t="shared" si="1"/>
        <v>Cynthia Morris</v>
      </c>
      <c r="D163" s="6">
        <v>18.0</v>
      </c>
      <c r="E163" s="6" t="s">
        <v>21</v>
      </c>
      <c r="F163" s="6" t="str">
        <f t="shared" si="2"/>
        <v>Male</v>
      </c>
      <c r="G163" s="6" t="s">
        <v>551</v>
      </c>
      <c r="H163" s="6" t="s">
        <v>141</v>
      </c>
      <c r="I163" s="6" t="s">
        <v>17</v>
      </c>
      <c r="J163" s="6" t="s">
        <v>34</v>
      </c>
      <c r="K163" s="6" t="str">
        <f t="shared" si="3"/>
        <v>Silver</v>
      </c>
    </row>
    <row r="164" ht="14.25" customHeight="1">
      <c r="A164" s="6" t="s">
        <v>552</v>
      </c>
      <c r="B164" s="6" t="s">
        <v>553</v>
      </c>
      <c r="C164" s="6" t="str">
        <f t="shared" si="1"/>
        <v>Mariah Brown</v>
      </c>
      <c r="D164" s="6">
        <v>37.0</v>
      </c>
      <c r="E164" s="6" t="s">
        <v>14</v>
      </c>
      <c r="F164" s="6" t="str">
        <f t="shared" si="2"/>
        <v>Female</v>
      </c>
      <c r="G164" s="6" t="s">
        <v>554</v>
      </c>
      <c r="H164" s="6" t="s">
        <v>245</v>
      </c>
      <c r="I164" s="6" t="s">
        <v>459</v>
      </c>
      <c r="J164" s="6" t="s">
        <v>34</v>
      </c>
      <c r="K164" s="6" t="str">
        <f t="shared" si="3"/>
        <v>Silver</v>
      </c>
    </row>
    <row r="165" ht="14.25" customHeight="1">
      <c r="A165" s="6" t="s">
        <v>555</v>
      </c>
      <c r="B165" s="6" t="s">
        <v>556</v>
      </c>
      <c r="C165" s="6" t="str">
        <f t="shared" si="1"/>
        <v>Joseph Jones</v>
      </c>
      <c r="D165" s="6">
        <v>21.0</v>
      </c>
      <c r="E165" s="6" t="s">
        <v>14</v>
      </c>
      <c r="F165" s="6" t="str">
        <f t="shared" si="2"/>
        <v>Female</v>
      </c>
      <c r="G165" s="6" t="s">
        <v>557</v>
      </c>
      <c r="H165" s="6" t="s">
        <v>202</v>
      </c>
      <c r="I165" s="6" t="s">
        <v>17</v>
      </c>
      <c r="J165" s="6" t="s">
        <v>29</v>
      </c>
      <c r="K165" s="6" t="str">
        <f t="shared" si="3"/>
        <v>Bronze</v>
      </c>
    </row>
    <row r="166" ht="14.25" customHeight="1">
      <c r="A166" s="6" t="s">
        <v>558</v>
      </c>
      <c r="B166" s="6" t="s">
        <v>559</v>
      </c>
      <c r="C166" s="6" t="str">
        <f t="shared" si="1"/>
        <v>Daniel Rivas</v>
      </c>
      <c r="D166" s="6">
        <v>39.0</v>
      </c>
      <c r="E166" s="6" t="s">
        <v>21</v>
      </c>
      <c r="F166" s="6" t="str">
        <f t="shared" si="2"/>
        <v>Male</v>
      </c>
      <c r="G166" s="6" t="s">
        <v>560</v>
      </c>
      <c r="H166" s="6" t="s">
        <v>88</v>
      </c>
      <c r="I166" s="6" t="s">
        <v>17</v>
      </c>
      <c r="J166" s="6" t="s">
        <v>34</v>
      </c>
      <c r="K166" s="6" t="str">
        <f t="shared" si="3"/>
        <v>Silver</v>
      </c>
    </row>
    <row r="167" ht="14.25" customHeight="1">
      <c r="A167" s="6" t="s">
        <v>561</v>
      </c>
      <c r="B167" s="6" t="s">
        <v>562</v>
      </c>
      <c r="C167" s="6" t="str">
        <f t="shared" si="1"/>
        <v>Jason Wheeler</v>
      </c>
      <c r="D167" s="6">
        <v>47.0</v>
      </c>
      <c r="E167" s="6" t="s">
        <v>21</v>
      </c>
      <c r="F167" s="6" t="str">
        <f t="shared" si="2"/>
        <v>Male</v>
      </c>
      <c r="G167" s="6" t="s">
        <v>563</v>
      </c>
      <c r="H167" s="6" t="s">
        <v>202</v>
      </c>
      <c r="I167" s="6" t="s">
        <v>17</v>
      </c>
      <c r="J167" s="6" t="s">
        <v>18</v>
      </c>
      <c r="K167" s="6" t="str">
        <f t="shared" si="3"/>
        <v>Platinum</v>
      </c>
    </row>
    <row r="168" ht="14.25" customHeight="1">
      <c r="A168" s="6" t="s">
        <v>564</v>
      </c>
      <c r="B168" s="6" t="s">
        <v>565</v>
      </c>
      <c r="C168" s="6" t="str">
        <f t="shared" si="1"/>
        <v>Patricia Gardner</v>
      </c>
      <c r="D168" s="6">
        <v>25.0</v>
      </c>
      <c r="E168" s="6" t="s">
        <v>21</v>
      </c>
      <c r="F168" s="6" t="str">
        <f t="shared" si="2"/>
        <v>Male</v>
      </c>
      <c r="G168" s="6" t="s">
        <v>566</v>
      </c>
      <c r="H168" s="6" t="s">
        <v>164</v>
      </c>
      <c r="I168" s="6" t="s">
        <v>17</v>
      </c>
      <c r="J168" s="6" t="s">
        <v>34</v>
      </c>
      <c r="K168" s="6" t="str">
        <f t="shared" si="3"/>
        <v>Silver</v>
      </c>
    </row>
    <row r="169" ht="14.25" customHeight="1">
      <c r="A169" s="6" t="s">
        <v>567</v>
      </c>
      <c r="B169" s="6" t="s">
        <v>568</v>
      </c>
      <c r="C169" s="6" t="str">
        <f t="shared" si="1"/>
        <v>Antonio Wade</v>
      </c>
      <c r="D169" s="6">
        <v>36.0</v>
      </c>
      <c r="E169" s="6" t="s">
        <v>21</v>
      </c>
      <c r="F169" s="6" t="str">
        <f t="shared" si="2"/>
        <v>Male</v>
      </c>
      <c r="G169" s="6" t="s">
        <v>569</v>
      </c>
      <c r="H169" s="6" t="s">
        <v>245</v>
      </c>
      <c r="I169" s="6" t="s">
        <v>17</v>
      </c>
      <c r="J169" s="6" t="s">
        <v>24</v>
      </c>
      <c r="K169" s="6" t="str">
        <f t="shared" si="3"/>
        <v>Gold</v>
      </c>
    </row>
    <row r="170" ht="14.25" customHeight="1">
      <c r="A170" s="6" t="s">
        <v>570</v>
      </c>
      <c r="B170" s="6" t="s">
        <v>571</v>
      </c>
      <c r="C170" s="6" t="str">
        <f t="shared" si="1"/>
        <v>Daniel Contreras</v>
      </c>
      <c r="D170" s="6">
        <v>36.0</v>
      </c>
      <c r="E170" s="6" t="s">
        <v>21</v>
      </c>
      <c r="F170" s="6" t="str">
        <f t="shared" si="2"/>
        <v>Male</v>
      </c>
      <c r="G170" s="6" t="s">
        <v>572</v>
      </c>
      <c r="H170" s="6" t="s">
        <v>258</v>
      </c>
      <c r="I170" s="6" t="s">
        <v>17</v>
      </c>
      <c r="J170" s="6" t="s">
        <v>18</v>
      </c>
      <c r="K170" s="6" t="str">
        <f t="shared" si="3"/>
        <v>Platinum</v>
      </c>
    </row>
    <row r="171" ht="14.25" customHeight="1">
      <c r="A171" s="6" t="s">
        <v>573</v>
      </c>
      <c r="B171" s="6" t="s">
        <v>574</v>
      </c>
      <c r="C171" s="6" t="str">
        <f t="shared" si="1"/>
        <v>Steve Mclaughlin</v>
      </c>
      <c r="D171" s="6">
        <v>64.0</v>
      </c>
      <c r="E171" s="6" t="s">
        <v>14</v>
      </c>
      <c r="F171" s="6" t="str">
        <f t="shared" si="2"/>
        <v>Female</v>
      </c>
      <c r="G171" s="6" t="s">
        <v>575</v>
      </c>
      <c r="H171" s="6" t="s">
        <v>54</v>
      </c>
      <c r="I171" s="6" t="s">
        <v>17</v>
      </c>
      <c r="J171" s="6" t="s">
        <v>29</v>
      </c>
      <c r="K171" s="6" t="str">
        <f t="shared" si="3"/>
        <v>Bronze</v>
      </c>
    </row>
    <row r="172" ht="14.25" customHeight="1">
      <c r="A172" s="6" t="s">
        <v>576</v>
      </c>
      <c r="B172" s="6" t="s">
        <v>577</v>
      </c>
      <c r="C172" s="6" t="str">
        <f t="shared" si="1"/>
        <v>Christopher Garcia Dds</v>
      </c>
      <c r="D172" s="6">
        <v>18.0</v>
      </c>
      <c r="E172" s="6" t="s">
        <v>14</v>
      </c>
      <c r="F172" s="6" t="str">
        <f t="shared" si="2"/>
        <v>Female</v>
      </c>
      <c r="G172" s="6" t="s">
        <v>578</v>
      </c>
      <c r="H172" s="6" t="s">
        <v>121</v>
      </c>
      <c r="I172" s="6" t="s">
        <v>17</v>
      </c>
      <c r="J172" s="6" t="s">
        <v>24</v>
      </c>
      <c r="K172" s="6" t="str">
        <f t="shared" si="3"/>
        <v>Gold</v>
      </c>
    </row>
    <row r="173" ht="14.25" customHeight="1">
      <c r="A173" s="6" t="s">
        <v>579</v>
      </c>
      <c r="B173" s="6" t="s">
        <v>580</v>
      </c>
      <c r="C173" s="6" t="str">
        <f t="shared" si="1"/>
        <v>Amy Wilson</v>
      </c>
      <c r="D173" s="6">
        <v>44.0</v>
      </c>
      <c r="E173" s="6" t="s">
        <v>21</v>
      </c>
      <c r="F173" s="6" t="str">
        <f t="shared" si="2"/>
        <v>Male</v>
      </c>
      <c r="G173" s="6" t="s">
        <v>581</v>
      </c>
      <c r="H173" s="6" t="s">
        <v>262</v>
      </c>
      <c r="I173" s="6" t="s">
        <v>17</v>
      </c>
      <c r="J173" s="6" t="s">
        <v>18</v>
      </c>
      <c r="K173" s="6" t="str">
        <f t="shared" si="3"/>
        <v>Platinum</v>
      </c>
    </row>
    <row r="174" ht="14.25" customHeight="1">
      <c r="A174" s="6" t="s">
        <v>582</v>
      </c>
      <c r="B174" s="6" t="s">
        <v>583</v>
      </c>
      <c r="C174" s="6" t="str">
        <f t="shared" si="1"/>
        <v>Thomas Rhodes</v>
      </c>
      <c r="D174" s="6">
        <v>41.0</v>
      </c>
      <c r="E174" s="6" t="s">
        <v>21</v>
      </c>
      <c r="F174" s="6" t="str">
        <f t="shared" si="2"/>
        <v>Male</v>
      </c>
      <c r="G174" s="6" t="s">
        <v>584</v>
      </c>
      <c r="H174" s="6" t="s">
        <v>50</v>
      </c>
      <c r="I174" s="6" t="s">
        <v>17</v>
      </c>
      <c r="J174" s="6" t="s">
        <v>29</v>
      </c>
      <c r="K174" s="6" t="str">
        <f t="shared" si="3"/>
        <v>Bronze</v>
      </c>
    </row>
    <row r="175" ht="14.25" customHeight="1">
      <c r="A175" s="6" t="s">
        <v>585</v>
      </c>
      <c r="B175" s="6" t="s">
        <v>586</v>
      </c>
      <c r="C175" s="6" t="str">
        <f t="shared" si="1"/>
        <v>Teresa Stokes</v>
      </c>
      <c r="D175" s="6">
        <v>41.0</v>
      </c>
      <c r="E175" s="6" t="s">
        <v>21</v>
      </c>
      <c r="F175" s="6" t="str">
        <f t="shared" si="2"/>
        <v>Male</v>
      </c>
      <c r="G175" s="6" t="s">
        <v>406</v>
      </c>
      <c r="H175" s="6" t="s">
        <v>275</v>
      </c>
      <c r="I175" s="6" t="s">
        <v>587</v>
      </c>
      <c r="J175" s="6" t="s">
        <v>18</v>
      </c>
      <c r="K175" s="6" t="str">
        <f t="shared" si="3"/>
        <v>Platinum</v>
      </c>
    </row>
    <row r="176" ht="14.25" customHeight="1">
      <c r="A176" s="6" t="s">
        <v>588</v>
      </c>
      <c r="B176" s="6" t="s">
        <v>589</v>
      </c>
      <c r="C176" s="6" t="str">
        <f t="shared" si="1"/>
        <v>Maria Davis</v>
      </c>
      <c r="D176" s="6">
        <v>26.0</v>
      </c>
      <c r="E176" s="6" t="s">
        <v>21</v>
      </c>
      <c r="F176" s="6" t="str">
        <f t="shared" si="2"/>
        <v>Male</v>
      </c>
      <c r="G176" s="6" t="s">
        <v>590</v>
      </c>
      <c r="H176" s="6" t="s">
        <v>179</v>
      </c>
      <c r="I176" s="6" t="s">
        <v>17</v>
      </c>
      <c r="J176" s="6" t="s">
        <v>24</v>
      </c>
      <c r="K176" s="6" t="str">
        <f t="shared" si="3"/>
        <v>Gold</v>
      </c>
    </row>
    <row r="177" ht="14.25" customHeight="1">
      <c r="A177" s="6" t="s">
        <v>591</v>
      </c>
      <c r="B177" s="6" t="s">
        <v>592</v>
      </c>
      <c r="C177" s="6" t="str">
        <f t="shared" si="1"/>
        <v>Michelle Rogers</v>
      </c>
      <c r="D177" s="6">
        <v>56.0</v>
      </c>
      <c r="E177" s="6" t="s">
        <v>14</v>
      </c>
      <c r="F177" s="6" t="str">
        <f t="shared" si="2"/>
        <v>Female</v>
      </c>
      <c r="G177" s="6" t="s">
        <v>593</v>
      </c>
      <c r="H177" s="6" t="s">
        <v>107</v>
      </c>
      <c r="I177" s="6" t="s">
        <v>17</v>
      </c>
      <c r="J177" s="6" t="s">
        <v>18</v>
      </c>
      <c r="K177" s="6" t="str">
        <f t="shared" si="3"/>
        <v>Platinum</v>
      </c>
    </row>
    <row r="178" ht="14.25" customHeight="1">
      <c r="A178" s="6" t="s">
        <v>594</v>
      </c>
      <c r="B178" s="6" t="s">
        <v>595</v>
      </c>
      <c r="C178" s="6" t="str">
        <f t="shared" si="1"/>
        <v>John Bradford</v>
      </c>
      <c r="D178" s="6">
        <v>48.0</v>
      </c>
      <c r="E178" s="6" t="s">
        <v>14</v>
      </c>
      <c r="F178" s="6" t="str">
        <f t="shared" si="2"/>
        <v>Female</v>
      </c>
      <c r="G178" s="6" t="s">
        <v>596</v>
      </c>
      <c r="H178" s="6" t="s">
        <v>179</v>
      </c>
      <c r="I178" s="6" t="s">
        <v>17</v>
      </c>
      <c r="J178" s="6" t="s">
        <v>34</v>
      </c>
      <c r="K178" s="6" t="str">
        <f t="shared" si="3"/>
        <v>Silver</v>
      </c>
    </row>
    <row r="179" ht="14.25" customHeight="1">
      <c r="A179" s="6" t="s">
        <v>597</v>
      </c>
      <c r="B179" s="6" t="s">
        <v>598</v>
      </c>
      <c r="C179" s="6" t="str">
        <f t="shared" si="1"/>
        <v>Curtis Lam</v>
      </c>
      <c r="D179" s="6">
        <v>55.0</v>
      </c>
      <c r="E179" s="6" t="s">
        <v>14</v>
      </c>
      <c r="F179" s="6" t="str">
        <f t="shared" si="2"/>
        <v>Female</v>
      </c>
      <c r="G179" s="6" t="s">
        <v>599</v>
      </c>
      <c r="H179" s="6" t="s">
        <v>600</v>
      </c>
      <c r="I179" s="6" t="s">
        <v>17</v>
      </c>
      <c r="J179" s="6" t="s">
        <v>18</v>
      </c>
      <c r="K179" s="6" t="str">
        <f t="shared" si="3"/>
        <v>Platinum</v>
      </c>
    </row>
    <row r="180" ht="14.25" customHeight="1">
      <c r="A180" s="6" t="s">
        <v>601</v>
      </c>
      <c r="B180" s="6" t="s">
        <v>602</v>
      </c>
      <c r="C180" s="6" t="str">
        <f t="shared" si="1"/>
        <v>Michelle Myers</v>
      </c>
      <c r="D180" s="6">
        <v>33.0</v>
      </c>
      <c r="E180" s="6" t="s">
        <v>21</v>
      </c>
      <c r="F180" s="6" t="str">
        <f t="shared" si="2"/>
        <v>Male</v>
      </c>
      <c r="G180" s="6" t="s">
        <v>603</v>
      </c>
      <c r="H180" s="6" t="s">
        <v>325</v>
      </c>
      <c r="I180" s="6" t="s">
        <v>17</v>
      </c>
      <c r="J180" s="6" t="s">
        <v>29</v>
      </c>
      <c r="K180" s="6" t="str">
        <f t="shared" si="3"/>
        <v>Bronze</v>
      </c>
    </row>
    <row r="181" ht="14.25" customHeight="1">
      <c r="A181" s="6" t="s">
        <v>604</v>
      </c>
      <c r="B181" s="6" t="s">
        <v>605</v>
      </c>
      <c r="C181" s="6" t="str">
        <f t="shared" si="1"/>
        <v>Nicholas Bradshaw</v>
      </c>
      <c r="D181" s="6">
        <v>43.0</v>
      </c>
      <c r="E181" s="6" t="s">
        <v>21</v>
      </c>
      <c r="F181" s="6" t="str">
        <f t="shared" si="2"/>
        <v>Male</v>
      </c>
      <c r="G181" s="6" t="s">
        <v>606</v>
      </c>
      <c r="H181" s="6" t="s">
        <v>125</v>
      </c>
      <c r="I181" s="6" t="s">
        <v>17</v>
      </c>
      <c r="J181" s="6" t="s">
        <v>34</v>
      </c>
      <c r="K181" s="6" t="str">
        <f t="shared" si="3"/>
        <v>Silver</v>
      </c>
    </row>
    <row r="182" ht="14.25" customHeight="1">
      <c r="A182" s="6" t="s">
        <v>607</v>
      </c>
      <c r="B182" s="6" t="s">
        <v>608</v>
      </c>
      <c r="C182" s="6" t="str">
        <f t="shared" si="1"/>
        <v>Wesley Thompson</v>
      </c>
      <c r="D182" s="6">
        <v>38.0</v>
      </c>
      <c r="E182" s="6" t="s">
        <v>14</v>
      </c>
      <c r="F182" s="6" t="str">
        <f t="shared" si="2"/>
        <v>Female</v>
      </c>
      <c r="G182" s="6" t="s">
        <v>609</v>
      </c>
      <c r="H182" s="6" t="s">
        <v>443</v>
      </c>
      <c r="I182" s="6" t="s">
        <v>17</v>
      </c>
      <c r="J182" s="6" t="s">
        <v>29</v>
      </c>
      <c r="K182" s="6" t="str">
        <f t="shared" si="3"/>
        <v>Bronze</v>
      </c>
    </row>
    <row r="183" ht="14.25" customHeight="1">
      <c r="A183" s="6" t="s">
        <v>610</v>
      </c>
      <c r="B183" s="6" t="s">
        <v>611</v>
      </c>
      <c r="C183" s="6" t="str">
        <f t="shared" si="1"/>
        <v>Erin Ward</v>
      </c>
      <c r="D183" s="6">
        <v>60.0</v>
      </c>
      <c r="E183" s="6" t="s">
        <v>14</v>
      </c>
      <c r="F183" s="6" t="str">
        <f t="shared" si="2"/>
        <v>Female</v>
      </c>
      <c r="G183" s="6" t="s">
        <v>612</v>
      </c>
      <c r="H183" s="6" t="s">
        <v>65</v>
      </c>
      <c r="I183" s="6" t="s">
        <v>17</v>
      </c>
      <c r="J183" s="6" t="s">
        <v>29</v>
      </c>
      <c r="K183" s="6" t="str">
        <f t="shared" si="3"/>
        <v>Bronze</v>
      </c>
    </row>
    <row r="184" ht="14.25" customHeight="1">
      <c r="A184" s="6" t="s">
        <v>613</v>
      </c>
      <c r="B184" s="6" t="s">
        <v>614</v>
      </c>
      <c r="C184" s="6" t="str">
        <f t="shared" si="1"/>
        <v>Melissa Hamilton</v>
      </c>
      <c r="D184" s="6">
        <v>23.0</v>
      </c>
      <c r="E184" s="6" t="s">
        <v>21</v>
      </c>
      <c r="F184" s="6" t="str">
        <f t="shared" si="2"/>
        <v>Male</v>
      </c>
      <c r="G184" s="6" t="s">
        <v>615</v>
      </c>
      <c r="H184" s="6" t="s">
        <v>103</v>
      </c>
      <c r="I184" s="6" t="s">
        <v>17</v>
      </c>
      <c r="J184" s="6" t="s">
        <v>34</v>
      </c>
      <c r="K184" s="6" t="str">
        <f t="shared" si="3"/>
        <v>Silver</v>
      </c>
    </row>
    <row r="185" ht="14.25" customHeight="1">
      <c r="A185" s="6" t="s">
        <v>616</v>
      </c>
      <c r="B185" s="6" t="s">
        <v>617</v>
      </c>
      <c r="C185" s="6" t="str">
        <f t="shared" si="1"/>
        <v>Mario Jacobs</v>
      </c>
      <c r="D185" s="6">
        <v>18.0</v>
      </c>
      <c r="E185" s="6" t="s">
        <v>14</v>
      </c>
      <c r="F185" s="6" t="str">
        <f t="shared" si="2"/>
        <v>Female</v>
      </c>
      <c r="G185" s="6" t="s">
        <v>618</v>
      </c>
      <c r="H185" s="6" t="s">
        <v>65</v>
      </c>
      <c r="I185" s="6" t="s">
        <v>17</v>
      </c>
      <c r="J185" s="6" t="s">
        <v>18</v>
      </c>
      <c r="K185" s="6" t="str">
        <f t="shared" si="3"/>
        <v>Platinum</v>
      </c>
    </row>
    <row r="186" ht="14.25" customHeight="1">
      <c r="A186" s="6" t="s">
        <v>619</v>
      </c>
      <c r="B186" s="6" t="s">
        <v>620</v>
      </c>
      <c r="C186" s="6" t="str">
        <f t="shared" si="1"/>
        <v>Leonard Cochran</v>
      </c>
      <c r="D186" s="6">
        <v>46.0</v>
      </c>
      <c r="E186" s="6" t="s">
        <v>21</v>
      </c>
      <c r="F186" s="6" t="str">
        <f t="shared" si="2"/>
        <v>Male</v>
      </c>
      <c r="G186" s="6" t="s">
        <v>621</v>
      </c>
      <c r="H186" s="6" t="s">
        <v>23</v>
      </c>
      <c r="I186" s="6" t="s">
        <v>17</v>
      </c>
      <c r="J186" s="6" t="s">
        <v>34</v>
      </c>
      <c r="K186" s="6" t="str">
        <f t="shared" si="3"/>
        <v>Silver</v>
      </c>
    </row>
    <row r="187" ht="14.25" customHeight="1">
      <c r="A187" s="6" t="s">
        <v>622</v>
      </c>
      <c r="B187" s="6" t="s">
        <v>623</v>
      </c>
      <c r="C187" s="6" t="str">
        <f t="shared" si="1"/>
        <v>Brent Rivas</v>
      </c>
      <c r="D187" s="6">
        <v>54.0</v>
      </c>
      <c r="E187" s="6" t="s">
        <v>21</v>
      </c>
      <c r="F187" s="6" t="str">
        <f t="shared" si="2"/>
        <v>Male</v>
      </c>
      <c r="G187" s="6" t="s">
        <v>624</v>
      </c>
      <c r="H187" s="6" t="s">
        <v>95</v>
      </c>
      <c r="I187" s="6" t="s">
        <v>17</v>
      </c>
      <c r="J187" s="6" t="s">
        <v>18</v>
      </c>
      <c r="K187" s="6" t="str">
        <f t="shared" si="3"/>
        <v>Platinum</v>
      </c>
    </row>
    <row r="188" ht="14.25" customHeight="1">
      <c r="A188" s="6" t="s">
        <v>625</v>
      </c>
      <c r="B188" s="6" t="s">
        <v>626</v>
      </c>
      <c r="C188" s="6" t="str">
        <f t="shared" si="1"/>
        <v>Jennifer Pruitt</v>
      </c>
      <c r="D188" s="6">
        <v>53.0</v>
      </c>
      <c r="E188" s="6" t="s">
        <v>14</v>
      </c>
      <c r="F188" s="6" t="str">
        <f t="shared" si="2"/>
        <v>Female</v>
      </c>
      <c r="G188" s="6" t="s">
        <v>627</v>
      </c>
      <c r="H188" s="6" t="s">
        <v>121</v>
      </c>
      <c r="I188" s="6" t="s">
        <v>17</v>
      </c>
      <c r="J188" s="6" t="s">
        <v>34</v>
      </c>
      <c r="K188" s="6" t="str">
        <f t="shared" si="3"/>
        <v>Silver</v>
      </c>
    </row>
    <row r="189" ht="14.25" customHeight="1">
      <c r="A189" s="6" t="s">
        <v>628</v>
      </c>
      <c r="B189" s="6" t="s">
        <v>629</v>
      </c>
      <c r="C189" s="6" t="str">
        <f t="shared" si="1"/>
        <v>Dr. Suzanne Bullock</v>
      </c>
      <c r="D189" s="6">
        <v>60.0</v>
      </c>
      <c r="E189" s="6" t="s">
        <v>21</v>
      </c>
      <c r="F189" s="6" t="str">
        <f t="shared" si="2"/>
        <v>Male</v>
      </c>
      <c r="G189" s="6" t="s">
        <v>630</v>
      </c>
      <c r="H189" s="6" t="s">
        <v>28</v>
      </c>
      <c r="I189" s="6" t="s">
        <v>17</v>
      </c>
      <c r="J189" s="6" t="s">
        <v>18</v>
      </c>
      <c r="K189" s="6" t="str">
        <f t="shared" si="3"/>
        <v>Platinum</v>
      </c>
    </row>
    <row r="190" ht="14.25" customHeight="1">
      <c r="A190" s="6" t="s">
        <v>631</v>
      </c>
      <c r="B190" s="6" t="s">
        <v>632</v>
      </c>
      <c r="C190" s="6" t="str">
        <f t="shared" si="1"/>
        <v>Kimberly Brooks</v>
      </c>
      <c r="D190" s="6">
        <v>42.0</v>
      </c>
      <c r="E190" s="6" t="s">
        <v>14</v>
      </c>
      <c r="F190" s="6" t="str">
        <f t="shared" si="2"/>
        <v>Female</v>
      </c>
      <c r="G190" s="6" t="s">
        <v>633</v>
      </c>
      <c r="H190" s="6" t="s">
        <v>241</v>
      </c>
      <c r="I190" s="6" t="s">
        <v>17</v>
      </c>
      <c r="J190" s="6" t="s">
        <v>34</v>
      </c>
      <c r="K190" s="6" t="str">
        <f t="shared" si="3"/>
        <v>Silver</v>
      </c>
    </row>
    <row r="191" ht="14.25" customHeight="1">
      <c r="A191" s="6" t="s">
        <v>634</v>
      </c>
      <c r="B191" s="6" t="s">
        <v>635</v>
      </c>
      <c r="C191" s="6" t="str">
        <f t="shared" si="1"/>
        <v>Daniel Austin</v>
      </c>
      <c r="D191" s="6">
        <v>29.0</v>
      </c>
      <c r="E191" s="6" t="s">
        <v>14</v>
      </c>
      <c r="F191" s="6" t="str">
        <f t="shared" si="2"/>
        <v>Female</v>
      </c>
      <c r="G191" s="6" t="s">
        <v>636</v>
      </c>
      <c r="H191" s="6" t="s">
        <v>600</v>
      </c>
      <c r="I191" s="6" t="s">
        <v>17</v>
      </c>
      <c r="J191" s="6" t="s">
        <v>24</v>
      </c>
      <c r="K191" s="6" t="str">
        <f t="shared" si="3"/>
        <v>Gold</v>
      </c>
    </row>
    <row r="192" ht="14.25" customHeight="1">
      <c r="A192" s="6" t="s">
        <v>637</v>
      </c>
      <c r="B192" s="6" t="s">
        <v>638</v>
      </c>
      <c r="C192" s="6" t="str">
        <f t="shared" si="1"/>
        <v>Christopher Stewart</v>
      </c>
      <c r="D192" s="6">
        <v>21.0</v>
      </c>
      <c r="E192" s="6" t="s">
        <v>14</v>
      </c>
      <c r="F192" s="6" t="str">
        <f t="shared" si="2"/>
        <v>Female</v>
      </c>
      <c r="G192" s="6" t="s">
        <v>639</v>
      </c>
      <c r="H192" s="6" t="s">
        <v>65</v>
      </c>
      <c r="I192" s="6" t="s">
        <v>17</v>
      </c>
      <c r="J192" s="6" t="s">
        <v>29</v>
      </c>
      <c r="K192" s="6" t="str">
        <f t="shared" si="3"/>
        <v>Bronze</v>
      </c>
    </row>
    <row r="193" ht="14.25" customHeight="1">
      <c r="A193" s="6" t="s">
        <v>640</v>
      </c>
      <c r="B193" s="6" t="s">
        <v>641</v>
      </c>
      <c r="C193" s="6" t="str">
        <f t="shared" si="1"/>
        <v>Todd Poole</v>
      </c>
      <c r="D193" s="6">
        <v>29.0</v>
      </c>
      <c r="E193" s="6" t="s">
        <v>21</v>
      </c>
      <c r="F193" s="6" t="str">
        <f t="shared" si="2"/>
        <v>Male</v>
      </c>
      <c r="G193" s="6" t="s">
        <v>642</v>
      </c>
      <c r="H193" s="6" t="s">
        <v>33</v>
      </c>
      <c r="I193" s="6" t="s">
        <v>17</v>
      </c>
      <c r="J193" s="6" t="s">
        <v>29</v>
      </c>
      <c r="K193" s="6" t="str">
        <f t="shared" si="3"/>
        <v>Bronze</v>
      </c>
    </row>
    <row r="194" ht="14.25" customHeight="1">
      <c r="A194" s="6" t="s">
        <v>643</v>
      </c>
      <c r="B194" s="6" t="s">
        <v>644</v>
      </c>
      <c r="C194" s="6" t="str">
        <f t="shared" si="1"/>
        <v>Jacob Wood</v>
      </c>
      <c r="D194" s="6">
        <v>26.0</v>
      </c>
      <c r="E194" s="6" t="s">
        <v>14</v>
      </c>
      <c r="F194" s="6" t="str">
        <f t="shared" si="2"/>
        <v>Female</v>
      </c>
      <c r="G194" s="6" t="s">
        <v>645</v>
      </c>
      <c r="H194" s="6" t="s">
        <v>114</v>
      </c>
      <c r="I194" s="6" t="s">
        <v>17</v>
      </c>
      <c r="J194" s="6" t="s">
        <v>24</v>
      </c>
      <c r="K194" s="6" t="str">
        <f t="shared" si="3"/>
        <v>Gold</v>
      </c>
    </row>
    <row r="195" ht="14.25" customHeight="1">
      <c r="A195" s="6" t="s">
        <v>646</v>
      </c>
      <c r="B195" s="6" t="s">
        <v>647</v>
      </c>
      <c r="C195" s="6" t="str">
        <f t="shared" si="1"/>
        <v>David Roberts</v>
      </c>
      <c r="D195" s="6">
        <v>38.0</v>
      </c>
      <c r="E195" s="6" t="s">
        <v>14</v>
      </c>
      <c r="F195" s="6" t="str">
        <f t="shared" si="2"/>
        <v>Female</v>
      </c>
      <c r="G195" s="6" t="s">
        <v>648</v>
      </c>
      <c r="H195" s="6" t="s">
        <v>88</v>
      </c>
      <c r="I195" s="6" t="s">
        <v>17</v>
      </c>
      <c r="J195" s="6" t="s">
        <v>24</v>
      </c>
      <c r="K195" s="6" t="str">
        <f t="shared" si="3"/>
        <v>Gold</v>
      </c>
    </row>
    <row r="196" ht="14.25" customHeight="1">
      <c r="A196" s="6" t="s">
        <v>649</v>
      </c>
      <c r="B196" s="6" t="s">
        <v>650</v>
      </c>
      <c r="C196" s="6" t="str">
        <f t="shared" si="1"/>
        <v>Ashley Ferguson</v>
      </c>
      <c r="D196" s="6">
        <v>46.0</v>
      </c>
      <c r="E196" s="6" t="s">
        <v>14</v>
      </c>
      <c r="F196" s="6" t="str">
        <f t="shared" si="2"/>
        <v>Female</v>
      </c>
      <c r="G196" s="6" t="s">
        <v>651</v>
      </c>
      <c r="H196" s="6" t="s">
        <v>58</v>
      </c>
      <c r="I196" s="6" t="s">
        <v>17</v>
      </c>
      <c r="J196" s="6" t="s">
        <v>24</v>
      </c>
      <c r="K196" s="6" t="str">
        <f t="shared" si="3"/>
        <v>Gold</v>
      </c>
    </row>
    <row r="197" ht="14.25" customHeight="1">
      <c r="A197" s="6" t="s">
        <v>652</v>
      </c>
      <c r="B197" s="6" t="s">
        <v>653</v>
      </c>
      <c r="C197" s="6" t="str">
        <f t="shared" si="1"/>
        <v>Anthony Garcia</v>
      </c>
      <c r="D197" s="6">
        <v>60.0</v>
      </c>
      <c r="E197" s="6" t="s">
        <v>14</v>
      </c>
      <c r="F197" s="6" t="str">
        <f t="shared" si="2"/>
        <v>Female</v>
      </c>
      <c r="G197" s="6" t="s">
        <v>654</v>
      </c>
      <c r="H197" s="6" t="s">
        <v>141</v>
      </c>
      <c r="I197" s="6" t="s">
        <v>17</v>
      </c>
      <c r="J197" s="6" t="s">
        <v>34</v>
      </c>
      <c r="K197" s="6" t="str">
        <f t="shared" si="3"/>
        <v>Silver</v>
      </c>
    </row>
    <row r="198" ht="14.25" customHeight="1">
      <c r="A198" s="6" t="s">
        <v>655</v>
      </c>
      <c r="B198" s="6" t="s">
        <v>656</v>
      </c>
      <c r="C198" s="6" t="str">
        <f t="shared" si="1"/>
        <v>Megan Greer</v>
      </c>
      <c r="D198" s="6">
        <v>18.0</v>
      </c>
      <c r="E198" s="6" t="s">
        <v>21</v>
      </c>
      <c r="F198" s="6" t="str">
        <f t="shared" si="2"/>
        <v>Male</v>
      </c>
      <c r="G198" s="6" t="s">
        <v>657</v>
      </c>
      <c r="H198" s="6" t="s">
        <v>171</v>
      </c>
      <c r="I198" s="6" t="s">
        <v>17</v>
      </c>
      <c r="J198" s="6" t="s">
        <v>18</v>
      </c>
      <c r="K198" s="6" t="str">
        <f t="shared" si="3"/>
        <v>Platinum</v>
      </c>
    </row>
    <row r="199" ht="14.25" customHeight="1">
      <c r="A199" s="6" t="s">
        <v>658</v>
      </c>
      <c r="B199" s="6" t="s">
        <v>659</v>
      </c>
      <c r="C199" s="6" t="str">
        <f t="shared" si="1"/>
        <v>Andrea Jacobs</v>
      </c>
      <c r="D199" s="6">
        <v>45.0</v>
      </c>
      <c r="E199" s="6" t="s">
        <v>21</v>
      </c>
      <c r="F199" s="6" t="str">
        <f t="shared" si="2"/>
        <v>Male</v>
      </c>
      <c r="G199" s="6" t="s">
        <v>215</v>
      </c>
      <c r="H199" s="6" t="s">
        <v>209</v>
      </c>
      <c r="I199" s="6" t="s">
        <v>17</v>
      </c>
      <c r="J199" s="6" t="s">
        <v>18</v>
      </c>
      <c r="K199" s="6" t="str">
        <f t="shared" si="3"/>
        <v>Platinum</v>
      </c>
    </row>
    <row r="200" ht="14.25" customHeight="1">
      <c r="A200" s="6" t="s">
        <v>660</v>
      </c>
      <c r="B200" s="6" t="s">
        <v>661</v>
      </c>
      <c r="C200" s="6" t="str">
        <f t="shared" si="1"/>
        <v>Wanda Snyder</v>
      </c>
      <c r="D200" s="6">
        <v>54.0</v>
      </c>
      <c r="E200" s="6" t="s">
        <v>14</v>
      </c>
      <c r="F200" s="6" t="str">
        <f t="shared" si="2"/>
        <v>Female</v>
      </c>
      <c r="G200" s="6" t="s">
        <v>662</v>
      </c>
      <c r="H200" s="6" t="s">
        <v>179</v>
      </c>
      <c r="I200" s="6" t="s">
        <v>17</v>
      </c>
      <c r="J200" s="6" t="s">
        <v>29</v>
      </c>
      <c r="K200" s="6" t="str">
        <f t="shared" si="3"/>
        <v>Bronze</v>
      </c>
    </row>
    <row r="201" ht="14.25" customHeight="1">
      <c r="A201" s="6" t="s">
        <v>663</v>
      </c>
      <c r="B201" s="6" t="s">
        <v>664</v>
      </c>
      <c r="C201" s="6" t="str">
        <f t="shared" si="1"/>
        <v>Carmen Price</v>
      </c>
      <c r="D201" s="6">
        <v>46.0</v>
      </c>
      <c r="E201" s="6" t="s">
        <v>14</v>
      </c>
      <c r="F201" s="6" t="str">
        <f t="shared" si="2"/>
        <v>Female</v>
      </c>
      <c r="G201" s="6" t="s">
        <v>665</v>
      </c>
      <c r="H201" s="6" t="s">
        <v>245</v>
      </c>
      <c r="I201" s="6" t="s">
        <v>17</v>
      </c>
      <c r="J201" s="6" t="s">
        <v>29</v>
      </c>
      <c r="K201" s="6" t="str">
        <f t="shared" si="3"/>
        <v>Bronze</v>
      </c>
    </row>
    <row r="202" ht="14.25" customHeight="1">
      <c r="A202" s="6" t="s">
        <v>666</v>
      </c>
      <c r="B202" s="6" t="s">
        <v>667</v>
      </c>
      <c r="C202" s="6" t="str">
        <f t="shared" si="1"/>
        <v>Anna Perez</v>
      </c>
      <c r="D202" s="6">
        <v>30.0</v>
      </c>
      <c r="E202" s="6" t="s">
        <v>14</v>
      </c>
      <c r="F202" s="6" t="str">
        <f t="shared" si="2"/>
        <v>Female</v>
      </c>
      <c r="G202" s="6" t="s">
        <v>668</v>
      </c>
      <c r="H202" s="6" t="s">
        <v>443</v>
      </c>
      <c r="I202" s="6" t="s">
        <v>17</v>
      </c>
      <c r="J202" s="6" t="s">
        <v>18</v>
      </c>
      <c r="K202" s="6" t="str">
        <f t="shared" si="3"/>
        <v>Platinum</v>
      </c>
    </row>
    <row r="203" ht="14.25" customHeight="1">
      <c r="A203" s="6" t="s">
        <v>669</v>
      </c>
      <c r="B203" s="6" t="s">
        <v>670</v>
      </c>
      <c r="C203" s="6" t="str">
        <f t="shared" si="1"/>
        <v>Mary Boyd</v>
      </c>
      <c r="D203" s="6">
        <v>25.0</v>
      </c>
      <c r="E203" s="6" t="s">
        <v>21</v>
      </c>
      <c r="F203" s="6" t="str">
        <f t="shared" si="2"/>
        <v>Male</v>
      </c>
      <c r="G203" s="6" t="s">
        <v>671</v>
      </c>
      <c r="H203" s="6" t="s">
        <v>164</v>
      </c>
      <c r="I203" s="6" t="s">
        <v>17</v>
      </c>
      <c r="J203" s="6" t="s">
        <v>29</v>
      </c>
      <c r="K203" s="6" t="str">
        <f t="shared" si="3"/>
        <v>Bronze</v>
      </c>
    </row>
    <row r="204" ht="14.25" customHeight="1">
      <c r="A204" s="6" t="s">
        <v>672</v>
      </c>
      <c r="B204" s="6" t="s">
        <v>673</v>
      </c>
      <c r="C204" s="6" t="str">
        <f t="shared" si="1"/>
        <v>Christina Garcia</v>
      </c>
      <c r="D204" s="6">
        <v>37.0</v>
      </c>
      <c r="E204" s="6" t="s">
        <v>21</v>
      </c>
      <c r="F204" s="6" t="str">
        <f t="shared" si="2"/>
        <v>Male</v>
      </c>
      <c r="G204" s="6" t="s">
        <v>674</v>
      </c>
      <c r="H204" s="6" t="s">
        <v>69</v>
      </c>
      <c r="I204" s="6" t="s">
        <v>17</v>
      </c>
      <c r="J204" s="6" t="s">
        <v>18</v>
      </c>
      <c r="K204" s="6" t="str">
        <f t="shared" si="3"/>
        <v>Platinum</v>
      </c>
    </row>
    <row r="205" ht="14.25" customHeight="1">
      <c r="A205" s="6" t="s">
        <v>675</v>
      </c>
      <c r="B205" s="6" t="s">
        <v>676</v>
      </c>
      <c r="C205" s="6" t="str">
        <f t="shared" si="1"/>
        <v>Sarah Brady</v>
      </c>
      <c r="D205" s="6">
        <v>47.0</v>
      </c>
      <c r="E205" s="6" t="s">
        <v>14</v>
      </c>
      <c r="F205" s="6" t="str">
        <f t="shared" si="2"/>
        <v>Female</v>
      </c>
      <c r="G205" s="6" t="s">
        <v>677</v>
      </c>
      <c r="H205" s="6" t="s">
        <v>275</v>
      </c>
      <c r="I205" s="6" t="s">
        <v>17</v>
      </c>
      <c r="J205" s="6" t="s">
        <v>18</v>
      </c>
      <c r="K205" s="6" t="str">
        <f t="shared" si="3"/>
        <v>Platinum</v>
      </c>
    </row>
    <row r="206" ht="14.25" customHeight="1">
      <c r="A206" s="6" t="s">
        <v>678</v>
      </c>
      <c r="B206" s="6" t="s">
        <v>679</v>
      </c>
      <c r="C206" s="6" t="str">
        <f t="shared" si="1"/>
        <v>Tiffany Herrera</v>
      </c>
      <c r="D206" s="6">
        <v>52.0</v>
      </c>
      <c r="E206" s="6" t="s">
        <v>14</v>
      </c>
      <c r="F206" s="6" t="str">
        <f t="shared" si="2"/>
        <v>Female</v>
      </c>
      <c r="G206" s="6" t="s">
        <v>680</v>
      </c>
      <c r="H206" s="6" t="s">
        <v>295</v>
      </c>
      <c r="I206" s="6" t="s">
        <v>17</v>
      </c>
      <c r="J206" s="6" t="s">
        <v>18</v>
      </c>
      <c r="K206" s="6" t="str">
        <f t="shared" si="3"/>
        <v>Platinum</v>
      </c>
    </row>
    <row r="207" ht="14.25" customHeight="1">
      <c r="A207" s="6" t="s">
        <v>681</v>
      </c>
      <c r="B207" s="6" t="s">
        <v>682</v>
      </c>
      <c r="C207" s="6" t="str">
        <f t="shared" si="1"/>
        <v>Michelle Carpenter</v>
      </c>
      <c r="D207" s="6">
        <v>44.0</v>
      </c>
      <c r="E207" s="6" t="s">
        <v>21</v>
      </c>
      <c r="F207" s="6" t="str">
        <f t="shared" si="2"/>
        <v>Male</v>
      </c>
      <c r="G207" s="6" t="s">
        <v>683</v>
      </c>
      <c r="H207" s="6" t="s">
        <v>95</v>
      </c>
      <c r="I207" s="6" t="s">
        <v>17</v>
      </c>
      <c r="J207" s="6" t="s">
        <v>24</v>
      </c>
      <c r="K207" s="6" t="str">
        <f t="shared" si="3"/>
        <v>Gold</v>
      </c>
    </row>
    <row r="208" ht="14.25" customHeight="1">
      <c r="A208" s="6" t="s">
        <v>684</v>
      </c>
      <c r="B208" s="6" t="s">
        <v>685</v>
      </c>
      <c r="C208" s="6" t="str">
        <f t="shared" si="1"/>
        <v>Ronald Jones</v>
      </c>
      <c r="D208" s="6">
        <v>26.0</v>
      </c>
      <c r="E208" s="6" t="s">
        <v>21</v>
      </c>
      <c r="F208" s="6" t="str">
        <f t="shared" si="2"/>
        <v>Male</v>
      </c>
      <c r="G208" s="6" t="s">
        <v>686</v>
      </c>
      <c r="H208" s="6" t="s">
        <v>245</v>
      </c>
      <c r="I208" s="6" t="s">
        <v>17</v>
      </c>
      <c r="J208" s="6" t="s">
        <v>34</v>
      </c>
      <c r="K208" s="6" t="str">
        <f t="shared" si="3"/>
        <v>Silver</v>
      </c>
    </row>
    <row r="209" ht="14.25" customHeight="1">
      <c r="A209" s="6" t="s">
        <v>687</v>
      </c>
      <c r="B209" s="6" t="s">
        <v>688</v>
      </c>
      <c r="C209" s="6" t="str">
        <f t="shared" si="1"/>
        <v>Jacqueline Pacheco</v>
      </c>
      <c r="D209" s="6">
        <v>28.0</v>
      </c>
      <c r="E209" s="6" t="s">
        <v>21</v>
      </c>
      <c r="F209" s="6" t="str">
        <f t="shared" si="2"/>
        <v>Male</v>
      </c>
      <c r="G209" s="6" t="s">
        <v>689</v>
      </c>
      <c r="H209" s="6" t="s">
        <v>95</v>
      </c>
      <c r="I209" s="6" t="s">
        <v>17</v>
      </c>
      <c r="J209" s="6" t="s">
        <v>29</v>
      </c>
      <c r="K209" s="6" t="str">
        <f t="shared" si="3"/>
        <v>Bronze</v>
      </c>
    </row>
    <row r="210" ht="14.25" customHeight="1">
      <c r="A210" s="6" t="s">
        <v>690</v>
      </c>
      <c r="B210" s="6" t="s">
        <v>691</v>
      </c>
      <c r="C210" s="6" t="str">
        <f t="shared" si="1"/>
        <v>John Perez</v>
      </c>
      <c r="D210" s="6">
        <v>54.0</v>
      </c>
      <c r="E210" s="6" t="s">
        <v>14</v>
      </c>
      <c r="F210" s="6" t="str">
        <f t="shared" si="2"/>
        <v>Female</v>
      </c>
      <c r="G210" s="6" t="s">
        <v>692</v>
      </c>
      <c r="H210" s="6" t="s">
        <v>336</v>
      </c>
      <c r="I210" s="6" t="s">
        <v>17</v>
      </c>
      <c r="J210" s="6" t="s">
        <v>18</v>
      </c>
      <c r="K210" s="6" t="str">
        <f t="shared" si="3"/>
        <v>Platinum</v>
      </c>
    </row>
    <row r="211" ht="14.25" customHeight="1">
      <c r="A211" s="6" t="s">
        <v>693</v>
      </c>
      <c r="B211" s="6" t="s">
        <v>694</v>
      </c>
      <c r="C211" s="6" t="str">
        <f t="shared" si="1"/>
        <v>Joan Johnson</v>
      </c>
      <c r="D211" s="6">
        <v>50.0</v>
      </c>
      <c r="E211" s="6" t="s">
        <v>21</v>
      </c>
      <c r="F211" s="6" t="str">
        <f t="shared" si="2"/>
        <v>Male</v>
      </c>
      <c r="G211" s="6" t="s">
        <v>695</v>
      </c>
      <c r="H211" s="6" t="s">
        <v>443</v>
      </c>
      <c r="I211" s="6" t="s">
        <v>17</v>
      </c>
      <c r="J211" s="6" t="s">
        <v>18</v>
      </c>
      <c r="K211" s="6" t="str">
        <f t="shared" si="3"/>
        <v>Platinum</v>
      </c>
    </row>
    <row r="212" ht="14.25" customHeight="1">
      <c r="A212" s="6" t="s">
        <v>696</v>
      </c>
      <c r="B212" s="6" t="s">
        <v>697</v>
      </c>
      <c r="C212" s="6" t="str">
        <f t="shared" si="1"/>
        <v>Antonio Jones</v>
      </c>
      <c r="D212" s="6">
        <v>48.0</v>
      </c>
      <c r="E212" s="6" t="s">
        <v>14</v>
      </c>
      <c r="F212" s="6" t="str">
        <f t="shared" si="2"/>
        <v>Female</v>
      </c>
      <c r="G212" s="6" t="s">
        <v>698</v>
      </c>
      <c r="H212" s="6" t="s">
        <v>88</v>
      </c>
      <c r="I212" s="6" t="s">
        <v>17</v>
      </c>
      <c r="J212" s="6" t="s">
        <v>34</v>
      </c>
      <c r="K212" s="6" t="str">
        <f t="shared" si="3"/>
        <v>Silver</v>
      </c>
    </row>
    <row r="213" ht="14.25" customHeight="1">
      <c r="A213" s="6" t="s">
        <v>699</v>
      </c>
      <c r="B213" s="6" t="s">
        <v>700</v>
      </c>
      <c r="C213" s="6" t="str">
        <f t="shared" si="1"/>
        <v>Rodney Huffman</v>
      </c>
      <c r="D213" s="6">
        <v>20.0</v>
      </c>
      <c r="E213" s="6" t="s">
        <v>21</v>
      </c>
      <c r="F213" s="6" t="str">
        <f t="shared" si="2"/>
        <v>Male</v>
      </c>
      <c r="G213" s="6" t="s">
        <v>701</v>
      </c>
      <c r="H213" s="6" t="s">
        <v>99</v>
      </c>
      <c r="I213" s="6" t="s">
        <v>17</v>
      </c>
      <c r="J213" s="6" t="s">
        <v>34</v>
      </c>
      <c r="K213" s="6" t="str">
        <f t="shared" si="3"/>
        <v>Silver</v>
      </c>
    </row>
    <row r="214" ht="14.25" customHeight="1">
      <c r="A214" s="6" t="s">
        <v>702</v>
      </c>
      <c r="B214" s="6" t="s">
        <v>703</v>
      </c>
      <c r="C214" s="6" t="str">
        <f t="shared" si="1"/>
        <v>Blake Harrison</v>
      </c>
      <c r="D214" s="6">
        <v>63.0</v>
      </c>
      <c r="E214" s="6" t="s">
        <v>21</v>
      </c>
      <c r="F214" s="6" t="str">
        <f t="shared" si="2"/>
        <v>Male</v>
      </c>
      <c r="G214" s="6" t="s">
        <v>704</v>
      </c>
      <c r="H214" s="6" t="s">
        <v>81</v>
      </c>
      <c r="I214" s="6" t="s">
        <v>17</v>
      </c>
      <c r="J214" s="6" t="s">
        <v>18</v>
      </c>
      <c r="K214" s="6" t="str">
        <f t="shared" si="3"/>
        <v>Platinum</v>
      </c>
    </row>
    <row r="215" ht="14.25" customHeight="1">
      <c r="A215" s="6" t="s">
        <v>705</v>
      </c>
      <c r="B215" s="6" t="s">
        <v>706</v>
      </c>
      <c r="C215" s="6" t="str">
        <f t="shared" si="1"/>
        <v>Stuart Johnson</v>
      </c>
      <c r="D215" s="6">
        <v>42.0</v>
      </c>
      <c r="E215" s="6" t="s">
        <v>21</v>
      </c>
      <c r="F215" s="6" t="str">
        <f t="shared" si="2"/>
        <v>Male</v>
      </c>
      <c r="G215" s="6" t="s">
        <v>707</v>
      </c>
      <c r="H215" s="6" t="s">
        <v>23</v>
      </c>
      <c r="I215" s="6" t="s">
        <v>17</v>
      </c>
      <c r="J215" s="6" t="s">
        <v>18</v>
      </c>
      <c r="K215" s="6" t="str">
        <f t="shared" si="3"/>
        <v>Platinum</v>
      </c>
    </row>
    <row r="216" ht="14.25" customHeight="1">
      <c r="A216" s="6" t="s">
        <v>708</v>
      </c>
      <c r="B216" s="6" t="s">
        <v>709</v>
      </c>
      <c r="C216" s="6" t="str">
        <f t="shared" si="1"/>
        <v>Eric Todd</v>
      </c>
      <c r="D216" s="6">
        <v>61.0</v>
      </c>
      <c r="E216" s="6" t="s">
        <v>14</v>
      </c>
      <c r="F216" s="6" t="str">
        <f t="shared" si="2"/>
        <v>Female</v>
      </c>
      <c r="G216" s="6" t="s">
        <v>710</v>
      </c>
      <c r="H216" s="6" t="s">
        <v>73</v>
      </c>
      <c r="I216" s="6" t="s">
        <v>17</v>
      </c>
      <c r="J216" s="6" t="s">
        <v>24</v>
      </c>
      <c r="K216" s="6" t="str">
        <f t="shared" si="3"/>
        <v>Gold</v>
      </c>
    </row>
    <row r="217" ht="14.25" customHeight="1">
      <c r="A217" s="6" t="s">
        <v>711</v>
      </c>
      <c r="B217" s="6" t="s">
        <v>712</v>
      </c>
      <c r="C217" s="6" t="str">
        <f t="shared" si="1"/>
        <v>Steve Medina</v>
      </c>
      <c r="D217" s="6">
        <v>50.0</v>
      </c>
      <c r="E217" s="6" t="s">
        <v>21</v>
      </c>
      <c r="F217" s="6" t="str">
        <f t="shared" si="2"/>
        <v>Male</v>
      </c>
      <c r="G217" s="6" t="s">
        <v>713</v>
      </c>
      <c r="H217" s="6" t="s">
        <v>42</v>
      </c>
      <c r="I217" s="6" t="s">
        <v>17</v>
      </c>
      <c r="J217" s="6" t="s">
        <v>24</v>
      </c>
      <c r="K217" s="6" t="str">
        <f t="shared" si="3"/>
        <v>Gold</v>
      </c>
    </row>
    <row r="218" ht="14.25" customHeight="1">
      <c r="A218" s="6" t="s">
        <v>714</v>
      </c>
      <c r="B218" s="6" t="s">
        <v>715</v>
      </c>
      <c r="C218" s="6" t="str">
        <f t="shared" si="1"/>
        <v>Kathryn Garcia</v>
      </c>
      <c r="D218" s="6">
        <v>44.0</v>
      </c>
      <c r="E218" s="6" t="s">
        <v>14</v>
      </c>
      <c r="F218" s="6" t="str">
        <f t="shared" si="2"/>
        <v>Female</v>
      </c>
      <c r="G218" s="6" t="s">
        <v>716</v>
      </c>
      <c r="H218" s="6" t="s">
        <v>38</v>
      </c>
      <c r="I218" s="6" t="s">
        <v>17</v>
      </c>
      <c r="J218" s="6" t="s">
        <v>18</v>
      </c>
      <c r="K218" s="6" t="str">
        <f t="shared" si="3"/>
        <v>Platinum</v>
      </c>
    </row>
    <row r="219" ht="14.25" customHeight="1">
      <c r="A219" s="6" t="s">
        <v>717</v>
      </c>
      <c r="B219" s="6" t="s">
        <v>718</v>
      </c>
      <c r="C219" s="6" t="str">
        <f t="shared" si="1"/>
        <v>Kathy Copeland</v>
      </c>
      <c r="D219" s="6">
        <v>42.0</v>
      </c>
      <c r="E219" s="6" t="s">
        <v>14</v>
      </c>
      <c r="F219" s="6" t="str">
        <f t="shared" si="2"/>
        <v>Female</v>
      </c>
      <c r="G219" s="6" t="s">
        <v>719</v>
      </c>
      <c r="H219" s="6" t="s">
        <v>121</v>
      </c>
      <c r="I219" s="6" t="s">
        <v>17</v>
      </c>
      <c r="J219" s="6" t="s">
        <v>34</v>
      </c>
      <c r="K219" s="6" t="str">
        <f t="shared" si="3"/>
        <v>Silver</v>
      </c>
    </row>
    <row r="220" ht="14.25" customHeight="1">
      <c r="A220" s="6" t="s">
        <v>720</v>
      </c>
      <c r="B220" s="6" t="s">
        <v>721</v>
      </c>
      <c r="C220" s="6" t="str">
        <f t="shared" si="1"/>
        <v>Julia Jackson</v>
      </c>
      <c r="D220" s="6">
        <v>46.0</v>
      </c>
      <c r="E220" s="6" t="s">
        <v>14</v>
      </c>
      <c r="F220" s="6" t="str">
        <f t="shared" si="2"/>
        <v>Female</v>
      </c>
      <c r="G220" s="6" t="s">
        <v>722</v>
      </c>
      <c r="H220" s="6" t="s">
        <v>38</v>
      </c>
      <c r="I220" s="6" t="s">
        <v>17</v>
      </c>
      <c r="J220" s="6" t="s">
        <v>18</v>
      </c>
      <c r="K220" s="6" t="str">
        <f t="shared" si="3"/>
        <v>Platinum</v>
      </c>
    </row>
    <row r="221" ht="14.25" customHeight="1">
      <c r="A221" s="6" t="s">
        <v>723</v>
      </c>
      <c r="B221" s="6" t="s">
        <v>724</v>
      </c>
      <c r="C221" s="6" t="str">
        <f t="shared" si="1"/>
        <v>Jordan Wells</v>
      </c>
      <c r="D221" s="6">
        <v>47.0</v>
      </c>
      <c r="E221" s="6" t="s">
        <v>21</v>
      </c>
      <c r="F221" s="6" t="str">
        <f t="shared" si="2"/>
        <v>Male</v>
      </c>
      <c r="G221" s="6" t="s">
        <v>725</v>
      </c>
      <c r="H221" s="6" t="s">
        <v>95</v>
      </c>
      <c r="I221" s="6" t="s">
        <v>17</v>
      </c>
      <c r="J221" s="6" t="s">
        <v>24</v>
      </c>
      <c r="K221" s="6" t="str">
        <f t="shared" si="3"/>
        <v>Gold</v>
      </c>
    </row>
    <row r="222" ht="14.25" customHeight="1">
      <c r="A222" s="6" t="s">
        <v>726</v>
      </c>
      <c r="B222" s="6" t="s">
        <v>727</v>
      </c>
      <c r="C222" s="6" t="str">
        <f t="shared" si="1"/>
        <v>George Davis</v>
      </c>
      <c r="D222" s="6">
        <v>50.0</v>
      </c>
      <c r="E222" s="6" t="s">
        <v>21</v>
      </c>
      <c r="F222" s="6" t="str">
        <f t="shared" si="2"/>
        <v>Male</v>
      </c>
      <c r="G222" s="6" t="s">
        <v>728</v>
      </c>
      <c r="H222" s="6" t="s">
        <v>729</v>
      </c>
      <c r="I222" s="6" t="s">
        <v>587</v>
      </c>
      <c r="J222" s="6" t="s">
        <v>29</v>
      </c>
      <c r="K222" s="6" t="str">
        <f t="shared" si="3"/>
        <v>Bronze</v>
      </c>
    </row>
    <row r="223" ht="14.25" customHeight="1">
      <c r="A223" s="6" t="s">
        <v>730</v>
      </c>
      <c r="B223" s="6" t="s">
        <v>731</v>
      </c>
      <c r="C223" s="6" t="str">
        <f t="shared" si="1"/>
        <v>Lisa Young</v>
      </c>
      <c r="D223" s="6">
        <v>38.0</v>
      </c>
      <c r="E223" s="6" t="s">
        <v>14</v>
      </c>
      <c r="F223" s="6" t="str">
        <f t="shared" si="2"/>
        <v>Female</v>
      </c>
      <c r="G223" s="6" t="s">
        <v>732</v>
      </c>
      <c r="H223" s="6" t="s">
        <v>88</v>
      </c>
      <c r="I223" s="6" t="s">
        <v>17</v>
      </c>
      <c r="J223" s="6" t="s">
        <v>18</v>
      </c>
      <c r="K223" s="6" t="str">
        <f t="shared" si="3"/>
        <v>Platinum</v>
      </c>
    </row>
    <row r="224" ht="14.25" customHeight="1">
      <c r="A224" s="6" t="s">
        <v>733</v>
      </c>
      <c r="B224" s="6" t="s">
        <v>734</v>
      </c>
      <c r="C224" s="6" t="str">
        <f t="shared" si="1"/>
        <v>Alejandro Doyle</v>
      </c>
      <c r="D224" s="6">
        <v>35.0</v>
      </c>
      <c r="E224" s="6" t="s">
        <v>14</v>
      </c>
      <c r="F224" s="6" t="str">
        <f t="shared" si="2"/>
        <v>Female</v>
      </c>
      <c r="G224" s="6" t="s">
        <v>735</v>
      </c>
      <c r="H224" s="6" t="s">
        <v>241</v>
      </c>
      <c r="I224" s="6" t="s">
        <v>17</v>
      </c>
      <c r="J224" s="6" t="s">
        <v>18</v>
      </c>
      <c r="K224" s="6" t="str">
        <f t="shared" si="3"/>
        <v>Platinum</v>
      </c>
    </row>
    <row r="225" ht="14.25" customHeight="1">
      <c r="A225" s="6" t="s">
        <v>736</v>
      </c>
      <c r="B225" s="6" t="s">
        <v>737</v>
      </c>
      <c r="C225" s="6" t="str">
        <f t="shared" si="1"/>
        <v>Robert Harris</v>
      </c>
      <c r="D225" s="6">
        <v>50.0</v>
      </c>
      <c r="E225" s="6" t="s">
        <v>14</v>
      </c>
      <c r="F225" s="6" t="str">
        <f t="shared" si="2"/>
        <v>Female</v>
      </c>
      <c r="G225" s="6" t="s">
        <v>738</v>
      </c>
      <c r="H225" s="6" t="s">
        <v>275</v>
      </c>
      <c r="I225" s="6" t="s">
        <v>17</v>
      </c>
      <c r="J225" s="6" t="s">
        <v>18</v>
      </c>
      <c r="K225" s="6" t="str">
        <f t="shared" si="3"/>
        <v>Platinum</v>
      </c>
    </row>
    <row r="226" ht="14.25" customHeight="1">
      <c r="A226" s="6" t="s">
        <v>739</v>
      </c>
      <c r="B226" s="6" t="s">
        <v>740</v>
      </c>
      <c r="C226" s="6" t="str">
        <f t="shared" si="1"/>
        <v>Anthony Morgan</v>
      </c>
      <c r="D226" s="6">
        <v>29.0</v>
      </c>
      <c r="E226" s="6" t="s">
        <v>14</v>
      </c>
      <c r="F226" s="6" t="str">
        <f t="shared" si="2"/>
        <v>Female</v>
      </c>
      <c r="G226" s="6" t="s">
        <v>741</v>
      </c>
      <c r="H226" s="6" t="s">
        <v>121</v>
      </c>
      <c r="I226" s="6" t="s">
        <v>17</v>
      </c>
      <c r="J226" s="6" t="s">
        <v>34</v>
      </c>
      <c r="K226" s="6" t="str">
        <f t="shared" si="3"/>
        <v>Silver</v>
      </c>
    </row>
    <row r="227" ht="14.25" customHeight="1">
      <c r="A227" s="6" t="s">
        <v>742</v>
      </c>
      <c r="B227" s="6" t="s">
        <v>743</v>
      </c>
      <c r="C227" s="6" t="str">
        <f t="shared" si="1"/>
        <v>Elizabeth Stanley</v>
      </c>
      <c r="D227" s="6">
        <v>46.0</v>
      </c>
      <c r="E227" s="6" t="s">
        <v>21</v>
      </c>
      <c r="F227" s="6" t="str">
        <f t="shared" si="2"/>
        <v>Male</v>
      </c>
      <c r="G227" s="6" t="s">
        <v>744</v>
      </c>
      <c r="H227" s="6" t="s">
        <v>125</v>
      </c>
      <c r="I227" s="6" t="s">
        <v>17</v>
      </c>
      <c r="J227" s="6" t="s">
        <v>18</v>
      </c>
      <c r="K227" s="6" t="str">
        <f t="shared" si="3"/>
        <v>Platinum</v>
      </c>
    </row>
    <row r="228" ht="14.25" customHeight="1">
      <c r="A228" s="6" t="s">
        <v>745</v>
      </c>
      <c r="B228" s="6" t="s">
        <v>746</v>
      </c>
      <c r="C228" s="6" t="str">
        <f t="shared" si="1"/>
        <v>Alexis Castaneda</v>
      </c>
      <c r="D228" s="6">
        <v>54.0</v>
      </c>
      <c r="E228" s="6" t="s">
        <v>14</v>
      </c>
      <c r="F228" s="6" t="str">
        <f t="shared" si="2"/>
        <v>Female</v>
      </c>
      <c r="G228" s="6" t="s">
        <v>224</v>
      </c>
      <c r="H228" s="6" t="s">
        <v>171</v>
      </c>
      <c r="I228" s="6" t="s">
        <v>17</v>
      </c>
      <c r="J228" s="6" t="s">
        <v>24</v>
      </c>
      <c r="K228" s="6" t="str">
        <f t="shared" si="3"/>
        <v>Gold</v>
      </c>
    </row>
    <row r="229" ht="14.25" customHeight="1">
      <c r="A229" s="6" t="s">
        <v>747</v>
      </c>
      <c r="B229" s="6" t="s">
        <v>748</v>
      </c>
      <c r="C229" s="6" t="str">
        <f t="shared" si="1"/>
        <v>Gregory Pham</v>
      </c>
      <c r="D229" s="6">
        <v>63.0</v>
      </c>
      <c r="E229" s="6" t="s">
        <v>21</v>
      </c>
      <c r="F229" s="6" t="str">
        <f t="shared" si="2"/>
        <v>Male</v>
      </c>
      <c r="G229" s="6" t="s">
        <v>749</v>
      </c>
      <c r="H229" s="6" t="s">
        <v>69</v>
      </c>
      <c r="I229" s="6" t="s">
        <v>17</v>
      </c>
      <c r="J229" s="6" t="s">
        <v>24</v>
      </c>
      <c r="K229" s="6" t="str">
        <f t="shared" si="3"/>
        <v>Gold</v>
      </c>
    </row>
    <row r="230" ht="14.25" customHeight="1">
      <c r="A230" s="6" t="s">
        <v>750</v>
      </c>
      <c r="B230" s="6" t="s">
        <v>751</v>
      </c>
      <c r="C230" s="6" t="str">
        <f t="shared" si="1"/>
        <v>Casey Flores</v>
      </c>
      <c r="D230" s="6">
        <v>52.0</v>
      </c>
      <c r="E230" s="6" t="s">
        <v>21</v>
      </c>
      <c r="F230" s="6" t="str">
        <f t="shared" si="2"/>
        <v>Male</v>
      </c>
      <c r="G230" s="6" t="s">
        <v>403</v>
      </c>
      <c r="H230" s="6" t="s">
        <v>125</v>
      </c>
      <c r="I230" s="6" t="s">
        <v>17</v>
      </c>
      <c r="J230" s="6" t="s">
        <v>24</v>
      </c>
      <c r="K230" s="6" t="str">
        <f t="shared" si="3"/>
        <v>Gold</v>
      </c>
    </row>
    <row r="231" ht="14.25" customHeight="1">
      <c r="A231" s="6" t="s">
        <v>752</v>
      </c>
      <c r="B231" s="6" t="s">
        <v>753</v>
      </c>
      <c r="C231" s="6" t="str">
        <f t="shared" si="1"/>
        <v>Tanner Thompson</v>
      </c>
      <c r="D231" s="6">
        <v>32.0</v>
      </c>
      <c r="E231" s="6" t="s">
        <v>21</v>
      </c>
      <c r="F231" s="6" t="str">
        <f t="shared" si="2"/>
        <v>Male</v>
      </c>
      <c r="G231" s="6" t="s">
        <v>754</v>
      </c>
      <c r="H231" s="6" t="s">
        <v>148</v>
      </c>
      <c r="I231" s="6" t="s">
        <v>17</v>
      </c>
      <c r="J231" s="6" t="s">
        <v>29</v>
      </c>
      <c r="K231" s="6" t="str">
        <f t="shared" si="3"/>
        <v>Bronze</v>
      </c>
    </row>
    <row r="232" ht="14.25" customHeight="1">
      <c r="A232" s="6" t="s">
        <v>755</v>
      </c>
      <c r="B232" s="6" t="s">
        <v>756</v>
      </c>
      <c r="C232" s="6" t="str">
        <f t="shared" si="1"/>
        <v>Timothy Sanders</v>
      </c>
      <c r="D232" s="6">
        <v>29.0</v>
      </c>
      <c r="E232" s="6" t="s">
        <v>14</v>
      </c>
      <c r="F232" s="6" t="str">
        <f t="shared" si="2"/>
        <v>Female</v>
      </c>
      <c r="G232" s="6" t="s">
        <v>757</v>
      </c>
      <c r="H232" s="6" t="s">
        <v>258</v>
      </c>
      <c r="I232" s="6" t="s">
        <v>17</v>
      </c>
      <c r="J232" s="6" t="s">
        <v>29</v>
      </c>
      <c r="K232" s="6" t="str">
        <f t="shared" si="3"/>
        <v>Bronze</v>
      </c>
    </row>
    <row r="233" ht="14.25" customHeight="1">
      <c r="A233" s="6" t="s">
        <v>758</v>
      </c>
      <c r="B233" s="6" t="s">
        <v>759</v>
      </c>
      <c r="C233" s="6" t="str">
        <f t="shared" si="1"/>
        <v>Timothy Juarez</v>
      </c>
      <c r="D233" s="6">
        <v>22.0</v>
      </c>
      <c r="E233" s="6" t="s">
        <v>21</v>
      </c>
      <c r="F233" s="6" t="str">
        <f t="shared" si="2"/>
        <v>Male</v>
      </c>
      <c r="G233" s="6" t="s">
        <v>760</v>
      </c>
      <c r="H233" s="6" t="s">
        <v>325</v>
      </c>
      <c r="I233" s="6" t="s">
        <v>17</v>
      </c>
      <c r="J233" s="6" t="s">
        <v>29</v>
      </c>
      <c r="K233" s="6" t="str">
        <f t="shared" si="3"/>
        <v>Bronze</v>
      </c>
    </row>
    <row r="234" ht="14.25" customHeight="1">
      <c r="A234" s="6" t="s">
        <v>761</v>
      </c>
      <c r="B234" s="6" t="s">
        <v>762</v>
      </c>
      <c r="C234" s="6" t="str">
        <f t="shared" si="1"/>
        <v>Christy Hill</v>
      </c>
      <c r="D234" s="6">
        <v>27.0</v>
      </c>
      <c r="E234" s="6" t="s">
        <v>21</v>
      </c>
      <c r="F234" s="6" t="str">
        <f t="shared" si="2"/>
        <v>Male</v>
      </c>
      <c r="G234" s="6" t="s">
        <v>763</v>
      </c>
      <c r="H234" s="6" t="s">
        <v>95</v>
      </c>
      <c r="I234" s="6" t="s">
        <v>17</v>
      </c>
      <c r="J234" s="6" t="s">
        <v>18</v>
      </c>
      <c r="K234" s="6" t="str">
        <f t="shared" si="3"/>
        <v>Platinum</v>
      </c>
    </row>
    <row r="235" ht="14.25" customHeight="1">
      <c r="A235" s="6" t="s">
        <v>764</v>
      </c>
      <c r="B235" s="6" t="s">
        <v>765</v>
      </c>
      <c r="C235" s="6" t="str">
        <f t="shared" si="1"/>
        <v>Michelle Gonzalez</v>
      </c>
      <c r="D235" s="6">
        <v>59.0</v>
      </c>
      <c r="E235" s="6" t="s">
        <v>14</v>
      </c>
      <c r="F235" s="6" t="str">
        <f t="shared" si="2"/>
        <v>Female</v>
      </c>
      <c r="G235" s="6" t="s">
        <v>766</v>
      </c>
      <c r="H235" s="6" t="s">
        <v>50</v>
      </c>
      <c r="I235" s="6" t="s">
        <v>17</v>
      </c>
      <c r="J235" s="6" t="s">
        <v>34</v>
      </c>
      <c r="K235" s="6" t="str">
        <f t="shared" si="3"/>
        <v>Silver</v>
      </c>
    </row>
    <row r="236" ht="14.25" customHeight="1">
      <c r="A236" s="6" t="s">
        <v>767</v>
      </c>
      <c r="B236" s="6" t="s">
        <v>768</v>
      </c>
      <c r="C236" s="6" t="str">
        <f t="shared" si="1"/>
        <v>Nathaniel Hill</v>
      </c>
      <c r="D236" s="6">
        <v>43.0</v>
      </c>
      <c r="E236" s="6" t="s">
        <v>21</v>
      </c>
      <c r="F236" s="6" t="str">
        <f t="shared" si="2"/>
        <v>Male</v>
      </c>
      <c r="G236" s="6" t="s">
        <v>769</v>
      </c>
      <c r="H236" s="6" t="s">
        <v>69</v>
      </c>
      <c r="I236" s="6" t="s">
        <v>17</v>
      </c>
      <c r="J236" s="6" t="s">
        <v>24</v>
      </c>
      <c r="K236" s="6" t="str">
        <f t="shared" si="3"/>
        <v>Gold</v>
      </c>
    </row>
    <row r="237" ht="14.25" customHeight="1">
      <c r="A237" s="6" t="s">
        <v>770</v>
      </c>
      <c r="B237" s="6" t="s">
        <v>771</v>
      </c>
      <c r="C237" s="6" t="str">
        <f t="shared" si="1"/>
        <v>Jon Ortiz</v>
      </c>
      <c r="D237" s="6">
        <v>28.0</v>
      </c>
      <c r="E237" s="6" t="s">
        <v>21</v>
      </c>
      <c r="F237" s="6" t="str">
        <f t="shared" si="2"/>
        <v>Male</v>
      </c>
      <c r="G237" s="6" t="s">
        <v>772</v>
      </c>
      <c r="H237" s="6" t="s">
        <v>99</v>
      </c>
      <c r="I237" s="6" t="s">
        <v>17</v>
      </c>
      <c r="J237" s="6" t="s">
        <v>29</v>
      </c>
      <c r="K237" s="6" t="str">
        <f t="shared" si="3"/>
        <v>Bronze</v>
      </c>
    </row>
    <row r="238" ht="14.25" customHeight="1">
      <c r="A238" s="6" t="s">
        <v>773</v>
      </c>
      <c r="B238" s="6" t="s">
        <v>774</v>
      </c>
      <c r="C238" s="6" t="str">
        <f t="shared" si="1"/>
        <v>Joshua Wilson</v>
      </c>
      <c r="D238" s="6">
        <v>42.0</v>
      </c>
      <c r="E238" s="6" t="s">
        <v>21</v>
      </c>
      <c r="F238" s="6" t="str">
        <f t="shared" si="2"/>
        <v>Male</v>
      </c>
      <c r="G238" s="6" t="s">
        <v>775</v>
      </c>
      <c r="H238" s="6" t="s">
        <v>295</v>
      </c>
      <c r="I238" s="6" t="s">
        <v>17</v>
      </c>
      <c r="J238" s="6" t="s">
        <v>29</v>
      </c>
      <c r="K238" s="6" t="str">
        <f t="shared" si="3"/>
        <v>Bronze</v>
      </c>
    </row>
    <row r="239" ht="14.25" customHeight="1">
      <c r="A239" s="6" t="s">
        <v>776</v>
      </c>
      <c r="B239" s="6" t="s">
        <v>777</v>
      </c>
      <c r="C239" s="6" t="str">
        <f t="shared" si="1"/>
        <v>Wesley Short</v>
      </c>
      <c r="D239" s="6">
        <v>41.0</v>
      </c>
      <c r="E239" s="6" t="s">
        <v>21</v>
      </c>
      <c r="F239" s="6" t="str">
        <f t="shared" si="2"/>
        <v>Male</v>
      </c>
      <c r="G239" s="6" t="s">
        <v>778</v>
      </c>
      <c r="H239" s="6" t="s">
        <v>73</v>
      </c>
      <c r="I239" s="6" t="s">
        <v>17</v>
      </c>
      <c r="J239" s="6" t="s">
        <v>24</v>
      </c>
      <c r="K239" s="6" t="str">
        <f t="shared" si="3"/>
        <v>Gold</v>
      </c>
    </row>
    <row r="240" ht="14.25" customHeight="1">
      <c r="A240" s="6" t="s">
        <v>779</v>
      </c>
      <c r="B240" s="6" t="s">
        <v>780</v>
      </c>
      <c r="C240" s="6" t="str">
        <f t="shared" si="1"/>
        <v>Steven Smith</v>
      </c>
      <c r="D240" s="6">
        <v>40.0</v>
      </c>
      <c r="E240" s="6" t="s">
        <v>14</v>
      </c>
      <c r="F240" s="6" t="str">
        <f t="shared" si="2"/>
        <v>Female</v>
      </c>
      <c r="G240" s="6" t="s">
        <v>781</v>
      </c>
      <c r="H240" s="6" t="s">
        <v>50</v>
      </c>
      <c r="I240" s="6" t="s">
        <v>17</v>
      </c>
      <c r="J240" s="6" t="s">
        <v>18</v>
      </c>
      <c r="K240" s="6" t="str">
        <f t="shared" si="3"/>
        <v>Platinum</v>
      </c>
    </row>
    <row r="241" ht="14.25" customHeight="1">
      <c r="A241" s="6" t="s">
        <v>782</v>
      </c>
      <c r="B241" s="6" t="s">
        <v>783</v>
      </c>
      <c r="C241" s="6" t="str">
        <f t="shared" si="1"/>
        <v>Maria Hill</v>
      </c>
      <c r="D241" s="6">
        <v>58.0</v>
      </c>
      <c r="E241" s="6" t="s">
        <v>21</v>
      </c>
      <c r="F241" s="6" t="str">
        <f t="shared" si="2"/>
        <v>Male</v>
      </c>
      <c r="G241" s="6" t="s">
        <v>784</v>
      </c>
      <c r="H241" s="6" t="s">
        <v>192</v>
      </c>
      <c r="I241" s="6" t="s">
        <v>17</v>
      </c>
      <c r="J241" s="6" t="s">
        <v>18</v>
      </c>
      <c r="K241" s="6" t="str">
        <f t="shared" si="3"/>
        <v>Platinum</v>
      </c>
    </row>
    <row r="242" ht="14.25" customHeight="1">
      <c r="A242" s="6" t="s">
        <v>785</v>
      </c>
      <c r="B242" s="6" t="s">
        <v>786</v>
      </c>
      <c r="C242" s="6" t="str">
        <f t="shared" si="1"/>
        <v>William Hull</v>
      </c>
      <c r="D242" s="6">
        <v>59.0</v>
      </c>
      <c r="E242" s="6" t="s">
        <v>21</v>
      </c>
      <c r="F242" s="6" t="str">
        <f t="shared" si="2"/>
        <v>Male</v>
      </c>
      <c r="G242" s="6" t="s">
        <v>787</v>
      </c>
      <c r="H242" s="6" t="s">
        <v>164</v>
      </c>
      <c r="I242" s="6" t="s">
        <v>17</v>
      </c>
      <c r="J242" s="6" t="s">
        <v>18</v>
      </c>
      <c r="K242" s="6" t="str">
        <f t="shared" si="3"/>
        <v>Platinum</v>
      </c>
    </row>
    <row r="243" ht="14.25" customHeight="1">
      <c r="A243" s="6" t="s">
        <v>788</v>
      </c>
      <c r="B243" s="6" t="s">
        <v>789</v>
      </c>
      <c r="C243" s="6" t="str">
        <f t="shared" si="1"/>
        <v>Mr. William Horton</v>
      </c>
      <c r="D243" s="6">
        <v>31.0</v>
      </c>
      <c r="E243" s="6" t="s">
        <v>14</v>
      </c>
      <c r="F243" s="6" t="str">
        <f t="shared" si="2"/>
        <v>Female</v>
      </c>
      <c r="G243" s="6" t="s">
        <v>790</v>
      </c>
      <c r="H243" s="6" t="s">
        <v>295</v>
      </c>
      <c r="I243" s="6" t="s">
        <v>17</v>
      </c>
      <c r="J243" s="6" t="s">
        <v>18</v>
      </c>
      <c r="K243" s="6" t="str">
        <f t="shared" si="3"/>
        <v>Platinum</v>
      </c>
    </row>
    <row r="244" ht="14.25" customHeight="1">
      <c r="A244" s="6" t="s">
        <v>791</v>
      </c>
      <c r="B244" s="6" t="s">
        <v>792</v>
      </c>
      <c r="C244" s="6" t="str">
        <f t="shared" si="1"/>
        <v>William Jackson</v>
      </c>
      <c r="D244" s="6">
        <v>58.0</v>
      </c>
      <c r="E244" s="6" t="s">
        <v>21</v>
      </c>
      <c r="F244" s="6" t="str">
        <f t="shared" si="2"/>
        <v>Male</v>
      </c>
      <c r="G244" s="6" t="s">
        <v>793</v>
      </c>
      <c r="H244" s="6" t="s">
        <v>175</v>
      </c>
      <c r="I244" s="6" t="s">
        <v>17</v>
      </c>
      <c r="J244" s="6" t="s">
        <v>34</v>
      </c>
      <c r="K244" s="6" t="str">
        <f t="shared" si="3"/>
        <v>Silver</v>
      </c>
    </row>
    <row r="245" ht="14.25" customHeight="1">
      <c r="A245" s="6" t="s">
        <v>794</v>
      </c>
      <c r="B245" s="6" t="s">
        <v>795</v>
      </c>
      <c r="C245" s="6" t="str">
        <f t="shared" si="1"/>
        <v>Brian Hammond</v>
      </c>
      <c r="D245" s="6">
        <v>56.0</v>
      </c>
      <c r="E245" s="6" t="s">
        <v>21</v>
      </c>
      <c r="F245" s="6" t="str">
        <f t="shared" si="2"/>
        <v>Male</v>
      </c>
      <c r="G245" s="6" t="s">
        <v>796</v>
      </c>
      <c r="H245" s="6" t="s">
        <v>367</v>
      </c>
      <c r="I245" s="6" t="s">
        <v>17</v>
      </c>
      <c r="J245" s="6" t="s">
        <v>24</v>
      </c>
      <c r="K245" s="6" t="str">
        <f t="shared" si="3"/>
        <v>Gold</v>
      </c>
    </row>
    <row r="246" ht="14.25" customHeight="1">
      <c r="A246" s="6" t="s">
        <v>797</v>
      </c>
      <c r="B246" s="6" t="s">
        <v>798</v>
      </c>
      <c r="C246" s="6" t="str">
        <f t="shared" si="1"/>
        <v>Nancy Page</v>
      </c>
      <c r="D246" s="6">
        <v>19.0</v>
      </c>
      <c r="E246" s="6" t="s">
        <v>14</v>
      </c>
      <c r="F246" s="6" t="str">
        <f t="shared" si="2"/>
        <v>Female</v>
      </c>
      <c r="G246" s="6" t="s">
        <v>799</v>
      </c>
      <c r="H246" s="6" t="s">
        <v>125</v>
      </c>
      <c r="I246" s="6" t="s">
        <v>17</v>
      </c>
      <c r="J246" s="6" t="s">
        <v>29</v>
      </c>
      <c r="K246" s="6" t="str">
        <f t="shared" si="3"/>
        <v>Bronze</v>
      </c>
    </row>
    <row r="247" ht="14.25" customHeight="1">
      <c r="A247" s="6" t="s">
        <v>800</v>
      </c>
      <c r="B247" s="6" t="s">
        <v>801</v>
      </c>
      <c r="C247" s="6" t="str">
        <f t="shared" si="1"/>
        <v>Laura Soto</v>
      </c>
      <c r="D247" s="6">
        <v>57.0</v>
      </c>
      <c r="E247" s="6" t="s">
        <v>21</v>
      </c>
      <c r="F247" s="6" t="str">
        <f t="shared" si="2"/>
        <v>Male</v>
      </c>
      <c r="G247" s="6" t="s">
        <v>802</v>
      </c>
      <c r="H247" s="6" t="s">
        <v>164</v>
      </c>
      <c r="I247" s="6" t="s">
        <v>17</v>
      </c>
      <c r="J247" s="6" t="s">
        <v>18</v>
      </c>
      <c r="K247" s="6" t="str">
        <f t="shared" si="3"/>
        <v>Platinum</v>
      </c>
    </row>
    <row r="248" ht="14.25" customHeight="1">
      <c r="A248" s="6" t="s">
        <v>803</v>
      </c>
      <c r="B248" s="6" t="s">
        <v>804</v>
      </c>
      <c r="C248" s="6" t="str">
        <f t="shared" si="1"/>
        <v>Mary Russell</v>
      </c>
      <c r="D248" s="6">
        <v>58.0</v>
      </c>
      <c r="E248" s="6" t="s">
        <v>14</v>
      </c>
      <c r="F248" s="6" t="str">
        <f t="shared" si="2"/>
        <v>Female</v>
      </c>
      <c r="G248" s="6" t="s">
        <v>805</v>
      </c>
      <c r="H248" s="6" t="s">
        <v>299</v>
      </c>
      <c r="I248" s="6" t="s">
        <v>17</v>
      </c>
      <c r="J248" s="6" t="s">
        <v>29</v>
      </c>
      <c r="K248" s="6" t="str">
        <f t="shared" si="3"/>
        <v>Bronze</v>
      </c>
    </row>
    <row r="249" ht="14.25" customHeight="1">
      <c r="A249" s="6" t="s">
        <v>806</v>
      </c>
      <c r="B249" s="6" t="s">
        <v>807</v>
      </c>
      <c r="C249" s="6" t="str">
        <f t="shared" si="1"/>
        <v>Douglas Rhodes</v>
      </c>
      <c r="D249" s="6">
        <v>32.0</v>
      </c>
      <c r="E249" s="6" t="s">
        <v>14</v>
      </c>
      <c r="F249" s="6" t="str">
        <f t="shared" si="2"/>
        <v>Female</v>
      </c>
      <c r="G249" s="6" t="s">
        <v>808</v>
      </c>
      <c r="H249" s="6" t="s">
        <v>54</v>
      </c>
      <c r="I249" s="6" t="s">
        <v>17</v>
      </c>
      <c r="J249" s="6" t="s">
        <v>18</v>
      </c>
      <c r="K249" s="6" t="str">
        <f t="shared" si="3"/>
        <v>Platinum</v>
      </c>
    </row>
    <row r="250" ht="14.25" customHeight="1">
      <c r="A250" s="6" t="s">
        <v>809</v>
      </c>
      <c r="B250" s="6" t="s">
        <v>810</v>
      </c>
      <c r="C250" s="6" t="str">
        <f t="shared" si="1"/>
        <v>Nicholas Webb</v>
      </c>
      <c r="D250" s="6">
        <v>19.0</v>
      </c>
      <c r="E250" s="6" t="s">
        <v>14</v>
      </c>
      <c r="F250" s="6" t="str">
        <f t="shared" si="2"/>
        <v>Female</v>
      </c>
      <c r="G250" s="6" t="s">
        <v>811</v>
      </c>
      <c r="H250" s="6" t="s">
        <v>192</v>
      </c>
      <c r="I250" s="6" t="s">
        <v>17</v>
      </c>
      <c r="J250" s="6" t="s">
        <v>24</v>
      </c>
      <c r="K250" s="6" t="str">
        <f t="shared" si="3"/>
        <v>Gold</v>
      </c>
    </row>
    <row r="251" ht="14.25" customHeight="1">
      <c r="A251" s="6" t="s">
        <v>812</v>
      </c>
      <c r="B251" s="6" t="s">
        <v>813</v>
      </c>
      <c r="C251" s="6" t="str">
        <f t="shared" si="1"/>
        <v>Lauren George</v>
      </c>
      <c r="D251" s="6">
        <v>41.0</v>
      </c>
      <c r="E251" s="6" t="s">
        <v>21</v>
      </c>
      <c r="F251" s="6" t="str">
        <f t="shared" si="2"/>
        <v>Male</v>
      </c>
      <c r="G251" s="6" t="s">
        <v>814</v>
      </c>
      <c r="H251" s="6" t="s">
        <v>65</v>
      </c>
      <c r="I251" s="6" t="s">
        <v>17</v>
      </c>
      <c r="J251" s="6" t="s">
        <v>24</v>
      </c>
      <c r="K251" s="6" t="str">
        <f t="shared" si="3"/>
        <v>Gold</v>
      </c>
    </row>
    <row r="252" ht="14.25" customHeight="1">
      <c r="A252" s="6" t="s">
        <v>815</v>
      </c>
      <c r="B252" s="6" t="s">
        <v>816</v>
      </c>
      <c r="C252" s="6" t="str">
        <f t="shared" si="1"/>
        <v>Veronica Newman</v>
      </c>
      <c r="D252" s="6">
        <v>48.0</v>
      </c>
      <c r="E252" s="6" t="s">
        <v>14</v>
      </c>
      <c r="F252" s="6" t="str">
        <f t="shared" si="2"/>
        <v>Female</v>
      </c>
      <c r="G252" s="6" t="s">
        <v>817</v>
      </c>
      <c r="H252" s="6" t="s">
        <v>99</v>
      </c>
      <c r="I252" s="6" t="s">
        <v>17</v>
      </c>
      <c r="J252" s="6" t="s">
        <v>18</v>
      </c>
      <c r="K252" s="6" t="str">
        <f t="shared" si="3"/>
        <v>Platinum</v>
      </c>
    </row>
    <row r="253" ht="14.25" customHeight="1">
      <c r="A253" s="6" t="s">
        <v>818</v>
      </c>
      <c r="B253" s="6" t="s">
        <v>819</v>
      </c>
      <c r="C253" s="6" t="str">
        <f t="shared" si="1"/>
        <v>Tyler Garner</v>
      </c>
      <c r="D253" s="6">
        <v>64.0</v>
      </c>
      <c r="E253" s="6" t="s">
        <v>14</v>
      </c>
      <c r="F253" s="6" t="str">
        <f t="shared" si="2"/>
        <v>Female</v>
      </c>
      <c r="G253" s="6" t="s">
        <v>820</v>
      </c>
      <c r="H253" s="6" t="s">
        <v>28</v>
      </c>
      <c r="I253" s="6" t="s">
        <v>17</v>
      </c>
      <c r="J253" s="6" t="s">
        <v>34</v>
      </c>
      <c r="K253" s="6" t="str">
        <f t="shared" si="3"/>
        <v>Silver</v>
      </c>
    </row>
    <row r="254" ht="14.25" customHeight="1">
      <c r="A254" s="6" t="s">
        <v>821</v>
      </c>
      <c r="B254" s="6" t="s">
        <v>822</v>
      </c>
      <c r="C254" s="6" t="str">
        <f t="shared" si="1"/>
        <v>John Mccoy</v>
      </c>
      <c r="D254" s="6">
        <v>26.0</v>
      </c>
      <c r="E254" s="6" t="s">
        <v>14</v>
      </c>
      <c r="F254" s="6" t="str">
        <f t="shared" si="2"/>
        <v>Female</v>
      </c>
      <c r="G254" s="6" t="s">
        <v>823</v>
      </c>
      <c r="H254" s="6" t="s">
        <v>46</v>
      </c>
      <c r="I254" s="6" t="s">
        <v>17</v>
      </c>
      <c r="J254" s="6" t="s">
        <v>34</v>
      </c>
      <c r="K254" s="6" t="str">
        <f t="shared" si="3"/>
        <v>Silver</v>
      </c>
    </row>
    <row r="255" ht="14.25" customHeight="1">
      <c r="A255" s="6" t="s">
        <v>824</v>
      </c>
      <c r="B255" s="6" t="s">
        <v>825</v>
      </c>
      <c r="C255" s="6" t="str">
        <f t="shared" si="1"/>
        <v>Dr. Ashley Yates Md</v>
      </c>
      <c r="D255" s="6">
        <v>32.0</v>
      </c>
      <c r="E255" s="6" t="s">
        <v>14</v>
      </c>
      <c r="F255" s="6" t="str">
        <f t="shared" si="2"/>
        <v>Female</v>
      </c>
      <c r="G255" s="6" t="s">
        <v>826</v>
      </c>
      <c r="H255" s="6" t="s">
        <v>332</v>
      </c>
      <c r="I255" s="6" t="s">
        <v>17</v>
      </c>
      <c r="J255" s="6" t="s">
        <v>29</v>
      </c>
      <c r="K255" s="6" t="str">
        <f t="shared" si="3"/>
        <v>Bronze</v>
      </c>
    </row>
    <row r="256" ht="14.25" customHeight="1">
      <c r="A256" s="6" t="s">
        <v>827</v>
      </c>
      <c r="B256" s="6" t="s">
        <v>828</v>
      </c>
      <c r="C256" s="6" t="str">
        <f t="shared" si="1"/>
        <v>Linda Kline</v>
      </c>
      <c r="D256" s="6">
        <v>34.0</v>
      </c>
      <c r="E256" s="6" t="s">
        <v>14</v>
      </c>
      <c r="F256" s="6" t="str">
        <f t="shared" si="2"/>
        <v>Female</v>
      </c>
      <c r="G256" s="6" t="s">
        <v>829</v>
      </c>
      <c r="H256" s="6" t="s">
        <v>171</v>
      </c>
      <c r="I256" s="6" t="s">
        <v>17</v>
      </c>
      <c r="J256" s="6" t="s">
        <v>34</v>
      </c>
      <c r="K256" s="6" t="str">
        <f t="shared" si="3"/>
        <v>Silver</v>
      </c>
    </row>
    <row r="257" ht="14.25" customHeight="1">
      <c r="A257" s="6" t="s">
        <v>830</v>
      </c>
      <c r="B257" s="6" t="s">
        <v>831</v>
      </c>
      <c r="C257" s="6" t="str">
        <f t="shared" si="1"/>
        <v>Damon Perez</v>
      </c>
      <c r="D257" s="6">
        <v>21.0</v>
      </c>
      <c r="E257" s="6" t="s">
        <v>14</v>
      </c>
      <c r="F257" s="6" t="str">
        <f t="shared" si="2"/>
        <v>Female</v>
      </c>
      <c r="G257" s="6" t="s">
        <v>832</v>
      </c>
      <c r="H257" s="6" t="s">
        <v>33</v>
      </c>
      <c r="I257" s="6" t="s">
        <v>17</v>
      </c>
      <c r="J257" s="6" t="s">
        <v>24</v>
      </c>
      <c r="K257" s="6" t="str">
        <f t="shared" si="3"/>
        <v>Gold</v>
      </c>
    </row>
    <row r="258" ht="14.25" customHeight="1">
      <c r="A258" s="6" t="s">
        <v>833</v>
      </c>
      <c r="B258" s="6" t="s">
        <v>834</v>
      </c>
      <c r="C258" s="6" t="str">
        <f t="shared" si="1"/>
        <v>Kristen Fischer</v>
      </c>
      <c r="D258" s="6">
        <v>57.0</v>
      </c>
      <c r="E258" s="6" t="s">
        <v>14</v>
      </c>
      <c r="F258" s="6" t="str">
        <f t="shared" si="2"/>
        <v>Female</v>
      </c>
      <c r="G258" s="6" t="s">
        <v>835</v>
      </c>
      <c r="H258" s="6" t="s">
        <v>299</v>
      </c>
      <c r="I258" s="6" t="s">
        <v>17</v>
      </c>
      <c r="J258" s="6" t="s">
        <v>18</v>
      </c>
      <c r="K258" s="6" t="str">
        <f t="shared" si="3"/>
        <v>Platinum</v>
      </c>
    </row>
    <row r="259" ht="14.25" customHeight="1">
      <c r="A259" s="6" t="s">
        <v>836</v>
      </c>
      <c r="B259" s="6" t="s">
        <v>837</v>
      </c>
      <c r="C259" s="6" t="str">
        <f t="shared" si="1"/>
        <v>Christopher David</v>
      </c>
      <c r="D259" s="6">
        <v>42.0</v>
      </c>
      <c r="E259" s="6" t="s">
        <v>14</v>
      </c>
      <c r="F259" s="6" t="str">
        <f t="shared" si="2"/>
        <v>Female</v>
      </c>
      <c r="G259" s="6" t="s">
        <v>838</v>
      </c>
      <c r="H259" s="6" t="s">
        <v>729</v>
      </c>
      <c r="I259" s="6" t="s">
        <v>17</v>
      </c>
      <c r="J259" s="6" t="s">
        <v>34</v>
      </c>
      <c r="K259" s="6" t="str">
        <f t="shared" si="3"/>
        <v>Silver</v>
      </c>
    </row>
    <row r="260" ht="14.25" customHeight="1">
      <c r="A260" s="6" t="s">
        <v>839</v>
      </c>
      <c r="B260" s="6" t="s">
        <v>840</v>
      </c>
      <c r="C260" s="6" t="str">
        <f t="shared" si="1"/>
        <v>Sarah Stewart</v>
      </c>
      <c r="D260" s="6">
        <v>24.0</v>
      </c>
      <c r="E260" s="6" t="s">
        <v>21</v>
      </c>
      <c r="F260" s="6" t="str">
        <f t="shared" si="2"/>
        <v>Male</v>
      </c>
      <c r="G260" s="6" t="s">
        <v>841</v>
      </c>
      <c r="H260" s="6" t="s">
        <v>367</v>
      </c>
      <c r="I260" s="6" t="s">
        <v>17</v>
      </c>
      <c r="J260" s="6" t="s">
        <v>18</v>
      </c>
      <c r="K260" s="6" t="str">
        <f t="shared" si="3"/>
        <v>Platinum</v>
      </c>
    </row>
    <row r="261" ht="14.25" customHeight="1">
      <c r="A261" s="6" t="s">
        <v>842</v>
      </c>
      <c r="B261" s="6" t="s">
        <v>843</v>
      </c>
      <c r="C261" s="6" t="str">
        <f t="shared" si="1"/>
        <v>Beth Allen</v>
      </c>
      <c r="D261" s="6">
        <v>32.0</v>
      </c>
      <c r="E261" s="6" t="s">
        <v>21</v>
      </c>
      <c r="F261" s="6" t="str">
        <f t="shared" si="2"/>
        <v>Male</v>
      </c>
      <c r="G261" s="6" t="s">
        <v>844</v>
      </c>
      <c r="H261" s="6" t="s">
        <v>103</v>
      </c>
      <c r="I261" s="6" t="s">
        <v>17</v>
      </c>
      <c r="J261" s="6" t="s">
        <v>34</v>
      </c>
      <c r="K261" s="6" t="str">
        <f t="shared" si="3"/>
        <v>Silver</v>
      </c>
    </row>
    <row r="262" ht="14.25" customHeight="1">
      <c r="A262" s="6" t="s">
        <v>845</v>
      </c>
      <c r="B262" s="6" t="s">
        <v>846</v>
      </c>
      <c r="C262" s="6" t="str">
        <f t="shared" si="1"/>
        <v>Russell Lamb</v>
      </c>
      <c r="D262" s="6">
        <v>63.0</v>
      </c>
      <c r="E262" s="6" t="s">
        <v>21</v>
      </c>
      <c r="F262" s="6" t="str">
        <f t="shared" si="2"/>
        <v>Male</v>
      </c>
      <c r="G262" s="6" t="s">
        <v>847</v>
      </c>
      <c r="H262" s="6" t="s">
        <v>141</v>
      </c>
      <c r="I262" s="6" t="s">
        <v>17</v>
      </c>
      <c r="J262" s="6" t="s">
        <v>18</v>
      </c>
      <c r="K262" s="6" t="str">
        <f t="shared" si="3"/>
        <v>Platinum</v>
      </c>
    </row>
    <row r="263" ht="14.25" customHeight="1">
      <c r="A263" s="6" t="s">
        <v>848</v>
      </c>
      <c r="B263" s="6" t="s">
        <v>849</v>
      </c>
      <c r="C263" s="6" t="str">
        <f t="shared" si="1"/>
        <v>Carol Bishop</v>
      </c>
      <c r="D263" s="6">
        <v>27.0</v>
      </c>
      <c r="E263" s="6" t="s">
        <v>21</v>
      </c>
      <c r="F263" s="6" t="str">
        <f t="shared" si="2"/>
        <v>Male</v>
      </c>
      <c r="G263" s="6" t="s">
        <v>850</v>
      </c>
      <c r="H263" s="6" t="s">
        <v>42</v>
      </c>
      <c r="I263" s="6" t="s">
        <v>17</v>
      </c>
      <c r="J263" s="6" t="s">
        <v>34</v>
      </c>
      <c r="K263" s="6" t="str">
        <f t="shared" si="3"/>
        <v>Silver</v>
      </c>
    </row>
    <row r="264" ht="14.25" customHeight="1">
      <c r="A264" s="6" t="s">
        <v>851</v>
      </c>
      <c r="B264" s="6" t="s">
        <v>852</v>
      </c>
      <c r="C264" s="6" t="str">
        <f t="shared" si="1"/>
        <v>Katherine Cowan</v>
      </c>
      <c r="D264" s="6">
        <v>60.0</v>
      </c>
      <c r="E264" s="6" t="s">
        <v>21</v>
      </c>
      <c r="F264" s="6" t="str">
        <f t="shared" si="2"/>
        <v>Male</v>
      </c>
      <c r="G264" s="6" t="s">
        <v>853</v>
      </c>
      <c r="H264" s="6" t="s">
        <v>73</v>
      </c>
      <c r="I264" s="6" t="s">
        <v>17</v>
      </c>
      <c r="J264" s="6" t="s">
        <v>34</v>
      </c>
      <c r="K264" s="6" t="str">
        <f t="shared" si="3"/>
        <v>Silver</v>
      </c>
    </row>
    <row r="265" ht="14.25" customHeight="1">
      <c r="A265" s="6" t="s">
        <v>854</v>
      </c>
      <c r="B265" s="6" t="s">
        <v>855</v>
      </c>
      <c r="C265" s="6" t="str">
        <f t="shared" si="1"/>
        <v>Crystal Davis</v>
      </c>
      <c r="D265" s="6">
        <v>50.0</v>
      </c>
      <c r="E265" s="6" t="s">
        <v>14</v>
      </c>
      <c r="F265" s="6" t="str">
        <f t="shared" si="2"/>
        <v>Female</v>
      </c>
      <c r="G265" s="6" t="s">
        <v>856</v>
      </c>
      <c r="H265" s="6" t="s">
        <v>336</v>
      </c>
      <c r="I265" s="6" t="s">
        <v>17</v>
      </c>
      <c r="J265" s="6" t="s">
        <v>29</v>
      </c>
      <c r="K265" s="6" t="str">
        <f t="shared" si="3"/>
        <v>Bronze</v>
      </c>
    </row>
    <row r="266" ht="14.25" customHeight="1">
      <c r="A266" s="6" t="s">
        <v>857</v>
      </c>
      <c r="B266" s="6" t="s">
        <v>858</v>
      </c>
      <c r="C266" s="6" t="str">
        <f t="shared" si="1"/>
        <v>Matthew Payne</v>
      </c>
      <c r="D266" s="6">
        <v>25.0</v>
      </c>
      <c r="E266" s="6" t="s">
        <v>14</v>
      </c>
      <c r="F266" s="6" t="str">
        <f t="shared" si="2"/>
        <v>Female</v>
      </c>
      <c r="G266" s="6" t="s">
        <v>859</v>
      </c>
      <c r="H266" s="6" t="s">
        <v>860</v>
      </c>
      <c r="I266" s="6" t="s">
        <v>17</v>
      </c>
      <c r="J266" s="6" t="s">
        <v>24</v>
      </c>
      <c r="K266" s="6" t="str">
        <f t="shared" si="3"/>
        <v>Gold</v>
      </c>
    </row>
    <row r="267" ht="14.25" customHeight="1">
      <c r="A267" s="6" t="s">
        <v>861</v>
      </c>
      <c r="B267" s="6" t="s">
        <v>862</v>
      </c>
      <c r="C267" s="6" t="str">
        <f t="shared" si="1"/>
        <v>Tracy Kelly</v>
      </c>
      <c r="D267" s="6">
        <v>38.0</v>
      </c>
      <c r="E267" s="6" t="s">
        <v>14</v>
      </c>
      <c r="F267" s="6" t="str">
        <f t="shared" si="2"/>
        <v>Female</v>
      </c>
      <c r="G267" s="6" t="s">
        <v>863</v>
      </c>
      <c r="H267" s="6" t="s">
        <v>245</v>
      </c>
      <c r="I267" s="6" t="s">
        <v>17</v>
      </c>
      <c r="J267" s="6" t="s">
        <v>34</v>
      </c>
      <c r="K267" s="6" t="str">
        <f t="shared" si="3"/>
        <v>Silver</v>
      </c>
    </row>
    <row r="268" ht="14.25" customHeight="1">
      <c r="A268" s="6" t="s">
        <v>864</v>
      </c>
      <c r="B268" s="6" t="s">
        <v>865</v>
      </c>
      <c r="C268" s="6" t="str">
        <f t="shared" si="1"/>
        <v>Cynthia Payne</v>
      </c>
      <c r="D268" s="6">
        <v>32.0</v>
      </c>
      <c r="E268" s="6" t="s">
        <v>21</v>
      </c>
      <c r="F268" s="6" t="str">
        <f t="shared" si="2"/>
        <v>Male</v>
      </c>
      <c r="G268" s="6" t="s">
        <v>866</v>
      </c>
      <c r="H268" s="6" t="s">
        <v>600</v>
      </c>
      <c r="I268" s="6" t="s">
        <v>17</v>
      </c>
      <c r="J268" s="6" t="s">
        <v>29</v>
      </c>
      <c r="K268" s="6" t="str">
        <f t="shared" si="3"/>
        <v>Bronze</v>
      </c>
    </row>
    <row r="269" ht="14.25" customHeight="1">
      <c r="A269" s="6" t="s">
        <v>867</v>
      </c>
      <c r="B269" s="6" t="s">
        <v>868</v>
      </c>
      <c r="C269" s="6" t="str">
        <f t="shared" si="1"/>
        <v>Zachary Shelton</v>
      </c>
      <c r="D269" s="6">
        <v>18.0</v>
      </c>
      <c r="E269" s="6" t="s">
        <v>14</v>
      </c>
      <c r="F269" s="6" t="str">
        <f t="shared" si="2"/>
        <v>Female</v>
      </c>
      <c r="G269" s="6" t="s">
        <v>796</v>
      </c>
      <c r="H269" s="6" t="s">
        <v>73</v>
      </c>
      <c r="I269" s="6" t="s">
        <v>17</v>
      </c>
      <c r="J269" s="6" t="s">
        <v>29</v>
      </c>
      <c r="K269" s="6" t="str">
        <f t="shared" si="3"/>
        <v>Bronze</v>
      </c>
    </row>
    <row r="270" ht="14.25" customHeight="1">
      <c r="A270" s="6" t="s">
        <v>869</v>
      </c>
      <c r="B270" s="6" t="s">
        <v>870</v>
      </c>
      <c r="C270" s="6" t="str">
        <f t="shared" si="1"/>
        <v>Kevin Orr</v>
      </c>
      <c r="D270" s="6">
        <v>53.0</v>
      </c>
      <c r="E270" s="6" t="s">
        <v>21</v>
      </c>
      <c r="F270" s="6" t="str">
        <f t="shared" si="2"/>
        <v>Male</v>
      </c>
      <c r="G270" s="6" t="s">
        <v>871</v>
      </c>
      <c r="H270" s="6" t="s">
        <v>209</v>
      </c>
      <c r="I270" s="6" t="s">
        <v>17</v>
      </c>
      <c r="J270" s="6" t="s">
        <v>29</v>
      </c>
      <c r="K270" s="6" t="str">
        <f t="shared" si="3"/>
        <v>Bronze</v>
      </c>
    </row>
    <row r="271" ht="14.25" customHeight="1">
      <c r="A271" s="6" t="s">
        <v>872</v>
      </c>
      <c r="B271" s="6" t="s">
        <v>873</v>
      </c>
      <c r="C271" s="6" t="str">
        <f t="shared" si="1"/>
        <v>Tyrone Olson</v>
      </c>
      <c r="D271" s="6">
        <v>45.0</v>
      </c>
      <c r="E271" s="6" t="s">
        <v>21</v>
      </c>
      <c r="F271" s="6" t="str">
        <f t="shared" si="2"/>
        <v>Male</v>
      </c>
      <c r="G271" s="6" t="s">
        <v>874</v>
      </c>
      <c r="H271" s="6" t="s">
        <v>38</v>
      </c>
      <c r="I271" s="6" t="s">
        <v>17</v>
      </c>
      <c r="J271" s="6" t="s">
        <v>34</v>
      </c>
      <c r="K271" s="6" t="str">
        <f t="shared" si="3"/>
        <v>Silver</v>
      </c>
    </row>
    <row r="272" ht="14.25" customHeight="1">
      <c r="A272" s="6" t="s">
        <v>875</v>
      </c>
      <c r="B272" s="6" t="s">
        <v>876</v>
      </c>
      <c r="C272" s="6" t="str">
        <f t="shared" si="1"/>
        <v>Brian Garcia</v>
      </c>
      <c r="D272" s="6">
        <v>31.0</v>
      </c>
      <c r="E272" s="6" t="s">
        <v>21</v>
      </c>
      <c r="F272" s="6" t="str">
        <f t="shared" si="2"/>
        <v>Male</v>
      </c>
      <c r="G272" s="6" t="s">
        <v>877</v>
      </c>
      <c r="H272" s="6" t="s">
        <v>336</v>
      </c>
      <c r="I272" s="6" t="s">
        <v>17</v>
      </c>
      <c r="J272" s="6" t="s">
        <v>24</v>
      </c>
      <c r="K272" s="6" t="str">
        <f t="shared" si="3"/>
        <v>Gold</v>
      </c>
    </row>
    <row r="273" ht="14.25" customHeight="1">
      <c r="A273" s="6" t="s">
        <v>878</v>
      </c>
      <c r="B273" s="6" t="s">
        <v>879</v>
      </c>
      <c r="C273" s="6" t="str">
        <f t="shared" si="1"/>
        <v>Daisy Johnson Dds</v>
      </c>
      <c r="D273" s="6">
        <v>64.0</v>
      </c>
      <c r="E273" s="6" t="s">
        <v>14</v>
      </c>
      <c r="F273" s="6" t="str">
        <f t="shared" si="2"/>
        <v>Female</v>
      </c>
      <c r="G273" s="6" t="s">
        <v>880</v>
      </c>
      <c r="H273" s="6" t="s">
        <v>77</v>
      </c>
      <c r="I273" s="6" t="s">
        <v>17</v>
      </c>
      <c r="J273" s="6" t="s">
        <v>18</v>
      </c>
      <c r="K273" s="6" t="str">
        <f t="shared" si="3"/>
        <v>Platinum</v>
      </c>
    </row>
    <row r="274" ht="14.25" customHeight="1">
      <c r="A274" s="6" t="s">
        <v>881</v>
      </c>
      <c r="B274" s="6" t="s">
        <v>882</v>
      </c>
      <c r="C274" s="6" t="str">
        <f t="shared" si="1"/>
        <v>Adam Rowland</v>
      </c>
      <c r="D274" s="6">
        <v>48.0</v>
      </c>
      <c r="E274" s="6" t="s">
        <v>21</v>
      </c>
      <c r="F274" s="6" t="str">
        <f t="shared" si="2"/>
        <v>Male</v>
      </c>
      <c r="G274" s="6" t="s">
        <v>883</v>
      </c>
      <c r="H274" s="6" t="s">
        <v>38</v>
      </c>
      <c r="I274" s="6" t="s">
        <v>17</v>
      </c>
      <c r="J274" s="6" t="s">
        <v>24</v>
      </c>
      <c r="K274" s="6" t="str">
        <f t="shared" si="3"/>
        <v>Gold</v>
      </c>
    </row>
    <row r="275" ht="14.25" customHeight="1">
      <c r="A275" s="6" t="s">
        <v>884</v>
      </c>
      <c r="B275" s="6" t="s">
        <v>885</v>
      </c>
      <c r="C275" s="6" t="str">
        <f t="shared" si="1"/>
        <v>Samantha Robinson</v>
      </c>
      <c r="D275" s="6">
        <v>23.0</v>
      </c>
      <c r="E275" s="6" t="s">
        <v>14</v>
      </c>
      <c r="F275" s="6" t="str">
        <f t="shared" si="2"/>
        <v>Female</v>
      </c>
      <c r="G275" s="6" t="s">
        <v>886</v>
      </c>
      <c r="H275" s="6" t="s">
        <v>321</v>
      </c>
      <c r="I275" s="6" t="s">
        <v>17</v>
      </c>
      <c r="J275" s="6" t="s">
        <v>29</v>
      </c>
      <c r="K275" s="6" t="str">
        <f t="shared" si="3"/>
        <v>Bronze</v>
      </c>
    </row>
    <row r="276" ht="14.25" customHeight="1">
      <c r="A276" s="6" t="s">
        <v>887</v>
      </c>
      <c r="B276" s="6" t="s">
        <v>888</v>
      </c>
      <c r="C276" s="6" t="str">
        <f t="shared" si="1"/>
        <v>Sarah Lane</v>
      </c>
      <c r="D276" s="6">
        <v>38.0</v>
      </c>
      <c r="E276" s="6" t="s">
        <v>14</v>
      </c>
      <c r="F276" s="6" t="str">
        <f t="shared" si="2"/>
        <v>Female</v>
      </c>
      <c r="G276" s="6" t="s">
        <v>889</v>
      </c>
      <c r="H276" s="6" t="s">
        <v>179</v>
      </c>
      <c r="I276" s="6" t="s">
        <v>17</v>
      </c>
      <c r="J276" s="6" t="s">
        <v>34</v>
      </c>
      <c r="K276" s="6" t="str">
        <f t="shared" si="3"/>
        <v>Silver</v>
      </c>
    </row>
    <row r="277" ht="14.25" customHeight="1">
      <c r="A277" s="6" t="s">
        <v>890</v>
      </c>
      <c r="B277" s="6" t="s">
        <v>891</v>
      </c>
      <c r="C277" s="6" t="str">
        <f t="shared" si="1"/>
        <v>Shannon Miller</v>
      </c>
      <c r="D277" s="6">
        <v>22.0</v>
      </c>
      <c r="E277" s="6" t="s">
        <v>14</v>
      </c>
      <c r="F277" s="6" t="str">
        <f t="shared" si="2"/>
        <v>Female</v>
      </c>
      <c r="G277" s="6" t="s">
        <v>892</v>
      </c>
      <c r="H277" s="6" t="s">
        <v>600</v>
      </c>
      <c r="I277" s="6" t="s">
        <v>17</v>
      </c>
      <c r="J277" s="6" t="s">
        <v>24</v>
      </c>
      <c r="K277" s="6" t="str">
        <f t="shared" si="3"/>
        <v>Gold</v>
      </c>
    </row>
    <row r="278" ht="14.25" customHeight="1">
      <c r="A278" s="6" t="s">
        <v>893</v>
      </c>
      <c r="B278" s="6" t="s">
        <v>894</v>
      </c>
      <c r="C278" s="6" t="str">
        <f t="shared" si="1"/>
        <v>Arthur Warren</v>
      </c>
      <c r="D278" s="6">
        <v>38.0</v>
      </c>
      <c r="E278" s="6" t="s">
        <v>14</v>
      </c>
      <c r="F278" s="6" t="str">
        <f t="shared" si="2"/>
        <v>Female</v>
      </c>
      <c r="G278" s="6" t="s">
        <v>895</v>
      </c>
      <c r="H278" s="6" t="s">
        <v>192</v>
      </c>
      <c r="I278" s="6" t="s">
        <v>17</v>
      </c>
      <c r="J278" s="6" t="s">
        <v>24</v>
      </c>
      <c r="K278" s="6" t="str">
        <f t="shared" si="3"/>
        <v>Gold</v>
      </c>
    </row>
    <row r="279" ht="14.25" customHeight="1">
      <c r="A279" s="6" t="s">
        <v>896</v>
      </c>
      <c r="B279" s="6" t="s">
        <v>897</v>
      </c>
      <c r="C279" s="6" t="str">
        <f t="shared" si="1"/>
        <v>Jeffrey Gomez</v>
      </c>
      <c r="D279" s="6">
        <v>22.0</v>
      </c>
      <c r="E279" s="6" t="s">
        <v>21</v>
      </c>
      <c r="F279" s="6" t="str">
        <f t="shared" si="2"/>
        <v>Male</v>
      </c>
      <c r="G279" s="6" t="s">
        <v>898</v>
      </c>
      <c r="H279" s="6" t="s">
        <v>282</v>
      </c>
      <c r="I279" s="6" t="s">
        <v>17</v>
      </c>
      <c r="J279" s="6" t="s">
        <v>18</v>
      </c>
      <c r="K279" s="6" t="str">
        <f t="shared" si="3"/>
        <v>Platinum</v>
      </c>
    </row>
    <row r="280" ht="14.25" customHeight="1">
      <c r="A280" s="6" t="s">
        <v>899</v>
      </c>
      <c r="B280" s="6" t="s">
        <v>900</v>
      </c>
      <c r="C280" s="6" t="str">
        <f t="shared" si="1"/>
        <v>Stephen Fowler</v>
      </c>
      <c r="D280" s="6">
        <v>42.0</v>
      </c>
      <c r="E280" s="6" t="s">
        <v>21</v>
      </c>
      <c r="F280" s="6" t="str">
        <f t="shared" si="2"/>
        <v>Male</v>
      </c>
      <c r="G280" s="6" t="s">
        <v>901</v>
      </c>
      <c r="H280" s="6" t="s">
        <v>225</v>
      </c>
      <c r="I280" s="6" t="s">
        <v>17</v>
      </c>
      <c r="J280" s="6" t="s">
        <v>18</v>
      </c>
      <c r="K280" s="6" t="str">
        <f t="shared" si="3"/>
        <v>Platinum</v>
      </c>
    </row>
    <row r="281" ht="14.25" customHeight="1">
      <c r="A281" s="6" t="s">
        <v>902</v>
      </c>
      <c r="B281" s="6" t="s">
        <v>903</v>
      </c>
      <c r="C281" s="6" t="str">
        <f t="shared" si="1"/>
        <v>Aaron Luna</v>
      </c>
      <c r="D281" s="6">
        <v>21.0</v>
      </c>
      <c r="E281" s="6" t="s">
        <v>21</v>
      </c>
      <c r="F281" s="6" t="str">
        <f t="shared" si="2"/>
        <v>Male</v>
      </c>
      <c r="G281" s="6" t="s">
        <v>904</v>
      </c>
      <c r="H281" s="6" t="s">
        <v>33</v>
      </c>
      <c r="I281" s="6" t="s">
        <v>17</v>
      </c>
      <c r="J281" s="6" t="s">
        <v>29</v>
      </c>
      <c r="K281" s="6" t="str">
        <f t="shared" si="3"/>
        <v>Bronze</v>
      </c>
    </row>
    <row r="282" ht="14.25" customHeight="1">
      <c r="A282" s="6" t="s">
        <v>905</v>
      </c>
      <c r="B282" s="6" t="s">
        <v>906</v>
      </c>
      <c r="C282" s="6" t="str">
        <f t="shared" si="1"/>
        <v>Antonio Leon</v>
      </c>
      <c r="D282" s="6">
        <v>48.0</v>
      </c>
      <c r="E282" s="6" t="s">
        <v>14</v>
      </c>
      <c r="F282" s="6" t="str">
        <f t="shared" si="2"/>
        <v>Female</v>
      </c>
      <c r="G282" s="6" t="s">
        <v>907</v>
      </c>
      <c r="H282" s="6" t="s">
        <v>107</v>
      </c>
      <c r="I282" s="6" t="s">
        <v>17</v>
      </c>
      <c r="J282" s="6" t="s">
        <v>29</v>
      </c>
      <c r="K282" s="6" t="str">
        <f t="shared" si="3"/>
        <v>Bronze</v>
      </c>
    </row>
    <row r="283" ht="14.25" customHeight="1">
      <c r="A283" s="6" t="s">
        <v>908</v>
      </c>
      <c r="B283" s="6" t="s">
        <v>909</v>
      </c>
      <c r="C283" s="6" t="str">
        <f t="shared" si="1"/>
        <v>Brittany Watson</v>
      </c>
      <c r="D283" s="6">
        <v>59.0</v>
      </c>
      <c r="E283" s="6" t="s">
        <v>14</v>
      </c>
      <c r="F283" s="6" t="str">
        <f t="shared" si="2"/>
        <v>Female</v>
      </c>
      <c r="G283" s="6" t="s">
        <v>910</v>
      </c>
      <c r="H283" s="6" t="s">
        <v>175</v>
      </c>
      <c r="I283" s="6" t="s">
        <v>17</v>
      </c>
      <c r="J283" s="6" t="s">
        <v>18</v>
      </c>
      <c r="K283" s="6" t="str">
        <f t="shared" si="3"/>
        <v>Platinum</v>
      </c>
    </row>
    <row r="284" ht="14.25" customHeight="1">
      <c r="A284" s="6" t="s">
        <v>911</v>
      </c>
      <c r="B284" s="6" t="s">
        <v>912</v>
      </c>
      <c r="C284" s="6" t="str">
        <f t="shared" si="1"/>
        <v>Kristi Lopez</v>
      </c>
      <c r="D284" s="6">
        <v>46.0</v>
      </c>
      <c r="E284" s="6" t="s">
        <v>21</v>
      </c>
      <c r="F284" s="6" t="str">
        <f t="shared" si="2"/>
        <v>Male</v>
      </c>
      <c r="G284" s="6" t="s">
        <v>913</v>
      </c>
      <c r="H284" s="6" t="s">
        <v>95</v>
      </c>
      <c r="I284" s="6" t="s">
        <v>17</v>
      </c>
      <c r="J284" s="6" t="s">
        <v>24</v>
      </c>
      <c r="K284" s="6" t="str">
        <f t="shared" si="3"/>
        <v>Gold</v>
      </c>
    </row>
    <row r="285" ht="14.25" customHeight="1">
      <c r="A285" s="6" t="s">
        <v>914</v>
      </c>
      <c r="B285" s="6" t="s">
        <v>915</v>
      </c>
      <c r="C285" s="6" t="str">
        <f t="shared" si="1"/>
        <v>Bryan Garcia</v>
      </c>
      <c r="D285" s="6">
        <v>54.0</v>
      </c>
      <c r="E285" s="6" t="s">
        <v>21</v>
      </c>
      <c r="F285" s="6" t="str">
        <f t="shared" si="2"/>
        <v>Male</v>
      </c>
      <c r="G285" s="6" t="s">
        <v>916</v>
      </c>
      <c r="H285" s="6" t="s">
        <v>860</v>
      </c>
      <c r="I285" s="6" t="s">
        <v>17</v>
      </c>
      <c r="J285" s="6" t="s">
        <v>34</v>
      </c>
      <c r="K285" s="6" t="str">
        <f t="shared" si="3"/>
        <v>Silver</v>
      </c>
    </row>
    <row r="286" ht="14.25" customHeight="1">
      <c r="A286" s="6" t="s">
        <v>917</v>
      </c>
      <c r="B286" s="6" t="s">
        <v>918</v>
      </c>
      <c r="C286" s="6" t="str">
        <f t="shared" si="1"/>
        <v>Hunter Sutton</v>
      </c>
      <c r="D286" s="6">
        <v>54.0</v>
      </c>
      <c r="E286" s="6" t="s">
        <v>14</v>
      </c>
      <c r="F286" s="6" t="str">
        <f t="shared" si="2"/>
        <v>Female</v>
      </c>
      <c r="G286" s="6" t="s">
        <v>919</v>
      </c>
      <c r="H286" s="6" t="s">
        <v>175</v>
      </c>
      <c r="I286" s="6" t="s">
        <v>17</v>
      </c>
      <c r="J286" s="6" t="s">
        <v>24</v>
      </c>
      <c r="K286" s="6" t="str">
        <f t="shared" si="3"/>
        <v>Gold</v>
      </c>
    </row>
    <row r="287" ht="14.25" customHeight="1">
      <c r="A287" s="6" t="s">
        <v>920</v>
      </c>
      <c r="B287" s="6" t="s">
        <v>921</v>
      </c>
      <c r="C287" s="6" t="str">
        <f t="shared" si="1"/>
        <v>Donna Guerra</v>
      </c>
      <c r="D287" s="6">
        <v>46.0</v>
      </c>
      <c r="E287" s="6" t="s">
        <v>21</v>
      </c>
      <c r="F287" s="6" t="str">
        <f t="shared" si="2"/>
        <v>Male</v>
      </c>
      <c r="G287" s="6" t="s">
        <v>922</v>
      </c>
      <c r="H287" s="6" t="s">
        <v>729</v>
      </c>
      <c r="I287" s="6" t="s">
        <v>17</v>
      </c>
      <c r="J287" s="6" t="s">
        <v>34</v>
      </c>
      <c r="K287" s="6" t="str">
        <f t="shared" si="3"/>
        <v>Silver</v>
      </c>
    </row>
    <row r="288" ht="14.25" customHeight="1">
      <c r="A288" s="6" t="s">
        <v>923</v>
      </c>
      <c r="B288" s="6" t="s">
        <v>924</v>
      </c>
      <c r="C288" s="6" t="str">
        <f t="shared" si="1"/>
        <v>Tommy Roberts</v>
      </c>
      <c r="D288" s="6">
        <v>22.0</v>
      </c>
      <c r="E288" s="6" t="s">
        <v>14</v>
      </c>
      <c r="F288" s="6" t="str">
        <f t="shared" si="2"/>
        <v>Female</v>
      </c>
      <c r="G288" s="6" t="s">
        <v>925</v>
      </c>
      <c r="H288" s="6" t="s">
        <v>46</v>
      </c>
      <c r="I288" s="6" t="s">
        <v>17</v>
      </c>
      <c r="J288" s="6" t="s">
        <v>34</v>
      </c>
      <c r="K288" s="6" t="str">
        <f t="shared" si="3"/>
        <v>Silver</v>
      </c>
    </row>
    <row r="289" ht="14.25" customHeight="1">
      <c r="A289" s="6" t="s">
        <v>926</v>
      </c>
      <c r="B289" s="6" t="s">
        <v>927</v>
      </c>
      <c r="C289" s="6" t="str">
        <f t="shared" si="1"/>
        <v>Cynthia Roberts</v>
      </c>
      <c r="D289" s="6">
        <v>22.0</v>
      </c>
      <c r="E289" s="6" t="s">
        <v>21</v>
      </c>
      <c r="F289" s="6" t="str">
        <f t="shared" si="2"/>
        <v>Male</v>
      </c>
      <c r="G289" s="6" t="s">
        <v>928</v>
      </c>
      <c r="H289" s="6" t="s">
        <v>179</v>
      </c>
      <c r="I289" s="6" t="s">
        <v>17</v>
      </c>
      <c r="J289" s="6" t="s">
        <v>24</v>
      </c>
      <c r="K289" s="6" t="str">
        <f t="shared" si="3"/>
        <v>Gold</v>
      </c>
    </row>
    <row r="290" ht="14.25" customHeight="1">
      <c r="A290" s="6" t="s">
        <v>929</v>
      </c>
      <c r="B290" s="6" t="s">
        <v>930</v>
      </c>
      <c r="C290" s="6" t="str">
        <f t="shared" si="1"/>
        <v>Misty Ferguson</v>
      </c>
      <c r="D290" s="6">
        <v>58.0</v>
      </c>
      <c r="E290" s="6" t="s">
        <v>14</v>
      </c>
      <c r="F290" s="6" t="str">
        <f t="shared" si="2"/>
        <v>Female</v>
      </c>
      <c r="G290" s="6" t="s">
        <v>931</v>
      </c>
      <c r="H290" s="6" t="s">
        <v>175</v>
      </c>
      <c r="I290" s="6" t="s">
        <v>17</v>
      </c>
      <c r="J290" s="6" t="s">
        <v>24</v>
      </c>
      <c r="K290" s="6" t="str">
        <f t="shared" si="3"/>
        <v>Gold</v>
      </c>
    </row>
    <row r="291" ht="14.25" customHeight="1">
      <c r="A291" s="6" t="s">
        <v>932</v>
      </c>
      <c r="B291" s="6" t="s">
        <v>933</v>
      </c>
      <c r="C291" s="6" t="str">
        <f t="shared" si="1"/>
        <v>Jennifer Figueroa</v>
      </c>
      <c r="D291" s="6">
        <v>45.0</v>
      </c>
      <c r="E291" s="6" t="s">
        <v>14</v>
      </c>
      <c r="F291" s="6" t="str">
        <f t="shared" si="2"/>
        <v>Female</v>
      </c>
      <c r="G291" s="6" t="s">
        <v>934</v>
      </c>
      <c r="H291" s="6" t="s">
        <v>33</v>
      </c>
      <c r="I291" s="6" t="s">
        <v>17</v>
      </c>
      <c r="J291" s="6" t="s">
        <v>29</v>
      </c>
      <c r="K291" s="6" t="str">
        <f t="shared" si="3"/>
        <v>Bronze</v>
      </c>
    </row>
    <row r="292" ht="14.25" customHeight="1">
      <c r="A292" s="6" t="s">
        <v>935</v>
      </c>
      <c r="B292" s="6" t="s">
        <v>936</v>
      </c>
      <c r="C292" s="6" t="str">
        <f t="shared" si="1"/>
        <v>Chase Williams Md</v>
      </c>
      <c r="D292" s="6">
        <v>52.0</v>
      </c>
      <c r="E292" s="6" t="s">
        <v>21</v>
      </c>
      <c r="F292" s="6" t="str">
        <f t="shared" si="2"/>
        <v>Male</v>
      </c>
      <c r="G292" s="6" t="s">
        <v>937</v>
      </c>
      <c r="H292" s="6" t="s">
        <v>295</v>
      </c>
      <c r="I292" s="6" t="s">
        <v>17</v>
      </c>
      <c r="J292" s="6" t="s">
        <v>34</v>
      </c>
      <c r="K292" s="6" t="str">
        <f t="shared" si="3"/>
        <v>Silver</v>
      </c>
    </row>
    <row r="293" ht="14.25" customHeight="1">
      <c r="A293" s="6" t="s">
        <v>938</v>
      </c>
      <c r="B293" s="6" t="s">
        <v>939</v>
      </c>
      <c r="C293" s="6" t="str">
        <f t="shared" si="1"/>
        <v>James Powell</v>
      </c>
      <c r="D293" s="6">
        <v>40.0</v>
      </c>
      <c r="E293" s="6" t="s">
        <v>21</v>
      </c>
      <c r="F293" s="6" t="str">
        <f t="shared" si="2"/>
        <v>Male</v>
      </c>
      <c r="G293" s="6" t="s">
        <v>940</v>
      </c>
      <c r="H293" s="6" t="s">
        <v>121</v>
      </c>
      <c r="I293" s="6" t="s">
        <v>17</v>
      </c>
      <c r="J293" s="6" t="s">
        <v>29</v>
      </c>
      <c r="K293" s="6" t="str">
        <f t="shared" si="3"/>
        <v>Bronze</v>
      </c>
    </row>
    <row r="294" ht="14.25" customHeight="1">
      <c r="A294" s="6" t="s">
        <v>941</v>
      </c>
      <c r="B294" s="6" t="s">
        <v>942</v>
      </c>
      <c r="C294" s="6" t="str">
        <f t="shared" si="1"/>
        <v>Ricardo Jones</v>
      </c>
      <c r="D294" s="6">
        <v>30.0</v>
      </c>
      <c r="E294" s="6" t="s">
        <v>14</v>
      </c>
      <c r="F294" s="6" t="str">
        <f t="shared" si="2"/>
        <v>Female</v>
      </c>
      <c r="G294" s="6" t="s">
        <v>943</v>
      </c>
      <c r="H294" s="6" t="s">
        <v>209</v>
      </c>
      <c r="I294" s="6" t="s">
        <v>17</v>
      </c>
      <c r="J294" s="6" t="s">
        <v>34</v>
      </c>
      <c r="K294" s="6" t="str">
        <f t="shared" si="3"/>
        <v>Silver</v>
      </c>
    </row>
    <row r="295" ht="14.25" customHeight="1">
      <c r="A295" s="6" t="s">
        <v>944</v>
      </c>
      <c r="B295" s="6" t="s">
        <v>945</v>
      </c>
      <c r="C295" s="6" t="str">
        <f t="shared" si="1"/>
        <v>Gloria Taylor</v>
      </c>
      <c r="D295" s="6">
        <v>56.0</v>
      </c>
      <c r="E295" s="6" t="s">
        <v>21</v>
      </c>
      <c r="F295" s="6" t="str">
        <f t="shared" si="2"/>
        <v>Male</v>
      </c>
      <c r="G295" s="6" t="s">
        <v>946</v>
      </c>
      <c r="H295" s="6" t="s">
        <v>336</v>
      </c>
      <c r="I295" s="6" t="s">
        <v>17</v>
      </c>
      <c r="J295" s="6" t="s">
        <v>18</v>
      </c>
      <c r="K295" s="6" t="str">
        <f t="shared" si="3"/>
        <v>Platinum</v>
      </c>
    </row>
    <row r="296" ht="14.25" customHeight="1">
      <c r="A296" s="6" t="s">
        <v>947</v>
      </c>
      <c r="B296" s="6" t="s">
        <v>948</v>
      </c>
      <c r="C296" s="6" t="str">
        <f t="shared" si="1"/>
        <v>Lisa Chandler</v>
      </c>
      <c r="D296" s="6">
        <v>29.0</v>
      </c>
      <c r="E296" s="6" t="s">
        <v>14</v>
      </c>
      <c r="F296" s="6" t="str">
        <f t="shared" si="2"/>
        <v>Female</v>
      </c>
      <c r="G296" s="6" t="s">
        <v>584</v>
      </c>
      <c r="H296" s="6" t="s">
        <v>73</v>
      </c>
      <c r="I296" s="6" t="s">
        <v>17</v>
      </c>
      <c r="J296" s="6" t="s">
        <v>18</v>
      </c>
      <c r="K296" s="6" t="str">
        <f t="shared" si="3"/>
        <v>Platinum</v>
      </c>
    </row>
    <row r="297" ht="14.25" customHeight="1">
      <c r="A297" s="6" t="s">
        <v>949</v>
      </c>
      <c r="B297" s="6" t="s">
        <v>950</v>
      </c>
      <c r="C297" s="6" t="str">
        <f t="shared" si="1"/>
        <v>Crystal Waters</v>
      </c>
      <c r="D297" s="6">
        <v>19.0</v>
      </c>
      <c r="E297" s="6" t="s">
        <v>21</v>
      </c>
      <c r="F297" s="6" t="str">
        <f t="shared" si="2"/>
        <v>Male</v>
      </c>
      <c r="G297" s="6" t="s">
        <v>951</v>
      </c>
      <c r="H297" s="6" t="s">
        <v>69</v>
      </c>
      <c r="I297" s="6" t="s">
        <v>17</v>
      </c>
      <c r="J297" s="6" t="s">
        <v>29</v>
      </c>
      <c r="K297" s="6" t="str">
        <f t="shared" si="3"/>
        <v>Bronze</v>
      </c>
    </row>
    <row r="298" ht="14.25" customHeight="1">
      <c r="A298" s="6" t="s">
        <v>952</v>
      </c>
      <c r="B298" s="6" t="s">
        <v>953</v>
      </c>
      <c r="C298" s="6" t="str">
        <f t="shared" si="1"/>
        <v>Jared Moran</v>
      </c>
      <c r="D298" s="6">
        <v>28.0</v>
      </c>
      <c r="E298" s="6" t="s">
        <v>21</v>
      </c>
      <c r="F298" s="6" t="str">
        <f t="shared" si="2"/>
        <v>Male</v>
      </c>
      <c r="G298" s="6" t="s">
        <v>305</v>
      </c>
      <c r="H298" s="6" t="s">
        <v>50</v>
      </c>
      <c r="I298" s="6" t="s">
        <v>17</v>
      </c>
      <c r="J298" s="6" t="s">
        <v>29</v>
      </c>
      <c r="K298" s="6" t="str">
        <f t="shared" si="3"/>
        <v>Bronze</v>
      </c>
    </row>
    <row r="299" ht="14.25" customHeight="1">
      <c r="A299" s="6" t="s">
        <v>954</v>
      </c>
      <c r="B299" s="6" t="s">
        <v>955</v>
      </c>
      <c r="C299" s="6" t="str">
        <f t="shared" si="1"/>
        <v>Jennifer Carr</v>
      </c>
      <c r="D299" s="6">
        <v>47.0</v>
      </c>
      <c r="E299" s="6" t="s">
        <v>21</v>
      </c>
      <c r="F299" s="6" t="str">
        <f t="shared" si="2"/>
        <v>Male</v>
      </c>
      <c r="G299" s="6" t="s">
        <v>956</v>
      </c>
      <c r="H299" s="6" t="s">
        <v>121</v>
      </c>
      <c r="I299" s="6" t="s">
        <v>17</v>
      </c>
      <c r="J299" s="6" t="s">
        <v>34</v>
      </c>
      <c r="K299" s="6" t="str">
        <f t="shared" si="3"/>
        <v>Silver</v>
      </c>
    </row>
    <row r="300" ht="14.25" customHeight="1">
      <c r="A300" s="6" t="s">
        <v>957</v>
      </c>
      <c r="B300" s="6" t="s">
        <v>958</v>
      </c>
      <c r="C300" s="6" t="str">
        <f t="shared" si="1"/>
        <v>Tracy Stephens</v>
      </c>
      <c r="D300" s="6">
        <v>64.0</v>
      </c>
      <c r="E300" s="6" t="s">
        <v>14</v>
      </c>
      <c r="F300" s="6" t="str">
        <f t="shared" si="2"/>
        <v>Female</v>
      </c>
      <c r="G300" s="6" t="s">
        <v>959</v>
      </c>
      <c r="H300" s="6" t="s">
        <v>443</v>
      </c>
      <c r="I300" s="6" t="s">
        <v>17</v>
      </c>
      <c r="J300" s="6" t="s">
        <v>18</v>
      </c>
      <c r="K300" s="6" t="str">
        <f t="shared" si="3"/>
        <v>Platinum</v>
      </c>
    </row>
    <row r="301" ht="14.25" customHeight="1">
      <c r="A301" s="6" t="s">
        <v>960</v>
      </c>
      <c r="B301" s="6" t="s">
        <v>961</v>
      </c>
      <c r="C301" s="6" t="str">
        <f t="shared" si="1"/>
        <v>Stephanie Jacobs</v>
      </c>
      <c r="D301" s="6">
        <v>48.0</v>
      </c>
      <c r="E301" s="6" t="s">
        <v>21</v>
      </c>
      <c r="F301" s="6" t="str">
        <f t="shared" si="2"/>
        <v>Male</v>
      </c>
      <c r="G301" s="6" t="s">
        <v>962</v>
      </c>
      <c r="H301" s="6" t="s">
        <v>336</v>
      </c>
      <c r="I301" s="6" t="s">
        <v>17</v>
      </c>
      <c r="J301" s="6" t="s">
        <v>18</v>
      </c>
      <c r="K301" s="6" t="str">
        <f t="shared" si="3"/>
        <v>Platinum</v>
      </c>
    </row>
    <row r="302" ht="14.25" customHeight="1">
      <c r="A302" s="6" t="s">
        <v>963</v>
      </c>
      <c r="B302" s="6" t="s">
        <v>964</v>
      </c>
      <c r="C302" s="6" t="str">
        <f t="shared" si="1"/>
        <v>Matthew Avery</v>
      </c>
      <c r="D302" s="6">
        <v>29.0</v>
      </c>
      <c r="E302" s="6" t="s">
        <v>14</v>
      </c>
      <c r="F302" s="6" t="str">
        <f t="shared" si="2"/>
        <v>Female</v>
      </c>
      <c r="G302" s="6" t="s">
        <v>965</v>
      </c>
      <c r="H302" s="6" t="s">
        <v>42</v>
      </c>
      <c r="I302" s="6" t="s">
        <v>17</v>
      </c>
      <c r="J302" s="6" t="s">
        <v>34</v>
      </c>
      <c r="K302" s="6" t="str">
        <f t="shared" si="3"/>
        <v>Silver</v>
      </c>
    </row>
    <row r="303" ht="14.25" customHeight="1">
      <c r="A303" s="6" t="s">
        <v>966</v>
      </c>
      <c r="B303" s="6" t="s">
        <v>967</v>
      </c>
      <c r="C303" s="6" t="str">
        <f t="shared" si="1"/>
        <v>Ryan Kane</v>
      </c>
      <c r="D303" s="6">
        <v>50.0</v>
      </c>
      <c r="E303" s="6" t="s">
        <v>14</v>
      </c>
      <c r="F303" s="6" t="str">
        <f t="shared" si="2"/>
        <v>Female</v>
      </c>
      <c r="G303" s="6" t="s">
        <v>968</v>
      </c>
      <c r="H303" s="6" t="s">
        <v>295</v>
      </c>
      <c r="I303" s="6" t="s">
        <v>17</v>
      </c>
      <c r="J303" s="6" t="s">
        <v>24</v>
      </c>
      <c r="K303" s="6" t="str">
        <f t="shared" si="3"/>
        <v>Gold</v>
      </c>
    </row>
    <row r="304" ht="14.25" customHeight="1">
      <c r="A304" s="6" t="s">
        <v>969</v>
      </c>
      <c r="B304" s="6" t="s">
        <v>970</v>
      </c>
      <c r="C304" s="6" t="str">
        <f t="shared" si="1"/>
        <v>Edward Cole</v>
      </c>
      <c r="D304" s="6">
        <v>36.0</v>
      </c>
      <c r="E304" s="6" t="s">
        <v>14</v>
      </c>
      <c r="F304" s="6" t="str">
        <f t="shared" si="2"/>
        <v>Female</v>
      </c>
      <c r="G304" s="6" t="s">
        <v>971</v>
      </c>
      <c r="H304" s="6" t="s">
        <v>141</v>
      </c>
      <c r="I304" s="6" t="s">
        <v>17</v>
      </c>
      <c r="J304" s="6" t="s">
        <v>24</v>
      </c>
      <c r="K304" s="6" t="str">
        <f t="shared" si="3"/>
        <v>Gold</v>
      </c>
    </row>
    <row r="305" ht="14.25" customHeight="1">
      <c r="A305" s="6" t="s">
        <v>972</v>
      </c>
      <c r="B305" s="6" t="s">
        <v>973</v>
      </c>
      <c r="C305" s="6" t="str">
        <f t="shared" si="1"/>
        <v>John Sloan</v>
      </c>
      <c r="D305" s="6">
        <v>23.0</v>
      </c>
      <c r="E305" s="6" t="s">
        <v>21</v>
      </c>
      <c r="F305" s="6" t="str">
        <f t="shared" si="2"/>
        <v>Male</v>
      </c>
      <c r="G305" s="6" t="s">
        <v>974</v>
      </c>
      <c r="H305" s="6" t="s">
        <v>99</v>
      </c>
      <c r="I305" s="6" t="s">
        <v>17</v>
      </c>
      <c r="J305" s="6" t="s">
        <v>18</v>
      </c>
      <c r="K305" s="6" t="str">
        <f t="shared" si="3"/>
        <v>Platinum</v>
      </c>
    </row>
    <row r="306" ht="14.25" customHeight="1">
      <c r="A306" s="6" t="s">
        <v>975</v>
      </c>
      <c r="B306" s="6" t="s">
        <v>976</v>
      </c>
      <c r="C306" s="6" t="str">
        <f t="shared" si="1"/>
        <v>Miss Alexandria Li Dvm</v>
      </c>
      <c r="D306" s="6">
        <v>41.0</v>
      </c>
      <c r="E306" s="6" t="s">
        <v>14</v>
      </c>
      <c r="F306" s="6" t="str">
        <f t="shared" si="2"/>
        <v>Female</v>
      </c>
      <c r="G306" s="6" t="s">
        <v>977</v>
      </c>
      <c r="H306" s="6" t="s">
        <v>69</v>
      </c>
      <c r="I306" s="6" t="s">
        <v>17</v>
      </c>
      <c r="J306" s="6" t="s">
        <v>34</v>
      </c>
      <c r="K306" s="6" t="str">
        <f t="shared" si="3"/>
        <v>Silver</v>
      </c>
    </row>
    <row r="307" ht="14.25" customHeight="1">
      <c r="A307" s="6" t="s">
        <v>978</v>
      </c>
      <c r="B307" s="6" t="s">
        <v>979</v>
      </c>
      <c r="C307" s="6" t="str">
        <f t="shared" si="1"/>
        <v>Roberta Green</v>
      </c>
      <c r="D307" s="6">
        <v>64.0</v>
      </c>
      <c r="E307" s="6" t="s">
        <v>14</v>
      </c>
      <c r="F307" s="6" t="str">
        <f t="shared" si="2"/>
        <v>Female</v>
      </c>
      <c r="G307" s="6" t="s">
        <v>980</v>
      </c>
      <c r="H307" s="6" t="s">
        <v>81</v>
      </c>
      <c r="I307" s="6" t="s">
        <v>17</v>
      </c>
      <c r="J307" s="6" t="s">
        <v>18</v>
      </c>
      <c r="K307" s="6" t="str">
        <f t="shared" si="3"/>
        <v>Platinum</v>
      </c>
    </row>
    <row r="308" ht="14.25" customHeight="1">
      <c r="A308" s="6" t="s">
        <v>981</v>
      </c>
      <c r="B308" s="6" t="s">
        <v>982</v>
      </c>
      <c r="C308" s="6" t="str">
        <f t="shared" si="1"/>
        <v>Angela Robinson</v>
      </c>
      <c r="D308" s="6">
        <v>44.0</v>
      </c>
      <c r="E308" s="6" t="s">
        <v>14</v>
      </c>
      <c r="F308" s="6" t="str">
        <f t="shared" si="2"/>
        <v>Female</v>
      </c>
      <c r="G308" s="6" t="s">
        <v>983</v>
      </c>
      <c r="H308" s="6" t="s">
        <v>245</v>
      </c>
      <c r="I308" s="6" t="s">
        <v>17</v>
      </c>
      <c r="J308" s="6" t="s">
        <v>18</v>
      </c>
      <c r="K308" s="6" t="str">
        <f t="shared" si="3"/>
        <v>Platinum</v>
      </c>
    </row>
    <row r="309" ht="14.25" customHeight="1">
      <c r="A309" s="6" t="s">
        <v>984</v>
      </c>
      <c r="B309" s="6" t="s">
        <v>985</v>
      </c>
      <c r="C309" s="6" t="str">
        <f t="shared" si="1"/>
        <v>Brandy Thompson</v>
      </c>
      <c r="D309" s="6">
        <v>56.0</v>
      </c>
      <c r="E309" s="6" t="s">
        <v>21</v>
      </c>
      <c r="F309" s="6" t="str">
        <f t="shared" si="2"/>
        <v>Male</v>
      </c>
      <c r="G309" s="6" t="s">
        <v>986</v>
      </c>
      <c r="H309" s="6" t="s">
        <v>28</v>
      </c>
      <c r="I309" s="6" t="s">
        <v>17</v>
      </c>
      <c r="J309" s="6" t="s">
        <v>29</v>
      </c>
      <c r="K309" s="6" t="str">
        <f t="shared" si="3"/>
        <v>Bronze</v>
      </c>
    </row>
    <row r="310" ht="14.25" customHeight="1">
      <c r="A310" s="6" t="s">
        <v>987</v>
      </c>
      <c r="B310" s="6" t="s">
        <v>988</v>
      </c>
      <c r="C310" s="6" t="str">
        <f t="shared" si="1"/>
        <v>Jennifer Zamora</v>
      </c>
      <c r="D310" s="6">
        <v>60.0</v>
      </c>
      <c r="E310" s="6" t="s">
        <v>21</v>
      </c>
      <c r="F310" s="6" t="str">
        <f t="shared" si="2"/>
        <v>Male</v>
      </c>
      <c r="G310" s="6" t="s">
        <v>989</v>
      </c>
      <c r="H310" s="6" t="s">
        <v>275</v>
      </c>
      <c r="I310" s="6" t="s">
        <v>17</v>
      </c>
      <c r="J310" s="6" t="s">
        <v>24</v>
      </c>
      <c r="K310" s="6" t="str">
        <f t="shared" si="3"/>
        <v>Gold</v>
      </c>
    </row>
    <row r="311" ht="14.25" customHeight="1">
      <c r="A311" s="6" t="s">
        <v>990</v>
      </c>
      <c r="B311" s="6" t="s">
        <v>991</v>
      </c>
      <c r="C311" s="6" t="str">
        <f t="shared" si="1"/>
        <v>Stacy Collins</v>
      </c>
      <c r="D311" s="6">
        <v>41.0</v>
      </c>
      <c r="E311" s="6" t="s">
        <v>21</v>
      </c>
      <c r="F311" s="6" t="str">
        <f t="shared" si="2"/>
        <v>Male</v>
      </c>
      <c r="G311" s="6" t="s">
        <v>992</v>
      </c>
      <c r="H311" s="6" t="s">
        <v>38</v>
      </c>
      <c r="I311" s="6" t="s">
        <v>17</v>
      </c>
      <c r="J311" s="6" t="s">
        <v>29</v>
      </c>
      <c r="K311" s="6" t="str">
        <f t="shared" si="3"/>
        <v>Bronze</v>
      </c>
    </row>
    <row r="312" ht="14.25" customHeight="1">
      <c r="A312" s="6" t="s">
        <v>993</v>
      </c>
      <c r="B312" s="6" t="s">
        <v>994</v>
      </c>
      <c r="C312" s="6" t="str">
        <f t="shared" si="1"/>
        <v>Kara Dodson</v>
      </c>
      <c r="D312" s="6">
        <v>20.0</v>
      </c>
      <c r="E312" s="6" t="s">
        <v>14</v>
      </c>
      <c r="F312" s="6" t="str">
        <f t="shared" si="2"/>
        <v>Female</v>
      </c>
      <c r="G312" s="6" t="s">
        <v>995</v>
      </c>
      <c r="H312" s="6" t="s">
        <v>179</v>
      </c>
      <c r="I312" s="6" t="s">
        <v>17</v>
      </c>
      <c r="J312" s="6" t="s">
        <v>34</v>
      </c>
      <c r="K312" s="6" t="str">
        <f t="shared" si="3"/>
        <v>Silver</v>
      </c>
    </row>
    <row r="313" ht="14.25" customHeight="1">
      <c r="A313" s="6" t="s">
        <v>996</v>
      </c>
      <c r="B313" s="6" t="s">
        <v>997</v>
      </c>
      <c r="C313" s="6" t="str">
        <f t="shared" si="1"/>
        <v>Kevin Larson</v>
      </c>
      <c r="D313" s="6">
        <v>35.0</v>
      </c>
      <c r="E313" s="6" t="s">
        <v>14</v>
      </c>
      <c r="F313" s="6" t="str">
        <f t="shared" si="2"/>
        <v>Female</v>
      </c>
      <c r="G313" s="6" t="s">
        <v>998</v>
      </c>
      <c r="H313" s="6" t="s">
        <v>42</v>
      </c>
      <c r="I313" s="6" t="s">
        <v>17</v>
      </c>
      <c r="J313" s="6" t="s">
        <v>18</v>
      </c>
      <c r="K313" s="6" t="str">
        <f t="shared" si="3"/>
        <v>Platinum</v>
      </c>
    </row>
    <row r="314" ht="14.25" customHeight="1">
      <c r="A314" s="6" t="s">
        <v>999</v>
      </c>
      <c r="B314" s="6" t="s">
        <v>1000</v>
      </c>
      <c r="C314" s="6" t="str">
        <f t="shared" si="1"/>
        <v>Jason Mullins</v>
      </c>
      <c r="D314" s="6">
        <v>47.0</v>
      </c>
      <c r="E314" s="6" t="s">
        <v>21</v>
      </c>
      <c r="F314" s="6" t="str">
        <f t="shared" si="2"/>
        <v>Male</v>
      </c>
      <c r="G314" s="6" t="s">
        <v>1001</v>
      </c>
      <c r="H314" s="6" t="s">
        <v>99</v>
      </c>
      <c r="I314" s="6" t="s">
        <v>17</v>
      </c>
      <c r="J314" s="6" t="s">
        <v>34</v>
      </c>
      <c r="K314" s="6" t="str">
        <f t="shared" si="3"/>
        <v>Silver</v>
      </c>
    </row>
    <row r="315" ht="14.25" customHeight="1">
      <c r="A315" s="6" t="s">
        <v>1002</v>
      </c>
      <c r="B315" s="6" t="s">
        <v>1003</v>
      </c>
      <c r="C315" s="6" t="str">
        <f t="shared" si="1"/>
        <v>Elizabeth Jones</v>
      </c>
      <c r="D315" s="6">
        <v>62.0</v>
      </c>
      <c r="E315" s="6" t="s">
        <v>14</v>
      </c>
      <c r="F315" s="6" t="str">
        <f t="shared" si="2"/>
        <v>Female</v>
      </c>
      <c r="G315" s="6" t="s">
        <v>1004</v>
      </c>
      <c r="H315" s="6" t="s">
        <v>148</v>
      </c>
      <c r="I315" s="6" t="s">
        <v>17</v>
      </c>
      <c r="J315" s="6" t="s">
        <v>18</v>
      </c>
      <c r="K315" s="6" t="str">
        <f t="shared" si="3"/>
        <v>Platinum</v>
      </c>
    </row>
    <row r="316" ht="14.25" customHeight="1">
      <c r="A316" s="6" t="s">
        <v>1005</v>
      </c>
      <c r="B316" s="6" t="s">
        <v>1006</v>
      </c>
      <c r="C316" s="6" t="str">
        <f t="shared" si="1"/>
        <v>Elizabeth Johnson</v>
      </c>
      <c r="D316" s="6">
        <v>53.0</v>
      </c>
      <c r="E316" s="6" t="s">
        <v>21</v>
      </c>
      <c r="F316" s="6" t="str">
        <f t="shared" si="2"/>
        <v>Male</v>
      </c>
      <c r="G316" s="6" t="s">
        <v>1007</v>
      </c>
      <c r="H316" s="6" t="s">
        <v>81</v>
      </c>
      <c r="I316" s="6" t="s">
        <v>17</v>
      </c>
      <c r="J316" s="6" t="s">
        <v>34</v>
      </c>
      <c r="K316" s="6" t="str">
        <f t="shared" si="3"/>
        <v>Silver</v>
      </c>
    </row>
    <row r="317" ht="14.25" customHeight="1">
      <c r="A317" s="6" t="s">
        <v>1008</v>
      </c>
      <c r="B317" s="6" t="s">
        <v>1009</v>
      </c>
      <c r="C317" s="6" t="str">
        <f t="shared" si="1"/>
        <v>William Rodriguez</v>
      </c>
      <c r="D317" s="6">
        <v>49.0</v>
      </c>
      <c r="E317" s="6" t="s">
        <v>14</v>
      </c>
      <c r="F317" s="6" t="str">
        <f t="shared" si="2"/>
        <v>Female</v>
      </c>
      <c r="G317" s="6" t="s">
        <v>1010</v>
      </c>
      <c r="H317" s="6" t="s">
        <v>729</v>
      </c>
      <c r="I317" s="6" t="s">
        <v>17</v>
      </c>
      <c r="J317" s="6" t="s">
        <v>34</v>
      </c>
      <c r="K317" s="6" t="str">
        <f t="shared" si="3"/>
        <v>Silver</v>
      </c>
    </row>
    <row r="318" ht="14.25" customHeight="1">
      <c r="A318" s="6" t="s">
        <v>1011</v>
      </c>
      <c r="B318" s="6" t="s">
        <v>1012</v>
      </c>
      <c r="C318" s="6" t="str">
        <f t="shared" si="1"/>
        <v>Robert House</v>
      </c>
      <c r="D318" s="6">
        <v>34.0</v>
      </c>
      <c r="E318" s="6" t="s">
        <v>14</v>
      </c>
      <c r="F318" s="6" t="str">
        <f t="shared" si="2"/>
        <v>Female</v>
      </c>
      <c r="G318" s="6" t="s">
        <v>1013</v>
      </c>
      <c r="H318" s="6" t="s">
        <v>148</v>
      </c>
      <c r="I318" s="6" t="s">
        <v>17</v>
      </c>
      <c r="J318" s="6" t="s">
        <v>24</v>
      </c>
      <c r="K318" s="6" t="str">
        <f t="shared" si="3"/>
        <v>Gold</v>
      </c>
    </row>
    <row r="319" ht="14.25" customHeight="1">
      <c r="A319" s="6" t="s">
        <v>1014</v>
      </c>
      <c r="B319" s="6" t="s">
        <v>1015</v>
      </c>
      <c r="C319" s="6" t="str">
        <f t="shared" si="1"/>
        <v>Tiffany Williams</v>
      </c>
      <c r="D319" s="6">
        <v>64.0</v>
      </c>
      <c r="E319" s="6" t="s">
        <v>21</v>
      </c>
      <c r="F319" s="6" t="str">
        <f t="shared" si="2"/>
        <v>Male</v>
      </c>
      <c r="G319" s="6" t="s">
        <v>1016</v>
      </c>
      <c r="H319" s="6" t="s">
        <v>54</v>
      </c>
      <c r="I319" s="6" t="s">
        <v>17</v>
      </c>
      <c r="J319" s="6" t="s">
        <v>24</v>
      </c>
      <c r="K319" s="6" t="str">
        <f t="shared" si="3"/>
        <v>Gold</v>
      </c>
    </row>
    <row r="320" ht="14.25" customHeight="1">
      <c r="A320" s="6" t="s">
        <v>1017</v>
      </c>
      <c r="B320" s="6" t="s">
        <v>1018</v>
      </c>
      <c r="C320" s="6" t="str">
        <f t="shared" si="1"/>
        <v>Madison Wright</v>
      </c>
      <c r="D320" s="6">
        <v>25.0</v>
      </c>
      <c r="E320" s="6" t="s">
        <v>14</v>
      </c>
      <c r="F320" s="6" t="str">
        <f t="shared" si="2"/>
        <v>Female</v>
      </c>
      <c r="G320" s="6" t="s">
        <v>1019</v>
      </c>
      <c r="H320" s="6" t="s">
        <v>69</v>
      </c>
      <c r="I320" s="6" t="s">
        <v>17</v>
      </c>
      <c r="J320" s="6" t="s">
        <v>18</v>
      </c>
      <c r="K320" s="6" t="str">
        <f t="shared" si="3"/>
        <v>Platinum</v>
      </c>
    </row>
    <row r="321" ht="14.25" customHeight="1">
      <c r="A321" s="6" t="s">
        <v>1020</v>
      </c>
      <c r="B321" s="6" t="s">
        <v>1021</v>
      </c>
      <c r="C321" s="6" t="str">
        <f t="shared" si="1"/>
        <v>Casey Simpson</v>
      </c>
      <c r="D321" s="6">
        <v>54.0</v>
      </c>
      <c r="E321" s="6" t="s">
        <v>14</v>
      </c>
      <c r="F321" s="6" t="str">
        <f t="shared" si="2"/>
        <v>Female</v>
      </c>
      <c r="G321" s="6" t="s">
        <v>1022</v>
      </c>
      <c r="H321" s="6" t="s">
        <v>321</v>
      </c>
      <c r="I321" s="6" t="s">
        <v>17</v>
      </c>
      <c r="J321" s="6" t="s">
        <v>18</v>
      </c>
      <c r="K321" s="6" t="str">
        <f t="shared" si="3"/>
        <v>Platinum</v>
      </c>
    </row>
    <row r="322" ht="14.25" customHeight="1">
      <c r="A322" s="6" t="s">
        <v>1023</v>
      </c>
      <c r="B322" s="6" t="s">
        <v>1024</v>
      </c>
      <c r="C322" s="6" t="str">
        <f t="shared" si="1"/>
        <v>Jessica Gonzalez</v>
      </c>
      <c r="D322" s="6">
        <v>34.0</v>
      </c>
      <c r="E322" s="6" t="s">
        <v>21</v>
      </c>
      <c r="F322" s="6" t="str">
        <f t="shared" si="2"/>
        <v>Male</v>
      </c>
      <c r="G322" s="6" t="s">
        <v>1025</v>
      </c>
      <c r="H322" s="6" t="s">
        <v>275</v>
      </c>
      <c r="I322" s="6" t="s">
        <v>17</v>
      </c>
      <c r="J322" s="6" t="s">
        <v>29</v>
      </c>
      <c r="K322" s="6" t="str">
        <f t="shared" si="3"/>
        <v>Bronze</v>
      </c>
    </row>
    <row r="323" ht="14.25" customHeight="1">
      <c r="A323" s="6" t="s">
        <v>1026</v>
      </c>
      <c r="B323" s="6" t="s">
        <v>1027</v>
      </c>
      <c r="C323" s="6" t="str">
        <f t="shared" si="1"/>
        <v>Darren Burton</v>
      </c>
      <c r="D323" s="6">
        <v>21.0</v>
      </c>
      <c r="E323" s="6" t="s">
        <v>21</v>
      </c>
      <c r="F323" s="6" t="str">
        <f t="shared" si="2"/>
        <v>Male</v>
      </c>
      <c r="G323" s="6" t="s">
        <v>1028</v>
      </c>
      <c r="H323" s="6" t="s">
        <v>245</v>
      </c>
      <c r="I323" s="6" t="s">
        <v>17</v>
      </c>
      <c r="J323" s="6" t="s">
        <v>29</v>
      </c>
      <c r="K323" s="6" t="str">
        <f t="shared" si="3"/>
        <v>Bronze</v>
      </c>
    </row>
    <row r="324" ht="14.25" customHeight="1">
      <c r="A324" s="6" t="s">
        <v>1029</v>
      </c>
      <c r="B324" s="6" t="s">
        <v>1030</v>
      </c>
      <c r="C324" s="6" t="str">
        <f t="shared" si="1"/>
        <v>Samuel Arias</v>
      </c>
      <c r="D324" s="6">
        <v>54.0</v>
      </c>
      <c r="E324" s="6" t="s">
        <v>14</v>
      </c>
      <c r="F324" s="6" t="str">
        <f t="shared" si="2"/>
        <v>Female</v>
      </c>
      <c r="G324" s="6" t="s">
        <v>1031</v>
      </c>
      <c r="H324" s="6" t="s">
        <v>860</v>
      </c>
      <c r="I324" s="6" t="s">
        <v>17</v>
      </c>
      <c r="J324" s="6" t="s">
        <v>29</v>
      </c>
      <c r="K324" s="6" t="str">
        <f t="shared" si="3"/>
        <v>Bronze</v>
      </c>
    </row>
    <row r="325" ht="14.25" customHeight="1">
      <c r="A325" s="6" t="s">
        <v>1032</v>
      </c>
      <c r="B325" s="6" t="s">
        <v>1033</v>
      </c>
      <c r="C325" s="6" t="str">
        <f t="shared" si="1"/>
        <v>Kristy Dunlap</v>
      </c>
      <c r="D325" s="6">
        <v>64.0</v>
      </c>
      <c r="E325" s="6" t="s">
        <v>21</v>
      </c>
      <c r="F325" s="6" t="str">
        <f t="shared" si="2"/>
        <v>Male</v>
      </c>
      <c r="G325" s="6" t="s">
        <v>1034</v>
      </c>
      <c r="H325" s="6" t="s">
        <v>16</v>
      </c>
      <c r="I325" s="6" t="s">
        <v>17</v>
      </c>
      <c r="J325" s="6" t="s">
        <v>18</v>
      </c>
      <c r="K325" s="6" t="str">
        <f t="shared" si="3"/>
        <v>Platinum</v>
      </c>
    </row>
    <row r="326" ht="14.25" customHeight="1">
      <c r="A326" s="6" t="s">
        <v>1035</v>
      </c>
      <c r="B326" s="6" t="s">
        <v>1036</v>
      </c>
      <c r="C326" s="6" t="str">
        <f t="shared" si="1"/>
        <v>Alex Mann Ii</v>
      </c>
      <c r="D326" s="6">
        <v>58.0</v>
      </c>
      <c r="E326" s="6" t="s">
        <v>14</v>
      </c>
      <c r="F326" s="6" t="str">
        <f t="shared" si="2"/>
        <v>Female</v>
      </c>
      <c r="G326" s="6" t="s">
        <v>1037</v>
      </c>
      <c r="H326" s="6" t="s">
        <v>103</v>
      </c>
      <c r="I326" s="6" t="s">
        <v>17</v>
      </c>
      <c r="J326" s="6" t="s">
        <v>29</v>
      </c>
      <c r="K326" s="6" t="str">
        <f t="shared" si="3"/>
        <v>Bronze</v>
      </c>
    </row>
    <row r="327" ht="14.25" customHeight="1">
      <c r="A327" s="6" t="s">
        <v>1038</v>
      </c>
      <c r="B327" s="6" t="s">
        <v>1039</v>
      </c>
      <c r="C327" s="6" t="str">
        <f t="shared" si="1"/>
        <v>Andrew Smith</v>
      </c>
      <c r="D327" s="6">
        <v>60.0</v>
      </c>
      <c r="E327" s="6" t="s">
        <v>14</v>
      </c>
      <c r="F327" s="6" t="str">
        <f t="shared" si="2"/>
        <v>Female</v>
      </c>
      <c r="G327" s="6" t="s">
        <v>1040</v>
      </c>
      <c r="H327" s="6" t="s">
        <v>332</v>
      </c>
      <c r="I327" s="6" t="s">
        <v>17</v>
      </c>
      <c r="J327" s="6" t="s">
        <v>29</v>
      </c>
      <c r="K327" s="6" t="str">
        <f t="shared" si="3"/>
        <v>Bronze</v>
      </c>
    </row>
    <row r="328" ht="14.25" customHeight="1">
      <c r="A328" s="6" t="s">
        <v>1041</v>
      </c>
      <c r="B328" s="6" t="s">
        <v>1042</v>
      </c>
      <c r="C328" s="6" t="str">
        <f t="shared" si="1"/>
        <v>Robert King</v>
      </c>
      <c r="D328" s="6">
        <v>58.0</v>
      </c>
      <c r="E328" s="6" t="s">
        <v>21</v>
      </c>
      <c r="F328" s="6" t="str">
        <f t="shared" si="2"/>
        <v>Male</v>
      </c>
      <c r="G328" s="6" t="s">
        <v>1043</v>
      </c>
      <c r="H328" s="6" t="s">
        <v>225</v>
      </c>
      <c r="I328" s="6" t="s">
        <v>17</v>
      </c>
      <c r="J328" s="6" t="s">
        <v>24</v>
      </c>
      <c r="K328" s="6" t="str">
        <f t="shared" si="3"/>
        <v>Gold</v>
      </c>
    </row>
    <row r="329" ht="14.25" customHeight="1">
      <c r="A329" s="6" t="s">
        <v>1044</v>
      </c>
      <c r="B329" s="6" t="s">
        <v>1045</v>
      </c>
      <c r="C329" s="6" t="str">
        <f t="shared" si="1"/>
        <v>Reginald Willis</v>
      </c>
      <c r="D329" s="6">
        <v>62.0</v>
      </c>
      <c r="E329" s="6" t="s">
        <v>21</v>
      </c>
      <c r="F329" s="6" t="str">
        <f t="shared" si="2"/>
        <v>Male</v>
      </c>
      <c r="G329" s="6" t="s">
        <v>1046</v>
      </c>
      <c r="H329" s="6" t="s">
        <v>65</v>
      </c>
      <c r="I329" s="6" t="s">
        <v>17</v>
      </c>
      <c r="J329" s="6" t="s">
        <v>29</v>
      </c>
      <c r="K329" s="6" t="str">
        <f t="shared" si="3"/>
        <v>Bronze</v>
      </c>
    </row>
    <row r="330" ht="14.25" customHeight="1">
      <c r="A330" s="6" t="s">
        <v>1047</v>
      </c>
      <c r="B330" s="6" t="s">
        <v>1048</v>
      </c>
      <c r="C330" s="6" t="str">
        <f t="shared" si="1"/>
        <v>Mario Harvey Jr.</v>
      </c>
      <c r="D330" s="6">
        <v>46.0</v>
      </c>
      <c r="E330" s="6" t="s">
        <v>14</v>
      </c>
      <c r="F330" s="6" t="str">
        <f t="shared" si="2"/>
        <v>Female</v>
      </c>
      <c r="G330" s="6" t="s">
        <v>1049</v>
      </c>
      <c r="H330" s="6" t="s">
        <v>209</v>
      </c>
      <c r="I330" s="6" t="s">
        <v>17</v>
      </c>
      <c r="J330" s="6" t="s">
        <v>18</v>
      </c>
      <c r="K330" s="6" t="str">
        <f t="shared" si="3"/>
        <v>Platinum</v>
      </c>
    </row>
    <row r="331" ht="14.25" customHeight="1">
      <c r="A331" s="6" t="s">
        <v>1050</v>
      </c>
      <c r="B331" s="6" t="s">
        <v>1051</v>
      </c>
      <c r="C331" s="6" t="str">
        <f t="shared" si="1"/>
        <v>Victor Mcintosh</v>
      </c>
      <c r="D331" s="6">
        <v>62.0</v>
      </c>
      <c r="E331" s="6" t="s">
        <v>21</v>
      </c>
      <c r="F331" s="6" t="str">
        <f t="shared" si="2"/>
        <v>Male</v>
      </c>
      <c r="G331" s="6" t="s">
        <v>1052</v>
      </c>
      <c r="H331" s="6" t="s">
        <v>209</v>
      </c>
      <c r="I331" s="6" t="s">
        <v>17</v>
      </c>
      <c r="J331" s="6" t="s">
        <v>29</v>
      </c>
      <c r="K331" s="6" t="str">
        <f t="shared" si="3"/>
        <v>Bronze</v>
      </c>
    </row>
    <row r="332" ht="14.25" customHeight="1">
      <c r="A332" s="6" t="s">
        <v>1053</v>
      </c>
      <c r="B332" s="6" t="s">
        <v>1054</v>
      </c>
      <c r="C332" s="6" t="str">
        <f t="shared" si="1"/>
        <v>Pamela Mcguire</v>
      </c>
      <c r="D332" s="6">
        <v>54.0</v>
      </c>
      <c r="E332" s="6" t="s">
        <v>14</v>
      </c>
      <c r="F332" s="6" t="str">
        <f t="shared" si="2"/>
        <v>Female</v>
      </c>
      <c r="G332" s="6" t="s">
        <v>1055</v>
      </c>
      <c r="H332" s="6" t="s">
        <v>202</v>
      </c>
      <c r="I332" s="6" t="s">
        <v>17</v>
      </c>
      <c r="J332" s="6" t="s">
        <v>18</v>
      </c>
      <c r="K332" s="6" t="str">
        <f t="shared" si="3"/>
        <v>Platinum</v>
      </c>
    </row>
    <row r="333" ht="14.25" customHeight="1">
      <c r="A333" s="6" t="s">
        <v>1056</v>
      </c>
      <c r="B333" s="6" t="s">
        <v>1057</v>
      </c>
      <c r="C333" s="6" t="str">
        <f t="shared" si="1"/>
        <v>Maria Phillips</v>
      </c>
      <c r="D333" s="6">
        <v>38.0</v>
      </c>
      <c r="E333" s="6" t="s">
        <v>21</v>
      </c>
      <c r="F333" s="6" t="str">
        <f t="shared" si="2"/>
        <v>Male</v>
      </c>
      <c r="G333" s="6" t="s">
        <v>1058</v>
      </c>
      <c r="H333" s="6" t="s">
        <v>73</v>
      </c>
      <c r="I333" s="6" t="s">
        <v>17</v>
      </c>
      <c r="J333" s="6" t="s">
        <v>29</v>
      </c>
      <c r="K333" s="6" t="str">
        <f t="shared" si="3"/>
        <v>Bronze</v>
      </c>
    </row>
    <row r="334" ht="14.25" customHeight="1">
      <c r="A334" s="6" t="s">
        <v>1059</v>
      </c>
      <c r="B334" s="6" t="s">
        <v>1060</v>
      </c>
      <c r="C334" s="6" t="str">
        <f t="shared" si="1"/>
        <v>Dr. Lindsay Hanna</v>
      </c>
      <c r="D334" s="6">
        <v>34.0</v>
      </c>
      <c r="E334" s="6" t="s">
        <v>21</v>
      </c>
      <c r="F334" s="6" t="str">
        <f t="shared" si="2"/>
        <v>Male</v>
      </c>
      <c r="G334" s="6" t="s">
        <v>1061</v>
      </c>
      <c r="H334" s="6" t="s">
        <v>107</v>
      </c>
      <c r="I334" s="6" t="s">
        <v>17</v>
      </c>
      <c r="J334" s="6" t="s">
        <v>29</v>
      </c>
      <c r="K334" s="6" t="str">
        <f t="shared" si="3"/>
        <v>Bronze</v>
      </c>
    </row>
    <row r="335" ht="14.25" customHeight="1">
      <c r="A335" s="6" t="s">
        <v>1062</v>
      </c>
      <c r="B335" s="6" t="s">
        <v>1063</v>
      </c>
      <c r="C335" s="6" t="str">
        <f t="shared" si="1"/>
        <v>Teresa Johnson</v>
      </c>
      <c r="D335" s="6">
        <v>64.0</v>
      </c>
      <c r="E335" s="6" t="s">
        <v>21</v>
      </c>
      <c r="F335" s="6" t="str">
        <f t="shared" si="2"/>
        <v>Male</v>
      </c>
      <c r="G335" s="6" t="s">
        <v>1064</v>
      </c>
      <c r="H335" s="6" t="s">
        <v>88</v>
      </c>
      <c r="I335" s="6" t="s">
        <v>17</v>
      </c>
      <c r="J335" s="6" t="s">
        <v>24</v>
      </c>
      <c r="K335" s="6" t="str">
        <f t="shared" si="3"/>
        <v>Gold</v>
      </c>
    </row>
    <row r="336" ht="14.25" customHeight="1">
      <c r="A336" s="6" t="s">
        <v>1065</v>
      </c>
      <c r="B336" s="6" t="s">
        <v>1066</v>
      </c>
      <c r="C336" s="6" t="str">
        <f t="shared" si="1"/>
        <v>Mr. Christopher Sims</v>
      </c>
      <c r="D336" s="6">
        <v>50.0</v>
      </c>
      <c r="E336" s="6" t="s">
        <v>21</v>
      </c>
      <c r="F336" s="6" t="str">
        <f t="shared" si="2"/>
        <v>Male</v>
      </c>
      <c r="G336" s="6" t="s">
        <v>1067</v>
      </c>
      <c r="H336" s="6" t="s">
        <v>175</v>
      </c>
      <c r="I336" s="6" t="s">
        <v>17</v>
      </c>
      <c r="J336" s="6" t="s">
        <v>34</v>
      </c>
      <c r="K336" s="6" t="str">
        <f t="shared" si="3"/>
        <v>Silver</v>
      </c>
    </row>
    <row r="337" ht="14.25" customHeight="1">
      <c r="A337" s="6" t="s">
        <v>1068</v>
      </c>
      <c r="B337" s="6" t="s">
        <v>1069</v>
      </c>
      <c r="C337" s="6" t="str">
        <f t="shared" si="1"/>
        <v>Jennifer Woods</v>
      </c>
      <c r="D337" s="6">
        <v>37.0</v>
      </c>
      <c r="E337" s="6" t="s">
        <v>14</v>
      </c>
      <c r="F337" s="6" t="str">
        <f t="shared" si="2"/>
        <v>Female</v>
      </c>
      <c r="G337" s="6" t="s">
        <v>1070</v>
      </c>
      <c r="H337" s="6" t="s">
        <v>16</v>
      </c>
      <c r="I337" s="6" t="s">
        <v>17</v>
      </c>
      <c r="J337" s="6" t="s">
        <v>18</v>
      </c>
      <c r="K337" s="6" t="str">
        <f t="shared" si="3"/>
        <v>Platinum</v>
      </c>
    </row>
    <row r="338" ht="14.25" customHeight="1">
      <c r="A338" s="6" t="s">
        <v>1071</v>
      </c>
      <c r="B338" s="6" t="s">
        <v>1072</v>
      </c>
      <c r="C338" s="6" t="str">
        <f t="shared" si="1"/>
        <v>John Jones</v>
      </c>
      <c r="D338" s="6">
        <v>58.0</v>
      </c>
      <c r="E338" s="6" t="s">
        <v>21</v>
      </c>
      <c r="F338" s="6" t="str">
        <f t="shared" si="2"/>
        <v>Male</v>
      </c>
      <c r="G338" s="6" t="s">
        <v>1073</v>
      </c>
      <c r="H338" s="6" t="s">
        <v>42</v>
      </c>
      <c r="I338" s="6" t="s">
        <v>17</v>
      </c>
      <c r="J338" s="6" t="s">
        <v>34</v>
      </c>
      <c r="K338" s="6" t="str">
        <f t="shared" si="3"/>
        <v>Silver</v>
      </c>
    </row>
    <row r="339" ht="14.25" customHeight="1">
      <c r="A339" s="6" t="s">
        <v>1074</v>
      </c>
      <c r="B339" s="6" t="s">
        <v>1075</v>
      </c>
      <c r="C339" s="6" t="str">
        <f t="shared" si="1"/>
        <v>Carol Lewis</v>
      </c>
      <c r="D339" s="6">
        <v>40.0</v>
      </c>
      <c r="E339" s="6" t="s">
        <v>21</v>
      </c>
      <c r="F339" s="6" t="str">
        <f t="shared" si="2"/>
        <v>Male</v>
      </c>
      <c r="G339" s="6" t="s">
        <v>1076</v>
      </c>
      <c r="H339" s="6" t="s">
        <v>16</v>
      </c>
      <c r="I339" s="6" t="s">
        <v>17</v>
      </c>
      <c r="J339" s="6" t="s">
        <v>29</v>
      </c>
      <c r="K339" s="6" t="str">
        <f t="shared" si="3"/>
        <v>Bronze</v>
      </c>
    </row>
    <row r="340" ht="14.25" customHeight="1">
      <c r="A340" s="6" t="s">
        <v>1077</v>
      </c>
      <c r="B340" s="6" t="s">
        <v>1078</v>
      </c>
      <c r="C340" s="6" t="str">
        <f t="shared" si="1"/>
        <v>Jasmine Snyder</v>
      </c>
      <c r="D340" s="6">
        <v>46.0</v>
      </c>
      <c r="E340" s="6" t="s">
        <v>21</v>
      </c>
      <c r="F340" s="6" t="str">
        <f t="shared" si="2"/>
        <v>Male</v>
      </c>
      <c r="G340" s="6" t="s">
        <v>1079</v>
      </c>
      <c r="H340" s="6" t="s">
        <v>175</v>
      </c>
      <c r="I340" s="6" t="s">
        <v>17</v>
      </c>
      <c r="J340" s="6" t="s">
        <v>34</v>
      </c>
      <c r="K340" s="6" t="str">
        <f t="shared" si="3"/>
        <v>Silver</v>
      </c>
    </row>
    <row r="341" ht="14.25" customHeight="1">
      <c r="A341" s="6" t="s">
        <v>1080</v>
      </c>
      <c r="B341" s="6" t="s">
        <v>1081</v>
      </c>
      <c r="C341" s="6" t="str">
        <f t="shared" si="1"/>
        <v>Mrs. Susan Buckley</v>
      </c>
      <c r="D341" s="6">
        <v>52.0</v>
      </c>
      <c r="E341" s="6" t="s">
        <v>21</v>
      </c>
      <c r="F341" s="6" t="str">
        <f t="shared" si="2"/>
        <v>Male</v>
      </c>
      <c r="G341" s="6" t="s">
        <v>1082</v>
      </c>
      <c r="H341" s="6" t="s">
        <v>141</v>
      </c>
      <c r="I341" s="6" t="s">
        <v>17</v>
      </c>
      <c r="J341" s="6" t="s">
        <v>18</v>
      </c>
      <c r="K341" s="6" t="str">
        <f t="shared" si="3"/>
        <v>Platinum</v>
      </c>
    </row>
    <row r="342" ht="14.25" customHeight="1">
      <c r="A342" s="6" t="s">
        <v>1083</v>
      </c>
      <c r="B342" s="6" t="s">
        <v>1084</v>
      </c>
      <c r="C342" s="6" t="str">
        <f t="shared" si="1"/>
        <v>Eric Davis</v>
      </c>
      <c r="D342" s="6">
        <v>27.0</v>
      </c>
      <c r="E342" s="6" t="s">
        <v>14</v>
      </c>
      <c r="F342" s="6" t="str">
        <f t="shared" si="2"/>
        <v>Female</v>
      </c>
      <c r="G342" s="6" t="s">
        <v>1085</v>
      </c>
      <c r="H342" s="6" t="s">
        <v>282</v>
      </c>
      <c r="I342" s="6" t="s">
        <v>17</v>
      </c>
      <c r="J342" s="6" t="s">
        <v>29</v>
      </c>
      <c r="K342" s="6" t="str">
        <f t="shared" si="3"/>
        <v>Bronze</v>
      </c>
    </row>
    <row r="343" ht="14.25" customHeight="1">
      <c r="A343" s="6" t="s">
        <v>1086</v>
      </c>
      <c r="B343" s="6" t="s">
        <v>1087</v>
      </c>
      <c r="C343" s="6" t="str">
        <f t="shared" si="1"/>
        <v>Angela Williams</v>
      </c>
      <c r="D343" s="6">
        <v>56.0</v>
      </c>
      <c r="E343" s="6" t="s">
        <v>21</v>
      </c>
      <c r="F343" s="6" t="str">
        <f t="shared" si="2"/>
        <v>Male</v>
      </c>
      <c r="G343" s="6" t="s">
        <v>1088</v>
      </c>
      <c r="H343" s="6" t="s">
        <v>202</v>
      </c>
      <c r="I343" s="6" t="s">
        <v>17</v>
      </c>
      <c r="J343" s="6" t="s">
        <v>29</v>
      </c>
      <c r="K343" s="6" t="str">
        <f t="shared" si="3"/>
        <v>Bronze</v>
      </c>
    </row>
    <row r="344" ht="14.25" customHeight="1">
      <c r="A344" s="6" t="s">
        <v>1089</v>
      </c>
      <c r="B344" s="6" t="s">
        <v>1090</v>
      </c>
      <c r="C344" s="6" t="str">
        <f t="shared" si="1"/>
        <v>Michelle Cunningham</v>
      </c>
      <c r="D344" s="6">
        <v>30.0</v>
      </c>
      <c r="E344" s="6" t="s">
        <v>21</v>
      </c>
      <c r="F344" s="6" t="str">
        <f t="shared" si="2"/>
        <v>Male</v>
      </c>
      <c r="G344" s="6" t="s">
        <v>1091</v>
      </c>
      <c r="H344" s="6" t="s">
        <v>175</v>
      </c>
      <c r="I344" s="6" t="s">
        <v>17</v>
      </c>
      <c r="J344" s="6" t="s">
        <v>29</v>
      </c>
      <c r="K344" s="6" t="str">
        <f t="shared" si="3"/>
        <v>Bronze</v>
      </c>
    </row>
    <row r="345" ht="14.25" customHeight="1">
      <c r="A345" s="6" t="s">
        <v>1092</v>
      </c>
      <c r="B345" s="6" t="s">
        <v>1093</v>
      </c>
      <c r="C345" s="6" t="str">
        <f t="shared" si="1"/>
        <v>Ryan Moore</v>
      </c>
      <c r="D345" s="6">
        <v>38.0</v>
      </c>
      <c r="E345" s="6" t="s">
        <v>14</v>
      </c>
      <c r="F345" s="6" t="str">
        <f t="shared" si="2"/>
        <v>Female</v>
      </c>
      <c r="G345" s="6" t="s">
        <v>1094</v>
      </c>
      <c r="H345" s="6" t="s">
        <v>295</v>
      </c>
      <c r="I345" s="6" t="s">
        <v>17</v>
      </c>
      <c r="J345" s="6" t="s">
        <v>29</v>
      </c>
      <c r="K345" s="6" t="str">
        <f t="shared" si="3"/>
        <v>Bronze</v>
      </c>
    </row>
    <row r="346" ht="14.25" customHeight="1">
      <c r="A346" s="6" t="s">
        <v>1095</v>
      </c>
      <c r="B346" s="6" t="s">
        <v>1096</v>
      </c>
      <c r="C346" s="6" t="str">
        <f t="shared" si="1"/>
        <v>Evelyn Brown</v>
      </c>
      <c r="D346" s="6">
        <v>39.0</v>
      </c>
      <c r="E346" s="6" t="s">
        <v>14</v>
      </c>
      <c r="F346" s="6" t="str">
        <f t="shared" si="2"/>
        <v>Female</v>
      </c>
      <c r="G346" s="6" t="s">
        <v>1097</v>
      </c>
      <c r="H346" s="6" t="s">
        <v>241</v>
      </c>
      <c r="I346" s="6" t="s">
        <v>17</v>
      </c>
      <c r="J346" s="6" t="s">
        <v>24</v>
      </c>
      <c r="K346" s="6" t="str">
        <f t="shared" si="3"/>
        <v>Gold</v>
      </c>
    </row>
    <row r="347" ht="14.25" customHeight="1">
      <c r="A347" s="6" t="s">
        <v>1098</v>
      </c>
      <c r="B347" s="6" t="s">
        <v>1099</v>
      </c>
      <c r="C347" s="6" t="str">
        <f t="shared" si="1"/>
        <v>Daniel Nelson</v>
      </c>
      <c r="D347" s="6">
        <v>33.0</v>
      </c>
      <c r="E347" s="6" t="s">
        <v>14</v>
      </c>
      <c r="F347" s="6" t="str">
        <f t="shared" si="2"/>
        <v>Female</v>
      </c>
      <c r="G347" s="6" t="s">
        <v>1100</v>
      </c>
      <c r="H347" s="6" t="s">
        <v>103</v>
      </c>
      <c r="I347" s="6" t="s">
        <v>17</v>
      </c>
      <c r="J347" s="6" t="s">
        <v>29</v>
      </c>
      <c r="K347" s="6" t="str">
        <f t="shared" si="3"/>
        <v>Bronze</v>
      </c>
    </row>
    <row r="348" ht="14.25" customHeight="1">
      <c r="A348" s="6" t="s">
        <v>1101</v>
      </c>
      <c r="B348" s="6" t="s">
        <v>1102</v>
      </c>
      <c r="C348" s="6" t="str">
        <f t="shared" si="1"/>
        <v>John Jordan</v>
      </c>
      <c r="D348" s="6">
        <v>58.0</v>
      </c>
      <c r="E348" s="6" t="s">
        <v>21</v>
      </c>
      <c r="F348" s="6" t="str">
        <f t="shared" si="2"/>
        <v>Male</v>
      </c>
      <c r="G348" s="6" t="s">
        <v>1103</v>
      </c>
      <c r="H348" s="6" t="s">
        <v>245</v>
      </c>
      <c r="I348" s="6" t="s">
        <v>17</v>
      </c>
      <c r="J348" s="6" t="s">
        <v>18</v>
      </c>
      <c r="K348" s="6" t="str">
        <f t="shared" si="3"/>
        <v>Platinum</v>
      </c>
    </row>
    <row r="349" ht="14.25" customHeight="1">
      <c r="A349" s="6" t="s">
        <v>1104</v>
      </c>
      <c r="B349" s="6" t="s">
        <v>1105</v>
      </c>
      <c r="C349" s="6" t="str">
        <f t="shared" si="1"/>
        <v>Justin Mason Dds</v>
      </c>
      <c r="D349" s="6">
        <v>39.0</v>
      </c>
      <c r="E349" s="6" t="s">
        <v>21</v>
      </c>
      <c r="F349" s="6" t="str">
        <f t="shared" si="2"/>
        <v>Male</v>
      </c>
      <c r="G349" s="6" t="s">
        <v>1106</v>
      </c>
      <c r="H349" s="6" t="s">
        <v>175</v>
      </c>
      <c r="I349" s="6" t="s">
        <v>17</v>
      </c>
      <c r="J349" s="6" t="s">
        <v>24</v>
      </c>
      <c r="K349" s="6" t="str">
        <f t="shared" si="3"/>
        <v>Gold</v>
      </c>
    </row>
    <row r="350" ht="14.25" customHeight="1">
      <c r="A350" s="6" t="s">
        <v>1107</v>
      </c>
      <c r="B350" s="6" t="s">
        <v>1108</v>
      </c>
      <c r="C350" s="6" t="str">
        <f t="shared" si="1"/>
        <v>Sherry Cabrera</v>
      </c>
      <c r="D350" s="6">
        <v>55.0</v>
      </c>
      <c r="E350" s="6" t="s">
        <v>14</v>
      </c>
      <c r="F350" s="6" t="str">
        <f t="shared" si="2"/>
        <v>Female</v>
      </c>
      <c r="G350" s="6" t="s">
        <v>1109</v>
      </c>
      <c r="H350" s="6" t="s">
        <v>58</v>
      </c>
      <c r="I350" s="6" t="s">
        <v>17</v>
      </c>
      <c r="J350" s="6" t="s">
        <v>34</v>
      </c>
      <c r="K350" s="6" t="str">
        <f t="shared" si="3"/>
        <v>Silver</v>
      </c>
    </row>
    <row r="351" ht="14.25" customHeight="1">
      <c r="A351" s="6" t="s">
        <v>1110</v>
      </c>
      <c r="B351" s="6" t="s">
        <v>1111</v>
      </c>
      <c r="C351" s="6" t="str">
        <f t="shared" si="1"/>
        <v>Heather Valenzuela</v>
      </c>
      <c r="D351" s="6">
        <v>31.0</v>
      </c>
      <c r="E351" s="6" t="s">
        <v>14</v>
      </c>
      <c r="F351" s="6" t="str">
        <f t="shared" si="2"/>
        <v>Female</v>
      </c>
      <c r="G351" s="6" t="s">
        <v>1112</v>
      </c>
      <c r="H351" s="6" t="s">
        <v>171</v>
      </c>
      <c r="I351" s="6" t="s">
        <v>17</v>
      </c>
      <c r="J351" s="6" t="s">
        <v>29</v>
      </c>
      <c r="K351" s="6" t="str">
        <f t="shared" si="3"/>
        <v>Bronze</v>
      </c>
    </row>
    <row r="352" ht="14.25" customHeight="1">
      <c r="A352" s="6" t="s">
        <v>1113</v>
      </c>
      <c r="B352" s="6" t="s">
        <v>1114</v>
      </c>
      <c r="C352" s="6" t="str">
        <f t="shared" si="1"/>
        <v>Charles Miller</v>
      </c>
      <c r="D352" s="6">
        <v>26.0</v>
      </c>
      <c r="E352" s="6" t="s">
        <v>14</v>
      </c>
      <c r="F352" s="6" t="str">
        <f t="shared" si="2"/>
        <v>Female</v>
      </c>
      <c r="G352" s="6" t="s">
        <v>1115</v>
      </c>
      <c r="H352" s="6" t="s">
        <v>275</v>
      </c>
      <c r="I352" s="6" t="s">
        <v>17</v>
      </c>
      <c r="J352" s="6" t="s">
        <v>34</v>
      </c>
      <c r="K352" s="6" t="str">
        <f t="shared" si="3"/>
        <v>Silver</v>
      </c>
    </row>
    <row r="353" ht="14.25" customHeight="1">
      <c r="A353" s="6" t="s">
        <v>1116</v>
      </c>
      <c r="B353" s="6" t="s">
        <v>1117</v>
      </c>
      <c r="C353" s="6" t="str">
        <f t="shared" si="1"/>
        <v>Jeffrey Mccarthy</v>
      </c>
      <c r="D353" s="6">
        <v>25.0</v>
      </c>
      <c r="E353" s="6" t="s">
        <v>21</v>
      </c>
      <c r="F353" s="6" t="str">
        <f t="shared" si="2"/>
        <v>Male</v>
      </c>
      <c r="G353" s="6" t="s">
        <v>1118</v>
      </c>
      <c r="H353" s="6" t="s">
        <v>77</v>
      </c>
      <c r="I353" s="6" t="s">
        <v>17</v>
      </c>
      <c r="J353" s="6" t="s">
        <v>29</v>
      </c>
      <c r="K353" s="6" t="str">
        <f t="shared" si="3"/>
        <v>Bronze</v>
      </c>
    </row>
    <row r="354" ht="14.25" customHeight="1">
      <c r="A354" s="6" t="s">
        <v>1119</v>
      </c>
      <c r="B354" s="6" t="s">
        <v>1120</v>
      </c>
      <c r="C354" s="6" t="str">
        <f t="shared" si="1"/>
        <v>Michael Greene</v>
      </c>
      <c r="D354" s="6">
        <v>52.0</v>
      </c>
      <c r="E354" s="6" t="s">
        <v>21</v>
      </c>
      <c r="F354" s="6" t="str">
        <f t="shared" si="2"/>
        <v>Male</v>
      </c>
      <c r="G354" s="6" t="s">
        <v>1121</v>
      </c>
      <c r="H354" s="6" t="s">
        <v>332</v>
      </c>
      <c r="I354" s="6" t="s">
        <v>17</v>
      </c>
      <c r="J354" s="6" t="s">
        <v>34</v>
      </c>
      <c r="K354" s="6" t="str">
        <f t="shared" si="3"/>
        <v>Silver</v>
      </c>
    </row>
    <row r="355" ht="14.25" customHeight="1">
      <c r="A355" s="6" t="s">
        <v>1122</v>
      </c>
      <c r="B355" s="6" t="s">
        <v>1123</v>
      </c>
      <c r="C355" s="6" t="str">
        <f t="shared" si="1"/>
        <v>Laura Green</v>
      </c>
      <c r="D355" s="6">
        <v>56.0</v>
      </c>
      <c r="E355" s="6" t="s">
        <v>21</v>
      </c>
      <c r="F355" s="6" t="str">
        <f t="shared" si="2"/>
        <v>Male</v>
      </c>
      <c r="G355" s="6" t="s">
        <v>1124</v>
      </c>
      <c r="H355" s="6" t="s">
        <v>42</v>
      </c>
      <c r="I355" s="6" t="s">
        <v>17</v>
      </c>
      <c r="J355" s="6" t="s">
        <v>18</v>
      </c>
      <c r="K355" s="6" t="str">
        <f t="shared" si="3"/>
        <v>Platinum</v>
      </c>
    </row>
    <row r="356" ht="14.25" customHeight="1">
      <c r="A356" s="6" t="s">
        <v>1125</v>
      </c>
      <c r="B356" s="6" t="s">
        <v>1126</v>
      </c>
      <c r="C356" s="6" t="str">
        <f t="shared" si="1"/>
        <v>Ryan Torres</v>
      </c>
      <c r="D356" s="6">
        <v>38.0</v>
      </c>
      <c r="E356" s="6" t="s">
        <v>14</v>
      </c>
      <c r="F356" s="6" t="str">
        <f t="shared" si="2"/>
        <v>Female</v>
      </c>
      <c r="G356" s="6" t="s">
        <v>1127</v>
      </c>
      <c r="H356" s="6" t="s">
        <v>175</v>
      </c>
      <c r="I356" s="6" t="s">
        <v>17</v>
      </c>
      <c r="J356" s="6" t="s">
        <v>34</v>
      </c>
      <c r="K356" s="6" t="str">
        <f t="shared" si="3"/>
        <v>Silver</v>
      </c>
    </row>
    <row r="357" ht="14.25" customHeight="1">
      <c r="A357" s="6" t="s">
        <v>1128</v>
      </c>
      <c r="B357" s="6" t="s">
        <v>1129</v>
      </c>
      <c r="C357" s="6" t="str">
        <f t="shared" si="1"/>
        <v>Carlos Flores</v>
      </c>
      <c r="D357" s="6">
        <v>20.0</v>
      </c>
      <c r="E357" s="6" t="s">
        <v>14</v>
      </c>
      <c r="F357" s="6" t="str">
        <f t="shared" si="2"/>
        <v>Female</v>
      </c>
      <c r="G357" s="6" t="s">
        <v>1130</v>
      </c>
      <c r="H357" s="6" t="s">
        <v>81</v>
      </c>
      <c r="I357" s="6" t="s">
        <v>17</v>
      </c>
      <c r="J357" s="6" t="s">
        <v>24</v>
      </c>
      <c r="K357" s="6" t="str">
        <f t="shared" si="3"/>
        <v>Gold</v>
      </c>
    </row>
    <row r="358" ht="14.25" customHeight="1">
      <c r="A358" s="6" t="s">
        <v>1131</v>
      </c>
      <c r="B358" s="6" t="s">
        <v>1132</v>
      </c>
      <c r="C358" s="6" t="str">
        <f t="shared" si="1"/>
        <v>Steve Hunt</v>
      </c>
      <c r="D358" s="6">
        <v>54.0</v>
      </c>
      <c r="E358" s="6" t="s">
        <v>14</v>
      </c>
      <c r="F358" s="6" t="str">
        <f t="shared" si="2"/>
        <v>Female</v>
      </c>
      <c r="G358" s="6" t="s">
        <v>1133</v>
      </c>
      <c r="H358" s="6" t="s">
        <v>295</v>
      </c>
      <c r="I358" s="6" t="s">
        <v>17</v>
      </c>
      <c r="J358" s="6" t="s">
        <v>29</v>
      </c>
      <c r="K358" s="6" t="str">
        <f t="shared" si="3"/>
        <v>Bronze</v>
      </c>
    </row>
    <row r="359" ht="14.25" customHeight="1">
      <c r="A359" s="6" t="s">
        <v>1134</v>
      </c>
      <c r="B359" s="6" t="s">
        <v>1135</v>
      </c>
      <c r="C359" s="6" t="str">
        <f t="shared" si="1"/>
        <v>Manuel Castillo</v>
      </c>
      <c r="D359" s="6">
        <v>41.0</v>
      </c>
      <c r="E359" s="6" t="s">
        <v>14</v>
      </c>
      <c r="F359" s="6" t="str">
        <f t="shared" si="2"/>
        <v>Female</v>
      </c>
      <c r="G359" s="6" t="s">
        <v>1136</v>
      </c>
      <c r="H359" s="6" t="s">
        <v>245</v>
      </c>
      <c r="I359" s="6" t="s">
        <v>17</v>
      </c>
      <c r="J359" s="6" t="s">
        <v>24</v>
      </c>
      <c r="K359" s="6" t="str">
        <f t="shared" si="3"/>
        <v>Gold</v>
      </c>
    </row>
    <row r="360" ht="14.25" customHeight="1">
      <c r="A360" s="6" t="s">
        <v>1137</v>
      </c>
      <c r="B360" s="6" t="s">
        <v>1138</v>
      </c>
      <c r="C360" s="6" t="str">
        <f t="shared" si="1"/>
        <v>Ashley Anderson</v>
      </c>
      <c r="D360" s="6">
        <v>60.0</v>
      </c>
      <c r="E360" s="6" t="s">
        <v>21</v>
      </c>
      <c r="F360" s="6" t="str">
        <f t="shared" si="2"/>
        <v>Male</v>
      </c>
      <c r="G360" s="6" t="s">
        <v>1139</v>
      </c>
      <c r="H360" s="6" t="s">
        <v>321</v>
      </c>
      <c r="I360" s="6" t="s">
        <v>17</v>
      </c>
      <c r="J360" s="6" t="s">
        <v>24</v>
      </c>
      <c r="K360" s="6" t="str">
        <f t="shared" si="3"/>
        <v>Gold</v>
      </c>
    </row>
    <row r="361" ht="14.25" customHeight="1">
      <c r="A361" s="6" t="s">
        <v>1140</v>
      </c>
      <c r="B361" s="6" t="s">
        <v>1141</v>
      </c>
      <c r="C361" s="6" t="str">
        <f t="shared" si="1"/>
        <v>Melanie Lam</v>
      </c>
      <c r="D361" s="6">
        <v>32.0</v>
      </c>
      <c r="E361" s="6" t="s">
        <v>14</v>
      </c>
      <c r="F361" s="6" t="str">
        <f t="shared" si="2"/>
        <v>Female</v>
      </c>
      <c r="G361" s="6" t="s">
        <v>1142</v>
      </c>
      <c r="H361" s="6" t="s">
        <v>69</v>
      </c>
      <c r="I361" s="6" t="s">
        <v>17</v>
      </c>
      <c r="J361" s="6" t="s">
        <v>34</v>
      </c>
      <c r="K361" s="6" t="str">
        <f t="shared" si="3"/>
        <v>Silver</v>
      </c>
    </row>
    <row r="362" ht="14.25" customHeight="1">
      <c r="A362" s="6" t="s">
        <v>1143</v>
      </c>
      <c r="B362" s="6" t="s">
        <v>1144</v>
      </c>
      <c r="C362" s="6" t="str">
        <f t="shared" si="1"/>
        <v>Denise Tate</v>
      </c>
      <c r="D362" s="6">
        <v>34.0</v>
      </c>
      <c r="E362" s="6" t="s">
        <v>14</v>
      </c>
      <c r="F362" s="6" t="str">
        <f t="shared" si="2"/>
        <v>Female</v>
      </c>
      <c r="G362" s="6" t="s">
        <v>1145</v>
      </c>
      <c r="H362" s="6" t="s">
        <v>299</v>
      </c>
      <c r="I362" s="6" t="s">
        <v>17</v>
      </c>
      <c r="J362" s="6" t="s">
        <v>18</v>
      </c>
      <c r="K362" s="6" t="str">
        <f t="shared" si="3"/>
        <v>Platinum</v>
      </c>
    </row>
    <row r="363" ht="14.25" customHeight="1">
      <c r="A363" s="6" t="s">
        <v>1146</v>
      </c>
      <c r="B363" s="6" t="s">
        <v>1147</v>
      </c>
      <c r="C363" s="6" t="str">
        <f t="shared" si="1"/>
        <v>Natalie Johnson</v>
      </c>
      <c r="D363" s="6">
        <v>64.0</v>
      </c>
      <c r="E363" s="6" t="s">
        <v>14</v>
      </c>
      <c r="F363" s="6" t="str">
        <f t="shared" si="2"/>
        <v>Female</v>
      </c>
      <c r="G363" s="6" t="s">
        <v>1148</v>
      </c>
      <c r="H363" s="6" t="s">
        <v>262</v>
      </c>
      <c r="I363" s="6" t="s">
        <v>17</v>
      </c>
      <c r="J363" s="6" t="s">
        <v>18</v>
      </c>
      <c r="K363" s="6" t="str">
        <f t="shared" si="3"/>
        <v>Platinum</v>
      </c>
    </row>
    <row r="364" ht="14.25" customHeight="1">
      <c r="A364" s="6" t="s">
        <v>1149</v>
      </c>
      <c r="B364" s="6" t="s">
        <v>1150</v>
      </c>
      <c r="C364" s="6" t="str">
        <f t="shared" si="1"/>
        <v>Joshua Smith Dvm</v>
      </c>
      <c r="D364" s="6">
        <v>60.0</v>
      </c>
      <c r="E364" s="6" t="s">
        <v>14</v>
      </c>
      <c r="F364" s="6" t="str">
        <f t="shared" si="2"/>
        <v>Female</v>
      </c>
      <c r="G364" s="6" t="s">
        <v>1151</v>
      </c>
      <c r="H364" s="6" t="s">
        <v>171</v>
      </c>
      <c r="I364" s="6" t="s">
        <v>17</v>
      </c>
      <c r="J364" s="6" t="s">
        <v>24</v>
      </c>
      <c r="K364" s="6" t="str">
        <f t="shared" si="3"/>
        <v>Gold</v>
      </c>
    </row>
    <row r="365" ht="14.25" customHeight="1">
      <c r="A365" s="6" t="s">
        <v>1152</v>
      </c>
      <c r="B365" s="6" t="s">
        <v>1153</v>
      </c>
      <c r="C365" s="6" t="str">
        <f t="shared" si="1"/>
        <v>Elizabeth Smith</v>
      </c>
      <c r="D365" s="6">
        <v>23.0</v>
      </c>
      <c r="E365" s="6" t="s">
        <v>14</v>
      </c>
      <c r="F365" s="6" t="str">
        <f t="shared" si="2"/>
        <v>Female</v>
      </c>
      <c r="G365" s="6" t="s">
        <v>1154</v>
      </c>
      <c r="H365" s="6" t="s">
        <v>33</v>
      </c>
      <c r="I365" s="6" t="s">
        <v>17</v>
      </c>
      <c r="J365" s="6" t="s">
        <v>29</v>
      </c>
      <c r="K365" s="6" t="str">
        <f t="shared" si="3"/>
        <v>Bronze</v>
      </c>
    </row>
    <row r="366" ht="14.25" customHeight="1">
      <c r="A366" s="6" t="s">
        <v>1155</v>
      </c>
      <c r="B366" s="6" t="s">
        <v>1156</v>
      </c>
      <c r="C366" s="6" t="str">
        <f t="shared" si="1"/>
        <v>Chloe Aguilar</v>
      </c>
      <c r="D366" s="6">
        <v>58.0</v>
      </c>
      <c r="E366" s="6" t="s">
        <v>14</v>
      </c>
      <c r="F366" s="6" t="str">
        <f t="shared" si="2"/>
        <v>Female</v>
      </c>
      <c r="G366" s="6" t="s">
        <v>1157</v>
      </c>
      <c r="H366" s="6" t="s">
        <v>141</v>
      </c>
      <c r="I366" s="6" t="s">
        <v>17</v>
      </c>
      <c r="J366" s="6" t="s">
        <v>29</v>
      </c>
      <c r="K366" s="6" t="str">
        <f t="shared" si="3"/>
        <v>Bronze</v>
      </c>
    </row>
    <row r="367" ht="14.25" customHeight="1">
      <c r="A367" s="6" t="s">
        <v>1158</v>
      </c>
      <c r="B367" s="6" t="s">
        <v>1159</v>
      </c>
      <c r="C367" s="6" t="str">
        <f t="shared" si="1"/>
        <v>Brandon Mcbride</v>
      </c>
      <c r="D367" s="6">
        <v>63.0</v>
      </c>
      <c r="E367" s="6" t="s">
        <v>21</v>
      </c>
      <c r="F367" s="6" t="str">
        <f t="shared" si="2"/>
        <v>Male</v>
      </c>
      <c r="G367" s="6" t="s">
        <v>1160</v>
      </c>
      <c r="H367" s="6" t="s">
        <v>171</v>
      </c>
      <c r="I367" s="6" t="s">
        <v>17</v>
      </c>
      <c r="J367" s="6" t="s">
        <v>18</v>
      </c>
      <c r="K367" s="6" t="str">
        <f t="shared" si="3"/>
        <v>Platinum</v>
      </c>
    </row>
    <row r="368" ht="14.25" customHeight="1">
      <c r="A368" s="6" t="s">
        <v>1161</v>
      </c>
      <c r="B368" s="6" t="s">
        <v>1162</v>
      </c>
      <c r="C368" s="6" t="str">
        <f t="shared" si="1"/>
        <v>Mallory Allen</v>
      </c>
      <c r="D368" s="6">
        <v>40.0</v>
      </c>
      <c r="E368" s="6" t="s">
        <v>21</v>
      </c>
      <c r="F368" s="6" t="str">
        <f t="shared" si="2"/>
        <v>Male</v>
      </c>
      <c r="G368" s="6" t="s">
        <v>1163</v>
      </c>
      <c r="H368" s="6" t="s">
        <v>28</v>
      </c>
      <c r="I368" s="6" t="s">
        <v>17</v>
      </c>
      <c r="J368" s="6" t="s">
        <v>18</v>
      </c>
      <c r="K368" s="6" t="str">
        <f t="shared" si="3"/>
        <v>Platinum</v>
      </c>
    </row>
    <row r="369" ht="14.25" customHeight="1">
      <c r="A369" s="6" t="s">
        <v>1164</v>
      </c>
      <c r="B369" s="6" t="s">
        <v>1165</v>
      </c>
      <c r="C369" s="6" t="str">
        <f t="shared" si="1"/>
        <v>Melinda Johnson</v>
      </c>
      <c r="D369" s="6">
        <v>51.0</v>
      </c>
      <c r="E369" s="6" t="s">
        <v>14</v>
      </c>
      <c r="F369" s="6" t="str">
        <f t="shared" si="2"/>
        <v>Female</v>
      </c>
      <c r="G369" s="6" t="s">
        <v>1166</v>
      </c>
      <c r="H369" s="6" t="s">
        <v>33</v>
      </c>
      <c r="I369" s="6" t="s">
        <v>17</v>
      </c>
      <c r="J369" s="6" t="s">
        <v>29</v>
      </c>
      <c r="K369" s="6" t="str">
        <f t="shared" si="3"/>
        <v>Bronze</v>
      </c>
    </row>
    <row r="370" ht="14.25" customHeight="1">
      <c r="A370" s="6" t="s">
        <v>1167</v>
      </c>
      <c r="B370" s="6" t="s">
        <v>1168</v>
      </c>
      <c r="C370" s="6" t="str">
        <f t="shared" si="1"/>
        <v>Miranda King</v>
      </c>
      <c r="D370" s="6">
        <v>34.0</v>
      </c>
      <c r="E370" s="6" t="s">
        <v>21</v>
      </c>
      <c r="F370" s="6" t="str">
        <f t="shared" si="2"/>
        <v>Male</v>
      </c>
      <c r="G370" s="6" t="s">
        <v>1169</v>
      </c>
      <c r="H370" s="6" t="s">
        <v>65</v>
      </c>
      <c r="I370" s="6" t="s">
        <v>17</v>
      </c>
      <c r="J370" s="6" t="s">
        <v>18</v>
      </c>
      <c r="K370" s="6" t="str">
        <f t="shared" si="3"/>
        <v>Platinum</v>
      </c>
    </row>
    <row r="371" ht="14.25" customHeight="1">
      <c r="A371" s="6" t="s">
        <v>1170</v>
      </c>
      <c r="B371" s="6" t="s">
        <v>1171</v>
      </c>
      <c r="C371" s="6" t="str">
        <f t="shared" si="1"/>
        <v>Gregory Allen</v>
      </c>
      <c r="D371" s="6">
        <v>20.0</v>
      </c>
      <c r="E371" s="6" t="s">
        <v>21</v>
      </c>
      <c r="F371" s="6" t="str">
        <f t="shared" si="2"/>
        <v>Male</v>
      </c>
      <c r="G371" s="6" t="s">
        <v>1172</v>
      </c>
      <c r="H371" s="6" t="s">
        <v>179</v>
      </c>
      <c r="I371" s="6" t="s">
        <v>17</v>
      </c>
      <c r="J371" s="6" t="s">
        <v>18</v>
      </c>
      <c r="K371" s="6" t="str">
        <f t="shared" si="3"/>
        <v>Platinum</v>
      </c>
    </row>
    <row r="372" ht="14.25" customHeight="1">
      <c r="A372" s="6" t="s">
        <v>1173</v>
      </c>
      <c r="B372" s="6" t="s">
        <v>1174</v>
      </c>
      <c r="C372" s="6" t="str">
        <f t="shared" si="1"/>
        <v>James Holloway Jr.</v>
      </c>
      <c r="D372" s="6">
        <v>45.0</v>
      </c>
      <c r="E372" s="6" t="s">
        <v>14</v>
      </c>
      <c r="F372" s="6" t="str">
        <f t="shared" si="2"/>
        <v>Female</v>
      </c>
      <c r="G372" s="6" t="s">
        <v>1175</v>
      </c>
      <c r="H372" s="6" t="s">
        <v>262</v>
      </c>
      <c r="I372" s="6" t="s">
        <v>17</v>
      </c>
      <c r="J372" s="6" t="s">
        <v>34</v>
      </c>
      <c r="K372" s="6" t="str">
        <f t="shared" si="3"/>
        <v>Silver</v>
      </c>
    </row>
    <row r="373" ht="14.25" customHeight="1">
      <c r="A373" s="6" t="s">
        <v>1176</v>
      </c>
      <c r="B373" s="6" t="s">
        <v>1177</v>
      </c>
      <c r="C373" s="6" t="str">
        <f t="shared" si="1"/>
        <v>Michael Garner</v>
      </c>
      <c r="D373" s="6">
        <v>21.0</v>
      </c>
      <c r="E373" s="6" t="s">
        <v>21</v>
      </c>
      <c r="F373" s="6" t="str">
        <f t="shared" si="2"/>
        <v>Male</v>
      </c>
      <c r="G373" s="6" t="s">
        <v>1178</v>
      </c>
      <c r="H373" s="6" t="s">
        <v>54</v>
      </c>
      <c r="I373" s="6" t="s">
        <v>17</v>
      </c>
      <c r="J373" s="6" t="s">
        <v>18</v>
      </c>
      <c r="K373" s="6" t="str">
        <f t="shared" si="3"/>
        <v>Platinum</v>
      </c>
    </row>
    <row r="374" ht="14.25" customHeight="1">
      <c r="A374" s="6" t="s">
        <v>1179</v>
      </c>
      <c r="B374" s="6" t="s">
        <v>1180</v>
      </c>
      <c r="C374" s="6" t="str">
        <f t="shared" si="1"/>
        <v>Jacqueline Anthony</v>
      </c>
      <c r="D374" s="6">
        <v>28.0</v>
      </c>
      <c r="E374" s="6" t="s">
        <v>14</v>
      </c>
      <c r="F374" s="6" t="str">
        <f t="shared" si="2"/>
        <v>Female</v>
      </c>
      <c r="G374" s="6" t="s">
        <v>1181</v>
      </c>
      <c r="H374" s="6" t="s">
        <v>33</v>
      </c>
      <c r="I374" s="6" t="s">
        <v>17</v>
      </c>
      <c r="J374" s="6" t="s">
        <v>29</v>
      </c>
      <c r="K374" s="6" t="str">
        <f t="shared" si="3"/>
        <v>Bronze</v>
      </c>
    </row>
    <row r="375" ht="14.25" customHeight="1">
      <c r="A375" s="6" t="s">
        <v>1182</v>
      </c>
      <c r="B375" s="6" t="s">
        <v>1183</v>
      </c>
      <c r="C375" s="6" t="str">
        <f t="shared" si="1"/>
        <v>James Orozco</v>
      </c>
      <c r="D375" s="6">
        <v>37.0</v>
      </c>
      <c r="E375" s="6" t="s">
        <v>21</v>
      </c>
      <c r="F375" s="6" t="str">
        <f t="shared" si="2"/>
        <v>Male</v>
      </c>
      <c r="G375" s="6" t="s">
        <v>1184</v>
      </c>
      <c r="H375" s="6" t="s">
        <v>443</v>
      </c>
      <c r="I375" s="6" t="s">
        <v>17</v>
      </c>
      <c r="J375" s="6" t="s">
        <v>24</v>
      </c>
      <c r="K375" s="6" t="str">
        <f t="shared" si="3"/>
        <v>Gold</v>
      </c>
    </row>
    <row r="376" ht="14.25" customHeight="1">
      <c r="A376" s="6" t="s">
        <v>1185</v>
      </c>
      <c r="B376" s="6" t="s">
        <v>1186</v>
      </c>
      <c r="C376" s="6" t="str">
        <f t="shared" si="1"/>
        <v>Emma Wilson</v>
      </c>
      <c r="D376" s="6">
        <v>60.0</v>
      </c>
      <c r="E376" s="6" t="s">
        <v>14</v>
      </c>
      <c r="F376" s="6" t="str">
        <f t="shared" si="2"/>
        <v>Female</v>
      </c>
      <c r="G376" s="6" t="s">
        <v>1187</v>
      </c>
      <c r="H376" s="6" t="s">
        <v>107</v>
      </c>
      <c r="I376" s="6" t="s">
        <v>17</v>
      </c>
      <c r="J376" s="6" t="s">
        <v>18</v>
      </c>
      <c r="K376" s="6" t="str">
        <f t="shared" si="3"/>
        <v>Platinum</v>
      </c>
    </row>
    <row r="377" ht="14.25" customHeight="1">
      <c r="A377" s="6" t="s">
        <v>1188</v>
      </c>
      <c r="B377" s="6" t="s">
        <v>1189</v>
      </c>
      <c r="C377" s="6" t="str">
        <f t="shared" si="1"/>
        <v>Joshua Bell</v>
      </c>
      <c r="D377" s="6">
        <v>26.0</v>
      </c>
      <c r="E377" s="6" t="s">
        <v>14</v>
      </c>
      <c r="F377" s="6" t="str">
        <f t="shared" si="2"/>
        <v>Female</v>
      </c>
      <c r="G377" s="6" t="s">
        <v>1190</v>
      </c>
      <c r="H377" s="6" t="s">
        <v>209</v>
      </c>
      <c r="I377" s="6" t="s">
        <v>17</v>
      </c>
      <c r="J377" s="6" t="s">
        <v>18</v>
      </c>
      <c r="K377" s="6" t="str">
        <f t="shared" si="3"/>
        <v>Platinum</v>
      </c>
    </row>
    <row r="378" ht="14.25" customHeight="1">
      <c r="A378" s="6" t="s">
        <v>1191</v>
      </c>
      <c r="B378" s="6" t="s">
        <v>1192</v>
      </c>
      <c r="C378" s="6" t="str">
        <f t="shared" si="1"/>
        <v>Michele Burke</v>
      </c>
      <c r="D378" s="6">
        <v>30.0</v>
      </c>
      <c r="E378" s="6" t="s">
        <v>14</v>
      </c>
      <c r="F378" s="6" t="str">
        <f t="shared" si="2"/>
        <v>Female</v>
      </c>
      <c r="G378" s="6" t="s">
        <v>1193</v>
      </c>
      <c r="H378" s="6" t="s">
        <v>175</v>
      </c>
      <c r="I378" s="6" t="s">
        <v>17</v>
      </c>
      <c r="J378" s="6" t="s">
        <v>29</v>
      </c>
      <c r="K378" s="6" t="str">
        <f t="shared" si="3"/>
        <v>Bronze</v>
      </c>
    </row>
    <row r="379" ht="14.25" customHeight="1">
      <c r="A379" s="6" t="s">
        <v>1194</v>
      </c>
      <c r="B379" s="6" t="s">
        <v>1195</v>
      </c>
      <c r="C379" s="6" t="str">
        <f t="shared" si="1"/>
        <v>Charles Conley</v>
      </c>
      <c r="D379" s="6">
        <v>39.0</v>
      </c>
      <c r="E379" s="6" t="s">
        <v>21</v>
      </c>
      <c r="F379" s="6" t="str">
        <f t="shared" si="2"/>
        <v>Male</v>
      </c>
      <c r="G379" s="6" t="s">
        <v>1196</v>
      </c>
      <c r="H379" s="6" t="s">
        <v>443</v>
      </c>
      <c r="I379" s="6" t="s">
        <v>17</v>
      </c>
      <c r="J379" s="6" t="s">
        <v>24</v>
      </c>
      <c r="K379" s="6" t="str">
        <f t="shared" si="3"/>
        <v>Gold</v>
      </c>
    </row>
    <row r="380" ht="14.25" customHeight="1">
      <c r="A380" s="6" t="s">
        <v>1197</v>
      </c>
      <c r="B380" s="6" t="s">
        <v>1198</v>
      </c>
      <c r="C380" s="6" t="str">
        <f t="shared" si="1"/>
        <v>Frank Stewart</v>
      </c>
      <c r="D380" s="6">
        <v>44.0</v>
      </c>
      <c r="E380" s="6" t="s">
        <v>21</v>
      </c>
      <c r="F380" s="6" t="str">
        <f t="shared" si="2"/>
        <v>Male</v>
      </c>
      <c r="G380" s="6" t="s">
        <v>1199</v>
      </c>
      <c r="H380" s="6" t="s">
        <v>99</v>
      </c>
      <c r="I380" s="6" t="s">
        <v>17</v>
      </c>
      <c r="J380" s="6" t="s">
        <v>29</v>
      </c>
      <c r="K380" s="6" t="str">
        <f t="shared" si="3"/>
        <v>Bronze</v>
      </c>
    </row>
    <row r="381" ht="14.25" customHeight="1">
      <c r="A381" s="6" t="s">
        <v>1200</v>
      </c>
      <c r="B381" s="6" t="s">
        <v>1201</v>
      </c>
      <c r="C381" s="6" t="str">
        <f t="shared" si="1"/>
        <v>Tanya Lopez</v>
      </c>
      <c r="D381" s="6">
        <v>34.0</v>
      </c>
      <c r="E381" s="6" t="s">
        <v>21</v>
      </c>
      <c r="F381" s="6" t="str">
        <f t="shared" si="2"/>
        <v>Male</v>
      </c>
      <c r="G381" s="6" t="s">
        <v>1202</v>
      </c>
      <c r="H381" s="6" t="s">
        <v>275</v>
      </c>
      <c r="I381" s="6" t="s">
        <v>17</v>
      </c>
      <c r="J381" s="6" t="s">
        <v>24</v>
      </c>
      <c r="K381" s="6" t="str">
        <f t="shared" si="3"/>
        <v>Gold</v>
      </c>
    </row>
    <row r="382" ht="14.25" customHeight="1">
      <c r="A382" s="6" t="s">
        <v>1203</v>
      </c>
      <c r="B382" s="6" t="s">
        <v>1204</v>
      </c>
      <c r="C382" s="6" t="str">
        <f t="shared" si="1"/>
        <v>Shelley Ponce</v>
      </c>
      <c r="D382" s="6">
        <v>23.0</v>
      </c>
      <c r="E382" s="6" t="s">
        <v>14</v>
      </c>
      <c r="F382" s="6" t="str">
        <f t="shared" si="2"/>
        <v>Female</v>
      </c>
      <c r="G382" s="6" t="s">
        <v>1205</v>
      </c>
      <c r="H382" s="6" t="s">
        <v>225</v>
      </c>
      <c r="I382" s="6" t="s">
        <v>17</v>
      </c>
      <c r="J382" s="6" t="s">
        <v>24</v>
      </c>
      <c r="K382" s="6" t="str">
        <f t="shared" si="3"/>
        <v>Gold</v>
      </c>
    </row>
    <row r="383" ht="14.25" customHeight="1">
      <c r="A383" s="6" t="s">
        <v>1206</v>
      </c>
      <c r="B383" s="6" t="s">
        <v>1207</v>
      </c>
      <c r="C383" s="6" t="str">
        <f t="shared" si="1"/>
        <v>Erika Padilla</v>
      </c>
      <c r="D383" s="6">
        <v>50.0</v>
      </c>
      <c r="E383" s="6" t="s">
        <v>14</v>
      </c>
      <c r="F383" s="6" t="str">
        <f t="shared" si="2"/>
        <v>Female</v>
      </c>
      <c r="G383" s="6" t="s">
        <v>1208</v>
      </c>
      <c r="H383" s="6" t="s">
        <v>28</v>
      </c>
      <c r="I383" s="6" t="s">
        <v>17</v>
      </c>
      <c r="J383" s="6" t="s">
        <v>34</v>
      </c>
      <c r="K383" s="6" t="str">
        <f t="shared" si="3"/>
        <v>Silver</v>
      </c>
    </row>
    <row r="384" ht="14.25" customHeight="1">
      <c r="A384" s="6" t="s">
        <v>1209</v>
      </c>
      <c r="B384" s="6" t="s">
        <v>1210</v>
      </c>
      <c r="C384" s="6" t="str">
        <f t="shared" si="1"/>
        <v>Martha Brown</v>
      </c>
      <c r="D384" s="6">
        <v>20.0</v>
      </c>
      <c r="E384" s="6" t="s">
        <v>21</v>
      </c>
      <c r="F384" s="6" t="str">
        <f t="shared" si="2"/>
        <v>Male</v>
      </c>
      <c r="G384" s="6" t="s">
        <v>1211</v>
      </c>
      <c r="H384" s="6" t="s">
        <v>38</v>
      </c>
      <c r="I384" s="6" t="s">
        <v>17</v>
      </c>
      <c r="J384" s="6" t="s">
        <v>24</v>
      </c>
      <c r="K384" s="6" t="str">
        <f t="shared" si="3"/>
        <v>Gold</v>
      </c>
    </row>
    <row r="385" ht="14.25" customHeight="1">
      <c r="A385" s="6" t="s">
        <v>1212</v>
      </c>
      <c r="B385" s="6" t="s">
        <v>1213</v>
      </c>
      <c r="C385" s="6" t="str">
        <f t="shared" si="1"/>
        <v>Kristine Higgins</v>
      </c>
      <c r="D385" s="6">
        <v>27.0</v>
      </c>
      <c r="E385" s="6" t="s">
        <v>21</v>
      </c>
      <c r="F385" s="6" t="str">
        <f t="shared" si="2"/>
        <v>Male</v>
      </c>
      <c r="G385" s="6" t="s">
        <v>1214</v>
      </c>
      <c r="H385" s="6" t="s">
        <v>325</v>
      </c>
      <c r="I385" s="6" t="s">
        <v>17</v>
      </c>
      <c r="J385" s="6" t="s">
        <v>34</v>
      </c>
      <c r="K385" s="6" t="str">
        <f t="shared" si="3"/>
        <v>Silver</v>
      </c>
    </row>
    <row r="386" ht="14.25" customHeight="1">
      <c r="A386" s="6" t="s">
        <v>1215</v>
      </c>
      <c r="B386" s="6" t="s">
        <v>1216</v>
      </c>
      <c r="C386" s="6" t="str">
        <f t="shared" si="1"/>
        <v>Andrew Mason</v>
      </c>
      <c r="D386" s="6">
        <v>52.0</v>
      </c>
      <c r="E386" s="6" t="s">
        <v>21</v>
      </c>
      <c r="F386" s="6" t="str">
        <f t="shared" si="2"/>
        <v>Male</v>
      </c>
      <c r="G386" s="6" t="s">
        <v>1217</v>
      </c>
      <c r="H386" s="6" t="s">
        <v>275</v>
      </c>
      <c r="I386" s="6" t="s">
        <v>17</v>
      </c>
      <c r="J386" s="6" t="s">
        <v>29</v>
      </c>
      <c r="K386" s="6" t="str">
        <f t="shared" si="3"/>
        <v>Bronze</v>
      </c>
    </row>
    <row r="387" ht="14.25" customHeight="1">
      <c r="A387" s="6" t="s">
        <v>1218</v>
      </c>
      <c r="B387" s="6" t="s">
        <v>1219</v>
      </c>
      <c r="C387" s="6" t="str">
        <f t="shared" si="1"/>
        <v>Tammy Brennan</v>
      </c>
      <c r="D387" s="6">
        <v>60.0</v>
      </c>
      <c r="E387" s="6" t="s">
        <v>14</v>
      </c>
      <c r="F387" s="6" t="str">
        <f t="shared" si="2"/>
        <v>Female</v>
      </c>
      <c r="G387" s="6" t="s">
        <v>1220</v>
      </c>
      <c r="H387" s="6" t="s">
        <v>325</v>
      </c>
      <c r="I387" s="6" t="s">
        <v>17</v>
      </c>
      <c r="J387" s="6" t="s">
        <v>24</v>
      </c>
      <c r="K387" s="6" t="str">
        <f t="shared" si="3"/>
        <v>Gold</v>
      </c>
    </row>
    <row r="388" ht="14.25" customHeight="1">
      <c r="A388" s="6" t="s">
        <v>1221</v>
      </c>
      <c r="B388" s="6" t="s">
        <v>1222</v>
      </c>
      <c r="C388" s="6" t="str">
        <f t="shared" si="1"/>
        <v>Melanie Mitchell</v>
      </c>
      <c r="D388" s="6">
        <v>18.0</v>
      </c>
      <c r="E388" s="6" t="s">
        <v>21</v>
      </c>
      <c r="F388" s="6" t="str">
        <f t="shared" si="2"/>
        <v>Male</v>
      </c>
      <c r="G388" s="6" t="s">
        <v>1223</v>
      </c>
      <c r="H388" s="6" t="s">
        <v>148</v>
      </c>
      <c r="I388" s="6" t="s">
        <v>17</v>
      </c>
      <c r="J388" s="6" t="s">
        <v>29</v>
      </c>
      <c r="K388" s="6" t="str">
        <f t="shared" si="3"/>
        <v>Bronze</v>
      </c>
    </row>
    <row r="389" ht="14.25" customHeight="1">
      <c r="A389" s="6" t="s">
        <v>1224</v>
      </c>
      <c r="B389" s="6" t="s">
        <v>1225</v>
      </c>
      <c r="C389" s="6" t="str">
        <f t="shared" si="1"/>
        <v>Timothy Gardner</v>
      </c>
      <c r="D389" s="6">
        <v>28.0</v>
      </c>
      <c r="E389" s="6" t="s">
        <v>21</v>
      </c>
      <c r="F389" s="6" t="str">
        <f t="shared" si="2"/>
        <v>Male</v>
      </c>
      <c r="G389" s="6" t="s">
        <v>1226</v>
      </c>
      <c r="H389" s="6" t="s">
        <v>95</v>
      </c>
      <c r="I389" s="6" t="s">
        <v>17</v>
      </c>
      <c r="J389" s="6" t="s">
        <v>34</v>
      </c>
      <c r="K389" s="6" t="str">
        <f t="shared" si="3"/>
        <v>Silver</v>
      </c>
    </row>
    <row r="390" ht="14.25" customHeight="1">
      <c r="A390" s="6" t="s">
        <v>1227</v>
      </c>
      <c r="B390" s="6" t="s">
        <v>1228</v>
      </c>
      <c r="C390" s="6" t="str">
        <f t="shared" si="1"/>
        <v>Timothy Valenzuela</v>
      </c>
      <c r="D390" s="6">
        <v>53.0</v>
      </c>
      <c r="E390" s="6" t="s">
        <v>14</v>
      </c>
      <c r="F390" s="6" t="str">
        <f t="shared" si="2"/>
        <v>Female</v>
      </c>
      <c r="G390" s="6" t="s">
        <v>1229</v>
      </c>
      <c r="H390" s="6" t="s">
        <v>121</v>
      </c>
      <c r="I390" s="6" t="s">
        <v>17</v>
      </c>
      <c r="J390" s="6" t="s">
        <v>18</v>
      </c>
      <c r="K390" s="6" t="str">
        <f t="shared" si="3"/>
        <v>Platinum</v>
      </c>
    </row>
    <row r="391" ht="14.25" customHeight="1">
      <c r="A391" s="6" t="s">
        <v>1230</v>
      </c>
      <c r="B391" s="6" t="s">
        <v>1231</v>
      </c>
      <c r="C391" s="6" t="str">
        <f t="shared" si="1"/>
        <v>Cynthia Lopez</v>
      </c>
      <c r="D391" s="6">
        <v>50.0</v>
      </c>
      <c r="E391" s="6" t="s">
        <v>14</v>
      </c>
      <c r="F391" s="6" t="str">
        <f t="shared" si="2"/>
        <v>Female</v>
      </c>
      <c r="G391" s="6" t="s">
        <v>1232</v>
      </c>
      <c r="H391" s="6" t="s">
        <v>77</v>
      </c>
      <c r="I391" s="6" t="s">
        <v>17</v>
      </c>
      <c r="J391" s="6" t="s">
        <v>18</v>
      </c>
      <c r="K391" s="6" t="str">
        <f t="shared" si="3"/>
        <v>Platinum</v>
      </c>
    </row>
    <row r="392" ht="14.25" customHeight="1">
      <c r="A392" s="6" t="s">
        <v>1233</v>
      </c>
      <c r="B392" s="6" t="s">
        <v>1234</v>
      </c>
      <c r="C392" s="6" t="str">
        <f t="shared" si="1"/>
        <v>Daniel Bell</v>
      </c>
      <c r="D392" s="6">
        <v>56.0</v>
      </c>
      <c r="E392" s="6" t="s">
        <v>14</v>
      </c>
      <c r="F392" s="6" t="str">
        <f t="shared" si="2"/>
        <v>Female</v>
      </c>
      <c r="G392" s="6" t="s">
        <v>1235</v>
      </c>
      <c r="H392" s="6" t="s">
        <v>299</v>
      </c>
      <c r="I392" s="6" t="s">
        <v>17</v>
      </c>
      <c r="J392" s="6" t="s">
        <v>34</v>
      </c>
      <c r="K392" s="6" t="str">
        <f t="shared" si="3"/>
        <v>Silver</v>
      </c>
    </row>
    <row r="393" ht="14.25" customHeight="1">
      <c r="A393" s="6" t="s">
        <v>1236</v>
      </c>
      <c r="B393" s="6" t="s">
        <v>1237</v>
      </c>
      <c r="C393" s="6" t="str">
        <f t="shared" si="1"/>
        <v>Heidi Tyler</v>
      </c>
      <c r="D393" s="6">
        <v>40.0</v>
      </c>
      <c r="E393" s="6" t="s">
        <v>21</v>
      </c>
      <c r="F393" s="6" t="str">
        <f t="shared" si="2"/>
        <v>Male</v>
      </c>
      <c r="G393" s="6" t="s">
        <v>1238</v>
      </c>
      <c r="H393" s="6" t="s">
        <v>42</v>
      </c>
      <c r="I393" s="6" t="s">
        <v>17</v>
      </c>
      <c r="J393" s="6" t="s">
        <v>29</v>
      </c>
      <c r="K393" s="6" t="str">
        <f t="shared" si="3"/>
        <v>Bronze</v>
      </c>
    </row>
    <row r="394" ht="14.25" customHeight="1">
      <c r="A394" s="6" t="s">
        <v>1239</v>
      </c>
      <c r="B394" s="6" t="s">
        <v>1240</v>
      </c>
      <c r="C394" s="6" t="str">
        <f t="shared" si="1"/>
        <v>Jacqueline Payne</v>
      </c>
      <c r="D394" s="6">
        <v>46.0</v>
      </c>
      <c r="E394" s="6" t="s">
        <v>14</v>
      </c>
      <c r="F394" s="6" t="str">
        <f t="shared" si="2"/>
        <v>Female</v>
      </c>
      <c r="G394" s="6" t="s">
        <v>1241</v>
      </c>
      <c r="H394" s="6" t="s">
        <v>121</v>
      </c>
      <c r="I394" s="6" t="s">
        <v>17</v>
      </c>
      <c r="J394" s="6" t="s">
        <v>24</v>
      </c>
      <c r="K394" s="6" t="str">
        <f t="shared" si="3"/>
        <v>Gold</v>
      </c>
    </row>
    <row r="395" ht="14.25" customHeight="1">
      <c r="A395" s="6" t="s">
        <v>1242</v>
      </c>
      <c r="B395" s="6" t="s">
        <v>1243</v>
      </c>
      <c r="C395" s="6" t="str">
        <f t="shared" si="1"/>
        <v>Michael Mcneil</v>
      </c>
      <c r="D395" s="6">
        <v>46.0</v>
      </c>
      <c r="E395" s="6" t="s">
        <v>14</v>
      </c>
      <c r="F395" s="6" t="str">
        <f t="shared" si="2"/>
        <v>Female</v>
      </c>
      <c r="G395" s="6" t="s">
        <v>1244</v>
      </c>
      <c r="H395" s="6" t="s">
        <v>125</v>
      </c>
      <c r="I395" s="6" t="s">
        <v>17</v>
      </c>
      <c r="J395" s="6" t="s">
        <v>29</v>
      </c>
      <c r="K395" s="6" t="str">
        <f t="shared" si="3"/>
        <v>Bronze</v>
      </c>
    </row>
    <row r="396" ht="14.25" customHeight="1">
      <c r="A396" s="6" t="s">
        <v>1245</v>
      </c>
      <c r="B396" s="6" t="s">
        <v>1246</v>
      </c>
      <c r="C396" s="6" t="str">
        <f t="shared" si="1"/>
        <v>Alejandro Evans</v>
      </c>
      <c r="D396" s="6">
        <v>43.0</v>
      </c>
      <c r="E396" s="6" t="s">
        <v>21</v>
      </c>
      <c r="F396" s="6" t="str">
        <f t="shared" si="2"/>
        <v>Male</v>
      </c>
      <c r="G396" s="6" t="s">
        <v>1247</v>
      </c>
      <c r="H396" s="6" t="s">
        <v>175</v>
      </c>
      <c r="I396" s="6" t="s">
        <v>17</v>
      </c>
      <c r="J396" s="6" t="s">
        <v>29</v>
      </c>
      <c r="K396" s="6" t="str">
        <f t="shared" si="3"/>
        <v>Bronze</v>
      </c>
    </row>
    <row r="397" ht="14.25" customHeight="1">
      <c r="A397" s="6" t="s">
        <v>1248</v>
      </c>
      <c r="B397" s="6" t="s">
        <v>1249</v>
      </c>
      <c r="C397" s="6" t="str">
        <f t="shared" si="1"/>
        <v>Brandon Mcguire</v>
      </c>
      <c r="D397" s="6">
        <v>50.0</v>
      </c>
      <c r="E397" s="6" t="s">
        <v>14</v>
      </c>
      <c r="F397" s="6" t="str">
        <f t="shared" si="2"/>
        <v>Female</v>
      </c>
      <c r="G397" s="6" t="s">
        <v>1250</v>
      </c>
      <c r="H397" s="6" t="s">
        <v>69</v>
      </c>
      <c r="I397" s="6" t="s">
        <v>17</v>
      </c>
      <c r="J397" s="6" t="s">
        <v>24</v>
      </c>
      <c r="K397" s="6" t="str">
        <f t="shared" si="3"/>
        <v>Gold</v>
      </c>
    </row>
    <row r="398" ht="14.25" customHeight="1">
      <c r="A398" s="6" t="s">
        <v>1251</v>
      </c>
      <c r="B398" s="6" t="s">
        <v>1252</v>
      </c>
      <c r="C398" s="6" t="str">
        <f t="shared" si="1"/>
        <v>Alexander Byrd</v>
      </c>
      <c r="D398" s="6">
        <v>25.0</v>
      </c>
      <c r="E398" s="6" t="s">
        <v>21</v>
      </c>
      <c r="F398" s="6" t="str">
        <f t="shared" si="2"/>
        <v>Male</v>
      </c>
      <c r="G398" s="6" t="s">
        <v>1253</v>
      </c>
      <c r="H398" s="6" t="s">
        <v>65</v>
      </c>
      <c r="I398" s="6" t="s">
        <v>17</v>
      </c>
      <c r="J398" s="6" t="s">
        <v>34</v>
      </c>
      <c r="K398" s="6" t="str">
        <f t="shared" si="3"/>
        <v>Silver</v>
      </c>
    </row>
    <row r="399" ht="14.25" customHeight="1">
      <c r="A399" s="6" t="s">
        <v>1254</v>
      </c>
      <c r="B399" s="6" t="s">
        <v>1255</v>
      </c>
      <c r="C399" s="6" t="str">
        <f t="shared" si="1"/>
        <v>Charles Norman Phd</v>
      </c>
      <c r="D399" s="6">
        <v>62.0</v>
      </c>
      <c r="E399" s="6" t="s">
        <v>21</v>
      </c>
      <c r="F399" s="6" t="str">
        <f t="shared" si="2"/>
        <v>Male</v>
      </c>
      <c r="G399" s="6" t="s">
        <v>131</v>
      </c>
      <c r="H399" s="6" t="s">
        <v>69</v>
      </c>
      <c r="I399" s="6" t="s">
        <v>17</v>
      </c>
      <c r="J399" s="6" t="s">
        <v>18</v>
      </c>
      <c r="K399" s="6" t="str">
        <f t="shared" si="3"/>
        <v>Platinum</v>
      </c>
    </row>
    <row r="400" ht="14.25" customHeight="1">
      <c r="A400" s="6" t="s">
        <v>1256</v>
      </c>
      <c r="B400" s="6" t="s">
        <v>1257</v>
      </c>
      <c r="C400" s="6" t="str">
        <f t="shared" si="1"/>
        <v>Jennifer Johnson</v>
      </c>
      <c r="D400" s="6">
        <v>54.0</v>
      </c>
      <c r="E400" s="6" t="s">
        <v>14</v>
      </c>
      <c r="F400" s="6" t="str">
        <f t="shared" si="2"/>
        <v>Female</v>
      </c>
      <c r="G400" s="6" t="s">
        <v>1258</v>
      </c>
      <c r="H400" s="6" t="s">
        <v>54</v>
      </c>
      <c r="I400" s="6" t="s">
        <v>17</v>
      </c>
      <c r="J400" s="6" t="s">
        <v>29</v>
      </c>
      <c r="K400" s="6" t="str">
        <f t="shared" si="3"/>
        <v>Bronze</v>
      </c>
    </row>
    <row r="401" ht="14.25" customHeight="1">
      <c r="A401" s="6" t="s">
        <v>1259</v>
      </c>
      <c r="B401" s="6" t="s">
        <v>1260</v>
      </c>
      <c r="C401" s="6" t="str">
        <f t="shared" si="1"/>
        <v>John Donaldson</v>
      </c>
      <c r="D401" s="6">
        <v>27.0</v>
      </c>
      <c r="E401" s="6" t="s">
        <v>14</v>
      </c>
      <c r="F401" s="6" t="str">
        <f t="shared" si="2"/>
        <v>Female</v>
      </c>
      <c r="G401" s="6" t="s">
        <v>1261</v>
      </c>
      <c r="H401" s="6" t="s">
        <v>443</v>
      </c>
      <c r="I401" s="6" t="s">
        <v>17</v>
      </c>
      <c r="J401" s="6" t="s">
        <v>29</v>
      </c>
      <c r="K401" s="6" t="str">
        <f t="shared" si="3"/>
        <v>Bronze</v>
      </c>
    </row>
    <row r="402" ht="14.25" customHeight="1">
      <c r="A402" s="6" t="s">
        <v>1262</v>
      </c>
      <c r="B402" s="6" t="s">
        <v>1263</v>
      </c>
      <c r="C402" s="6" t="str">
        <f t="shared" si="1"/>
        <v>Mark Rogers</v>
      </c>
      <c r="D402" s="6">
        <v>57.0</v>
      </c>
      <c r="E402" s="6" t="s">
        <v>21</v>
      </c>
      <c r="F402" s="6" t="str">
        <f t="shared" si="2"/>
        <v>Male</v>
      </c>
      <c r="G402" s="6" t="s">
        <v>1264</v>
      </c>
      <c r="H402" s="6" t="s">
        <v>103</v>
      </c>
      <c r="I402" s="6" t="s">
        <v>17</v>
      </c>
      <c r="J402" s="6" t="s">
        <v>18</v>
      </c>
      <c r="K402" s="6" t="str">
        <f t="shared" si="3"/>
        <v>Platinum</v>
      </c>
    </row>
    <row r="403" ht="14.25" customHeight="1">
      <c r="A403" s="6" t="s">
        <v>1265</v>
      </c>
      <c r="B403" s="6" t="s">
        <v>1266</v>
      </c>
      <c r="C403" s="6" t="str">
        <f t="shared" si="1"/>
        <v>Terry Moses</v>
      </c>
      <c r="D403" s="6">
        <v>51.0</v>
      </c>
      <c r="E403" s="6" t="s">
        <v>21</v>
      </c>
      <c r="F403" s="6" t="str">
        <f t="shared" si="2"/>
        <v>Male</v>
      </c>
      <c r="G403" s="6" t="s">
        <v>1267</v>
      </c>
      <c r="H403" s="6" t="s">
        <v>192</v>
      </c>
      <c r="I403" s="6" t="s">
        <v>17</v>
      </c>
      <c r="J403" s="6" t="s">
        <v>18</v>
      </c>
      <c r="K403" s="6" t="str">
        <f t="shared" si="3"/>
        <v>Platinum</v>
      </c>
    </row>
    <row r="404" ht="14.25" customHeight="1">
      <c r="A404" s="6" t="s">
        <v>1268</v>
      </c>
      <c r="B404" s="6" t="s">
        <v>1269</v>
      </c>
      <c r="C404" s="6" t="str">
        <f t="shared" si="1"/>
        <v>Cassandra Perez</v>
      </c>
      <c r="D404" s="6">
        <v>31.0</v>
      </c>
      <c r="E404" s="6" t="s">
        <v>14</v>
      </c>
      <c r="F404" s="6" t="str">
        <f t="shared" si="2"/>
        <v>Female</v>
      </c>
      <c r="G404" s="6" t="s">
        <v>87</v>
      </c>
      <c r="H404" s="6" t="s">
        <v>321</v>
      </c>
      <c r="I404" s="6" t="s">
        <v>17</v>
      </c>
      <c r="J404" s="6" t="s">
        <v>29</v>
      </c>
      <c r="K404" s="6" t="str">
        <f t="shared" si="3"/>
        <v>Bronze</v>
      </c>
    </row>
    <row r="405" ht="14.25" customHeight="1">
      <c r="A405" s="6" t="s">
        <v>1270</v>
      </c>
      <c r="B405" s="6" t="s">
        <v>1271</v>
      </c>
      <c r="C405" s="6" t="str">
        <f t="shared" si="1"/>
        <v>Justin Ingram</v>
      </c>
      <c r="D405" s="6">
        <v>34.0</v>
      </c>
      <c r="E405" s="6" t="s">
        <v>14</v>
      </c>
      <c r="F405" s="6" t="str">
        <f t="shared" si="2"/>
        <v>Female</v>
      </c>
      <c r="G405" s="6" t="s">
        <v>1272</v>
      </c>
      <c r="H405" s="6" t="s">
        <v>336</v>
      </c>
      <c r="I405" s="6" t="s">
        <v>17</v>
      </c>
      <c r="J405" s="6" t="s">
        <v>29</v>
      </c>
      <c r="K405" s="6" t="str">
        <f t="shared" si="3"/>
        <v>Bronze</v>
      </c>
    </row>
    <row r="406" ht="14.25" customHeight="1">
      <c r="A406" s="6" t="s">
        <v>1273</v>
      </c>
      <c r="B406" s="6" t="s">
        <v>1274</v>
      </c>
      <c r="C406" s="6" t="str">
        <f t="shared" si="1"/>
        <v>David Ross</v>
      </c>
      <c r="D406" s="6">
        <v>22.0</v>
      </c>
      <c r="E406" s="6" t="s">
        <v>21</v>
      </c>
      <c r="F406" s="6" t="str">
        <f t="shared" si="2"/>
        <v>Male</v>
      </c>
      <c r="G406" s="6" t="s">
        <v>1275</v>
      </c>
      <c r="H406" s="6" t="s">
        <v>299</v>
      </c>
      <c r="I406" s="6" t="s">
        <v>17</v>
      </c>
      <c r="J406" s="6" t="s">
        <v>34</v>
      </c>
      <c r="K406" s="6" t="str">
        <f t="shared" si="3"/>
        <v>Silver</v>
      </c>
    </row>
    <row r="407" ht="14.25" customHeight="1">
      <c r="A407" s="6" t="s">
        <v>1276</v>
      </c>
      <c r="B407" s="6" t="s">
        <v>1277</v>
      </c>
      <c r="C407" s="6" t="str">
        <f t="shared" si="1"/>
        <v>Eric Wolfe</v>
      </c>
      <c r="D407" s="6">
        <v>18.0</v>
      </c>
      <c r="E407" s="6" t="s">
        <v>21</v>
      </c>
      <c r="F407" s="6" t="str">
        <f t="shared" si="2"/>
        <v>Male</v>
      </c>
      <c r="G407" s="6" t="s">
        <v>1278</v>
      </c>
      <c r="H407" s="6" t="s">
        <v>336</v>
      </c>
      <c r="I407" s="6" t="s">
        <v>17</v>
      </c>
      <c r="J407" s="6" t="s">
        <v>24</v>
      </c>
      <c r="K407" s="6" t="str">
        <f t="shared" si="3"/>
        <v>Gold</v>
      </c>
    </row>
    <row r="408" ht="14.25" customHeight="1">
      <c r="A408" s="6" t="s">
        <v>1279</v>
      </c>
      <c r="B408" s="6" t="s">
        <v>1280</v>
      </c>
      <c r="C408" s="6" t="str">
        <f t="shared" si="1"/>
        <v>David Lozano</v>
      </c>
      <c r="D408" s="6">
        <v>23.0</v>
      </c>
      <c r="E408" s="6" t="s">
        <v>21</v>
      </c>
      <c r="F408" s="6" t="str">
        <f t="shared" si="2"/>
        <v>Male</v>
      </c>
      <c r="G408" s="6" t="s">
        <v>1281</v>
      </c>
      <c r="H408" s="6" t="s">
        <v>332</v>
      </c>
      <c r="I408" s="6" t="s">
        <v>17</v>
      </c>
      <c r="J408" s="6" t="s">
        <v>24</v>
      </c>
      <c r="K408" s="6" t="str">
        <f t="shared" si="3"/>
        <v>Gold</v>
      </c>
    </row>
    <row r="409" ht="14.25" customHeight="1">
      <c r="A409" s="6" t="s">
        <v>1282</v>
      </c>
      <c r="B409" s="6" t="s">
        <v>1283</v>
      </c>
      <c r="C409" s="6" t="str">
        <f t="shared" si="1"/>
        <v>Joseph Mendoza</v>
      </c>
      <c r="D409" s="6">
        <v>33.0</v>
      </c>
      <c r="E409" s="6" t="s">
        <v>14</v>
      </c>
      <c r="F409" s="6" t="str">
        <f t="shared" si="2"/>
        <v>Female</v>
      </c>
      <c r="G409" s="6" t="s">
        <v>1284</v>
      </c>
      <c r="H409" s="6" t="s">
        <v>148</v>
      </c>
      <c r="I409" s="6" t="s">
        <v>17</v>
      </c>
      <c r="J409" s="6" t="s">
        <v>24</v>
      </c>
      <c r="K409" s="6" t="str">
        <f t="shared" si="3"/>
        <v>Gold</v>
      </c>
    </row>
    <row r="410" ht="14.25" customHeight="1">
      <c r="A410" s="6" t="s">
        <v>1285</v>
      </c>
      <c r="B410" s="6" t="s">
        <v>1286</v>
      </c>
      <c r="C410" s="6" t="str">
        <f t="shared" si="1"/>
        <v>Isabel Foster</v>
      </c>
      <c r="D410" s="6">
        <v>36.0</v>
      </c>
      <c r="E410" s="6" t="s">
        <v>14</v>
      </c>
      <c r="F410" s="6" t="str">
        <f t="shared" si="2"/>
        <v>Female</v>
      </c>
      <c r="G410" s="6" t="s">
        <v>1287</v>
      </c>
      <c r="H410" s="6" t="s">
        <v>95</v>
      </c>
      <c r="I410" s="6" t="s">
        <v>17</v>
      </c>
      <c r="J410" s="6" t="s">
        <v>24</v>
      </c>
      <c r="K410" s="6" t="str">
        <f t="shared" si="3"/>
        <v>Gold</v>
      </c>
    </row>
    <row r="411" ht="14.25" customHeight="1">
      <c r="A411" s="6" t="s">
        <v>1288</v>
      </c>
      <c r="B411" s="6" t="s">
        <v>1289</v>
      </c>
      <c r="C411" s="6" t="str">
        <f t="shared" si="1"/>
        <v>Sarah Smith</v>
      </c>
      <c r="D411" s="6">
        <v>55.0</v>
      </c>
      <c r="E411" s="6" t="s">
        <v>14</v>
      </c>
      <c r="F411" s="6" t="str">
        <f t="shared" si="2"/>
        <v>Female</v>
      </c>
      <c r="G411" s="6" t="s">
        <v>1290</v>
      </c>
      <c r="H411" s="6" t="s">
        <v>860</v>
      </c>
      <c r="I411" s="6" t="s">
        <v>17</v>
      </c>
      <c r="J411" s="6" t="s">
        <v>24</v>
      </c>
      <c r="K411" s="6" t="str">
        <f t="shared" si="3"/>
        <v>Gold</v>
      </c>
    </row>
    <row r="412" ht="14.25" customHeight="1">
      <c r="A412" s="6" t="s">
        <v>1291</v>
      </c>
      <c r="B412" s="6" t="s">
        <v>1292</v>
      </c>
      <c r="C412" s="6" t="str">
        <f t="shared" si="1"/>
        <v>Jackie Thompson</v>
      </c>
      <c r="D412" s="6">
        <v>48.0</v>
      </c>
      <c r="E412" s="6" t="s">
        <v>21</v>
      </c>
      <c r="F412" s="6" t="str">
        <f t="shared" si="2"/>
        <v>Male</v>
      </c>
      <c r="G412" s="6" t="s">
        <v>1293</v>
      </c>
      <c r="H412" s="6" t="s">
        <v>95</v>
      </c>
      <c r="I412" s="6" t="s">
        <v>17</v>
      </c>
      <c r="J412" s="6" t="s">
        <v>29</v>
      </c>
      <c r="K412" s="6" t="str">
        <f t="shared" si="3"/>
        <v>Bronze</v>
      </c>
    </row>
    <row r="413" ht="14.25" customHeight="1">
      <c r="A413" s="6" t="s">
        <v>1294</v>
      </c>
      <c r="B413" s="6" t="s">
        <v>1295</v>
      </c>
      <c r="C413" s="6" t="str">
        <f t="shared" si="1"/>
        <v>Katrina Perez</v>
      </c>
      <c r="D413" s="6">
        <v>63.0</v>
      </c>
      <c r="E413" s="6" t="s">
        <v>14</v>
      </c>
      <c r="F413" s="6" t="str">
        <f t="shared" si="2"/>
        <v>Female</v>
      </c>
      <c r="G413" s="6" t="s">
        <v>1296</v>
      </c>
      <c r="H413" s="6" t="s">
        <v>33</v>
      </c>
      <c r="I413" s="6" t="s">
        <v>17</v>
      </c>
      <c r="J413" s="6" t="s">
        <v>34</v>
      </c>
      <c r="K413" s="6" t="str">
        <f t="shared" si="3"/>
        <v>Silver</v>
      </c>
    </row>
    <row r="414" ht="14.25" customHeight="1">
      <c r="A414" s="6" t="s">
        <v>1297</v>
      </c>
      <c r="B414" s="6" t="s">
        <v>1298</v>
      </c>
      <c r="C414" s="6" t="str">
        <f t="shared" si="1"/>
        <v>Shane Brown</v>
      </c>
      <c r="D414" s="6">
        <v>23.0</v>
      </c>
      <c r="E414" s="6" t="s">
        <v>21</v>
      </c>
      <c r="F414" s="6" t="str">
        <f t="shared" si="2"/>
        <v>Male</v>
      </c>
      <c r="G414" s="6" t="s">
        <v>212</v>
      </c>
      <c r="H414" s="6" t="s">
        <v>164</v>
      </c>
      <c r="I414" s="6" t="s">
        <v>17</v>
      </c>
      <c r="J414" s="6" t="s">
        <v>24</v>
      </c>
      <c r="K414" s="6" t="str">
        <f t="shared" si="3"/>
        <v>Gold</v>
      </c>
    </row>
    <row r="415" ht="14.25" customHeight="1">
      <c r="A415" s="6" t="s">
        <v>1299</v>
      </c>
      <c r="B415" s="6" t="s">
        <v>1300</v>
      </c>
      <c r="C415" s="6" t="str">
        <f t="shared" si="1"/>
        <v>Megan Ryan</v>
      </c>
      <c r="D415" s="6">
        <v>59.0</v>
      </c>
      <c r="E415" s="6" t="s">
        <v>21</v>
      </c>
      <c r="F415" s="6" t="str">
        <f t="shared" si="2"/>
        <v>Male</v>
      </c>
      <c r="G415" s="6" t="s">
        <v>1301</v>
      </c>
      <c r="H415" s="6" t="s">
        <v>114</v>
      </c>
      <c r="I415" s="6" t="s">
        <v>17</v>
      </c>
      <c r="J415" s="6" t="s">
        <v>29</v>
      </c>
      <c r="K415" s="6" t="str">
        <f t="shared" si="3"/>
        <v>Bronze</v>
      </c>
    </row>
    <row r="416" ht="14.25" customHeight="1">
      <c r="A416" s="6" t="s">
        <v>1302</v>
      </c>
      <c r="B416" s="6" t="s">
        <v>1303</v>
      </c>
      <c r="C416" s="6" t="str">
        <f t="shared" si="1"/>
        <v>Melissa Valentine</v>
      </c>
      <c r="D416" s="6">
        <v>35.0</v>
      </c>
      <c r="E416" s="6" t="s">
        <v>21</v>
      </c>
      <c r="F416" s="6" t="str">
        <f t="shared" si="2"/>
        <v>Male</v>
      </c>
      <c r="G416" s="6" t="s">
        <v>1304</v>
      </c>
      <c r="H416" s="6" t="s">
        <v>121</v>
      </c>
      <c r="I416" s="6" t="s">
        <v>17</v>
      </c>
      <c r="J416" s="6" t="s">
        <v>24</v>
      </c>
      <c r="K416" s="6" t="str">
        <f t="shared" si="3"/>
        <v>Gold</v>
      </c>
    </row>
    <row r="417" ht="14.25" customHeight="1">
      <c r="A417" s="6" t="s">
        <v>1305</v>
      </c>
      <c r="B417" s="6" t="s">
        <v>1306</v>
      </c>
      <c r="C417" s="6" t="str">
        <f t="shared" si="1"/>
        <v>Tyler Cook</v>
      </c>
      <c r="D417" s="6">
        <v>26.0</v>
      </c>
      <c r="E417" s="6" t="s">
        <v>21</v>
      </c>
      <c r="F417" s="6" t="str">
        <f t="shared" si="2"/>
        <v>Male</v>
      </c>
      <c r="G417" s="6" t="s">
        <v>1307</v>
      </c>
      <c r="H417" s="6" t="s">
        <v>171</v>
      </c>
      <c r="I417" s="6" t="s">
        <v>17</v>
      </c>
      <c r="J417" s="6" t="s">
        <v>34</v>
      </c>
      <c r="K417" s="6" t="str">
        <f t="shared" si="3"/>
        <v>Silver</v>
      </c>
    </row>
    <row r="418" ht="14.25" customHeight="1">
      <c r="A418" s="6" t="s">
        <v>1308</v>
      </c>
      <c r="B418" s="6" t="s">
        <v>1309</v>
      </c>
      <c r="C418" s="6" t="str">
        <f t="shared" si="1"/>
        <v>Jennifer Myers</v>
      </c>
      <c r="D418" s="6">
        <v>46.0</v>
      </c>
      <c r="E418" s="6" t="s">
        <v>14</v>
      </c>
      <c r="F418" s="6" t="str">
        <f t="shared" si="2"/>
        <v>Female</v>
      </c>
      <c r="G418" s="6" t="s">
        <v>1310</v>
      </c>
      <c r="H418" s="6" t="s">
        <v>332</v>
      </c>
      <c r="I418" s="6" t="s">
        <v>17</v>
      </c>
      <c r="J418" s="6" t="s">
        <v>18</v>
      </c>
      <c r="K418" s="6" t="str">
        <f t="shared" si="3"/>
        <v>Platinum</v>
      </c>
    </row>
    <row r="419" ht="14.25" customHeight="1">
      <c r="A419" s="6" t="s">
        <v>1311</v>
      </c>
      <c r="B419" s="6" t="s">
        <v>1312</v>
      </c>
      <c r="C419" s="6" t="str">
        <f t="shared" si="1"/>
        <v>Karen King</v>
      </c>
      <c r="D419" s="6">
        <v>64.0</v>
      </c>
      <c r="E419" s="6" t="s">
        <v>21</v>
      </c>
      <c r="F419" s="6" t="str">
        <f t="shared" si="2"/>
        <v>Male</v>
      </c>
      <c r="G419" s="6" t="s">
        <v>1313</v>
      </c>
      <c r="H419" s="6" t="s">
        <v>16</v>
      </c>
      <c r="I419" s="6" t="s">
        <v>17</v>
      </c>
      <c r="J419" s="6" t="s">
        <v>29</v>
      </c>
      <c r="K419" s="6" t="str">
        <f t="shared" si="3"/>
        <v>Bronze</v>
      </c>
    </row>
    <row r="420" ht="14.25" customHeight="1">
      <c r="A420" s="6" t="s">
        <v>1314</v>
      </c>
      <c r="B420" s="6" t="s">
        <v>1315</v>
      </c>
      <c r="C420" s="6" t="str">
        <f t="shared" si="1"/>
        <v>Luke Parks</v>
      </c>
      <c r="D420" s="6">
        <v>60.0</v>
      </c>
      <c r="E420" s="6" t="s">
        <v>21</v>
      </c>
      <c r="F420" s="6" t="str">
        <f t="shared" si="2"/>
        <v>Male</v>
      </c>
      <c r="G420" s="6" t="s">
        <v>1316</v>
      </c>
      <c r="H420" s="6" t="s">
        <v>54</v>
      </c>
      <c r="I420" s="6" t="s">
        <v>17</v>
      </c>
      <c r="J420" s="6" t="s">
        <v>34</v>
      </c>
      <c r="K420" s="6" t="str">
        <f t="shared" si="3"/>
        <v>Silver</v>
      </c>
    </row>
    <row r="421" ht="14.25" customHeight="1">
      <c r="A421" s="6" t="s">
        <v>1317</v>
      </c>
      <c r="B421" s="6" t="s">
        <v>1318</v>
      </c>
      <c r="C421" s="6" t="str">
        <f t="shared" si="1"/>
        <v>Monica Miller</v>
      </c>
      <c r="D421" s="6">
        <v>33.0</v>
      </c>
      <c r="E421" s="6" t="s">
        <v>14</v>
      </c>
      <c r="F421" s="6" t="str">
        <f t="shared" si="2"/>
        <v>Female</v>
      </c>
      <c r="G421" s="6" t="s">
        <v>1319</v>
      </c>
      <c r="H421" s="6" t="s">
        <v>321</v>
      </c>
      <c r="I421" s="6" t="s">
        <v>17</v>
      </c>
      <c r="J421" s="6" t="s">
        <v>24</v>
      </c>
      <c r="K421" s="6" t="str">
        <f t="shared" si="3"/>
        <v>Gold</v>
      </c>
    </row>
    <row r="422" ht="14.25" customHeight="1">
      <c r="A422" s="6" t="s">
        <v>1320</v>
      </c>
      <c r="B422" s="6" t="s">
        <v>1321</v>
      </c>
      <c r="C422" s="6" t="str">
        <f t="shared" si="1"/>
        <v>Dr. Tamara White Md</v>
      </c>
      <c r="D422" s="6">
        <v>60.0</v>
      </c>
      <c r="E422" s="6" t="s">
        <v>14</v>
      </c>
      <c r="F422" s="6" t="str">
        <f t="shared" si="2"/>
        <v>Female</v>
      </c>
      <c r="G422" s="6" t="s">
        <v>1322</v>
      </c>
      <c r="H422" s="6" t="s">
        <v>16</v>
      </c>
      <c r="I422" s="6" t="s">
        <v>17</v>
      </c>
      <c r="J422" s="6" t="s">
        <v>29</v>
      </c>
      <c r="K422" s="6" t="str">
        <f t="shared" si="3"/>
        <v>Bronze</v>
      </c>
    </row>
    <row r="423" ht="14.25" customHeight="1">
      <c r="A423" s="6" t="s">
        <v>1323</v>
      </c>
      <c r="B423" s="6" t="s">
        <v>1324</v>
      </c>
      <c r="C423" s="6" t="str">
        <f t="shared" si="1"/>
        <v>Holly Robinson</v>
      </c>
      <c r="D423" s="6">
        <v>45.0</v>
      </c>
      <c r="E423" s="6" t="s">
        <v>21</v>
      </c>
      <c r="F423" s="6" t="str">
        <f t="shared" si="2"/>
        <v>Male</v>
      </c>
      <c r="G423" s="6" t="s">
        <v>1325</v>
      </c>
      <c r="H423" s="6" t="s">
        <v>81</v>
      </c>
      <c r="I423" s="6" t="s">
        <v>17</v>
      </c>
      <c r="J423" s="6" t="s">
        <v>18</v>
      </c>
      <c r="K423" s="6" t="str">
        <f t="shared" si="3"/>
        <v>Platinum</v>
      </c>
    </row>
    <row r="424" ht="14.25" customHeight="1">
      <c r="A424" s="6" t="s">
        <v>1326</v>
      </c>
      <c r="B424" s="6" t="s">
        <v>1327</v>
      </c>
      <c r="C424" s="6" t="str">
        <f t="shared" si="1"/>
        <v>Brittany Edwards Dds</v>
      </c>
      <c r="D424" s="6">
        <v>42.0</v>
      </c>
      <c r="E424" s="6" t="s">
        <v>21</v>
      </c>
      <c r="F424" s="6" t="str">
        <f t="shared" si="2"/>
        <v>Male</v>
      </c>
      <c r="G424" s="6" t="s">
        <v>1328</v>
      </c>
      <c r="H424" s="6" t="s">
        <v>69</v>
      </c>
      <c r="I424" s="6" t="s">
        <v>17</v>
      </c>
      <c r="J424" s="6" t="s">
        <v>18</v>
      </c>
      <c r="K424" s="6" t="str">
        <f t="shared" si="3"/>
        <v>Platinum</v>
      </c>
    </row>
    <row r="425" ht="14.25" customHeight="1">
      <c r="A425" s="6" t="s">
        <v>1329</v>
      </c>
      <c r="B425" s="6" t="s">
        <v>1330</v>
      </c>
      <c r="C425" s="6" t="str">
        <f t="shared" si="1"/>
        <v>Rebecca Baker</v>
      </c>
      <c r="D425" s="6">
        <v>35.0</v>
      </c>
      <c r="E425" s="6" t="s">
        <v>14</v>
      </c>
      <c r="F425" s="6" t="str">
        <f t="shared" si="2"/>
        <v>Female</v>
      </c>
      <c r="G425" s="6" t="s">
        <v>1331</v>
      </c>
      <c r="H425" s="6" t="s">
        <v>69</v>
      </c>
      <c r="I425" s="6" t="s">
        <v>17</v>
      </c>
      <c r="J425" s="6" t="s">
        <v>34</v>
      </c>
      <c r="K425" s="6" t="str">
        <f t="shared" si="3"/>
        <v>Silver</v>
      </c>
    </row>
    <row r="426" ht="14.25" customHeight="1">
      <c r="A426" s="6" t="s">
        <v>1332</v>
      </c>
      <c r="B426" s="6" t="s">
        <v>1333</v>
      </c>
      <c r="C426" s="6" t="str">
        <f t="shared" si="1"/>
        <v>Edwin Barnes</v>
      </c>
      <c r="D426" s="6">
        <v>53.0</v>
      </c>
      <c r="E426" s="6" t="s">
        <v>14</v>
      </c>
      <c r="F426" s="6" t="str">
        <f t="shared" si="2"/>
        <v>Female</v>
      </c>
      <c r="G426" s="6" t="s">
        <v>1334</v>
      </c>
      <c r="H426" s="6" t="s">
        <v>16</v>
      </c>
      <c r="I426" s="6" t="s">
        <v>17</v>
      </c>
      <c r="J426" s="6" t="s">
        <v>29</v>
      </c>
      <c r="K426" s="6" t="str">
        <f t="shared" si="3"/>
        <v>Bronze</v>
      </c>
    </row>
    <row r="427" ht="14.25" customHeight="1">
      <c r="A427" s="6" t="s">
        <v>1335</v>
      </c>
      <c r="B427" s="6" t="s">
        <v>1336</v>
      </c>
      <c r="C427" s="6" t="str">
        <f t="shared" si="1"/>
        <v>Bryce Hawkins</v>
      </c>
      <c r="D427" s="6">
        <v>40.0</v>
      </c>
      <c r="E427" s="6" t="s">
        <v>14</v>
      </c>
      <c r="F427" s="6" t="str">
        <f t="shared" si="2"/>
        <v>Female</v>
      </c>
      <c r="G427" s="6" t="s">
        <v>1337</v>
      </c>
      <c r="H427" s="6" t="s">
        <v>125</v>
      </c>
      <c r="I427" s="6" t="s">
        <v>17</v>
      </c>
      <c r="J427" s="6" t="s">
        <v>29</v>
      </c>
      <c r="K427" s="6" t="str">
        <f t="shared" si="3"/>
        <v>Bronze</v>
      </c>
    </row>
    <row r="428" ht="14.25" customHeight="1">
      <c r="A428" s="6" t="s">
        <v>1338</v>
      </c>
      <c r="B428" s="6" t="s">
        <v>1339</v>
      </c>
      <c r="C428" s="6" t="str">
        <f t="shared" si="1"/>
        <v>Jeanette Nichols</v>
      </c>
      <c r="D428" s="6">
        <v>28.0</v>
      </c>
      <c r="E428" s="6" t="s">
        <v>14</v>
      </c>
      <c r="F428" s="6" t="str">
        <f t="shared" si="2"/>
        <v>Female</v>
      </c>
      <c r="G428" s="6" t="s">
        <v>1340</v>
      </c>
      <c r="H428" s="6" t="s">
        <v>16</v>
      </c>
      <c r="I428" s="6" t="s">
        <v>17</v>
      </c>
      <c r="J428" s="6" t="s">
        <v>18</v>
      </c>
      <c r="K428" s="6" t="str">
        <f t="shared" si="3"/>
        <v>Platinum</v>
      </c>
    </row>
    <row r="429" ht="14.25" customHeight="1">
      <c r="A429" s="6" t="s">
        <v>1341</v>
      </c>
      <c r="B429" s="6" t="s">
        <v>1342</v>
      </c>
      <c r="C429" s="6" t="str">
        <f t="shared" si="1"/>
        <v>Jose Stewart</v>
      </c>
      <c r="D429" s="6">
        <v>18.0</v>
      </c>
      <c r="E429" s="6" t="s">
        <v>21</v>
      </c>
      <c r="F429" s="6" t="str">
        <f t="shared" si="2"/>
        <v>Male</v>
      </c>
      <c r="G429" s="6" t="s">
        <v>1343</v>
      </c>
      <c r="H429" s="6" t="s">
        <v>443</v>
      </c>
      <c r="I429" s="6" t="s">
        <v>17</v>
      </c>
      <c r="J429" s="6" t="s">
        <v>24</v>
      </c>
      <c r="K429" s="6" t="str">
        <f t="shared" si="3"/>
        <v>Gold</v>
      </c>
    </row>
    <row r="430" ht="14.25" customHeight="1">
      <c r="A430" s="6" t="s">
        <v>1344</v>
      </c>
      <c r="B430" s="6" t="s">
        <v>1345</v>
      </c>
      <c r="C430" s="6" t="str">
        <f t="shared" si="1"/>
        <v>Samuel Mullins</v>
      </c>
      <c r="D430" s="6">
        <v>27.0</v>
      </c>
      <c r="E430" s="6" t="s">
        <v>21</v>
      </c>
      <c r="F430" s="6" t="str">
        <f t="shared" si="2"/>
        <v>Male</v>
      </c>
      <c r="G430" s="6" t="s">
        <v>1346</v>
      </c>
      <c r="H430" s="6" t="s">
        <v>336</v>
      </c>
      <c r="I430" s="6" t="s">
        <v>17</v>
      </c>
      <c r="J430" s="6" t="s">
        <v>29</v>
      </c>
      <c r="K430" s="6" t="str">
        <f t="shared" si="3"/>
        <v>Bronze</v>
      </c>
    </row>
    <row r="431" ht="14.25" customHeight="1">
      <c r="A431" s="6" t="s">
        <v>1347</v>
      </c>
      <c r="B431" s="6" t="s">
        <v>1348</v>
      </c>
      <c r="C431" s="6" t="str">
        <f t="shared" si="1"/>
        <v>Sean Vang</v>
      </c>
      <c r="D431" s="6">
        <v>43.0</v>
      </c>
      <c r="E431" s="6" t="s">
        <v>14</v>
      </c>
      <c r="F431" s="6" t="str">
        <f t="shared" si="2"/>
        <v>Female</v>
      </c>
      <c r="G431" s="6" t="s">
        <v>1349</v>
      </c>
      <c r="H431" s="6" t="s">
        <v>114</v>
      </c>
      <c r="I431" s="6" t="s">
        <v>17</v>
      </c>
      <c r="J431" s="6" t="s">
        <v>18</v>
      </c>
      <c r="K431" s="6" t="str">
        <f t="shared" si="3"/>
        <v>Platinum</v>
      </c>
    </row>
    <row r="432" ht="14.25" customHeight="1">
      <c r="A432" s="6" t="s">
        <v>1350</v>
      </c>
      <c r="B432" s="6" t="s">
        <v>1351</v>
      </c>
      <c r="C432" s="6" t="str">
        <f t="shared" si="1"/>
        <v>Kimberly Roberts</v>
      </c>
      <c r="D432" s="6">
        <v>36.0</v>
      </c>
      <c r="E432" s="6" t="s">
        <v>21</v>
      </c>
      <c r="F432" s="6" t="str">
        <f t="shared" si="2"/>
        <v>Male</v>
      </c>
      <c r="G432" s="6" t="s">
        <v>1352</v>
      </c>
      <c r="H432" s="6" t="s">
        <v>95</v>
      </c>
      <c r="I432" s="6" t="s">
        <v>17</v>
      </c>
      <c r="J432" s="6" t="s">
        <v>24</v>
      </c>
      <c r="K432" s="6" t="str">
        <f t="shared" si="3"/>
        <v>Gold</v>
      </c>
    </row>
    <row r="433" ht="14.25" customHeight="1">
      <c r="A433" s="6" t="s">
        <v>1353</v>
      </c>
      <c r="B433" s="6" t="s">
        <v>1354</v>
      </c>
      <c r="C433" s="6" t="str">
        <f t="shared" si="1"/>
        <v>John Smith</v>
      </c>
      <c r="D433" s="6">
        <v>27.0</v>
      </c>
      <c r="E433" s="6" t="s">
        <v>14</v>
      </c>
      <c r="F433" s="6" t="str">
        <f t="shared" si="2"/>
        <v>Female</v>
      </c>
      <c r="G433" s="6" t="s">
        <v>1355</v>
      </c>
      <c r="H433" s="6" t="s">
        <v>38</v>
      </c>
      <c r="I433" s="6" t="s">
        <v>17</v>
      </c>
      <c r="J433" s="6" t="s">
        <v>18</v>
      </c>
      <c r="K433" s="6" t="str">
        <f t="shared" si="3"/>
        <v>Platinum</v>
      </c>
    </row>
    <row r="434" ht="14.25" customHeight="1">
      <c r="A434" s="6" t="s">
        <v>1356</v>
      </c>
      <c r="B434" s="6" t="s">
        <v>1357</v>
      </c>
      <c r="C434" s="6" t="str">
        <f t="shared" si="1"/>
        <v>Summer Weiss</v>
      </c>
      <c r="D434" s="6">
        <v>37.0</v>
      </c>
      <c r="E434" s="6" t="s">
        <v>14</v>
      </c>
      <c r="F434" s="6" t="str">
        <f t="shared" si="2"/>
        <v>Female</v>
      </c>
      <c r="G434" s="6" t="s">
        <v>1358</v>
      </c>
      <c r="H434" s="6" t="s">
        <v>95</v>
      </c>
      <c r="I434" s="6" t="s">
        <v>17</v>
      </c>
      <c r="J434" s="6" t="s">
        <v>29</v>
      </c>
      <c r="K434" s="6" t="str">
        <f t="shared" si="3"/>
        <v>Bronze</v>
      </c>
    </row>
    <row r="435" ht="14.25" customHeight="1">
      <c r="A435" s="6" t="s">
        <v>1359</v>
      </c>
      <c r="B435" s="6" t="s">
        <v>1360</v>
      </c>
      <c r="C435" s="6" t="str">
        <f t="shared" si="1"/>
        <v>Thomas Moore</v>
      </c>
      <c r="D435" s="6">
        <v>51.0</v>
      </c>
      <c r="E435" s="6" t="s">
        <v>21</v>
      </c>
      <c r="F435" s="6" t="str">
        <f t="shared" si="2"/>
        <v>Male</v>
      </c>
      <c r="G435" s="6" t="s">
        <v>1361</v>
      </c>
      <c r="H435" s="6" t="s">
        <v>65</v>
      </c>
      <c r="I435" s="6" t="s">
        <v>17</v>
      </c>
      <c r="J435" s="6" t="s">
        <v>34</v>
      </c>
      <c r="K435" s="6" t="str">
        <f t="shared" si="3"/>
        <v>Silver</v>
      </c>
    </row>
    <row r="436" ht="14.25" customHeight="1">
      <c r="A436" s="6" t="s">
        <v>1362</v>
      </c>
      <c r="B436" s="6" t="s">
        <v>1363</v>
      </c>
      <c r="C436" s="6" t="str">
        <f t="shared" si="1"/>
        <v>Monique Castro</v>
      </c>
      <c r="D436" s="6">
        <v>48.0</v>
      </c>
      <c r="E436" s="6" t="s">
        <v>21</v>
      </c>
      <c r="F436" s="6" t="str">
        <f t="shared" si="2"/>
        <v>Male</v>
      </c>
      <c r="G436" s="6" t="s">
        <v>1364</v>
      </c>
      <c r="H436" s="6" t="s">
        <v>262</v>
      </c>
      <c r="I436" s="6" t="s">
        <v>17</v>
      </c>
      <c r="J436" s="6" t="s">
        <v>24</v>
      </c>
      <c r="K436" s="6" t="str">
        <f t="shared" si="3"/>
        <v>Gold</v>
      </c>
    </row>
    <row r="437" ht="14.25" customHeight="1">
      <c r="A437" s="6" t="s">
        <v>1365</v>
      </c>
      <c r="B437" s="6" t="s">
        <v>1366</v>
      </c>
      <c r="C437" s="6" t="str">
        <f t="shared" si="1"/>
        <v>Lindsay Beasley</v>
      </c>
      <c r="D437" s="6">
        <v>37.0</v>
      </c>
      <c r="E437" s="6" t="s">
        <v>21</v>
      </c>
      <c r="F437" s="6" t="str">
        <f t="shared" si="2"/>
        <v>Male</v>
      </c>
      <c r="G437" s="6" t="s">
        <v>1367</v>
      </c>
      <c r="H437" s="6" t="s">
        <v>114</v>
      </c>
      <c r="I437" s="6" t="s">
        <v>17</v>
      </c>
      <c r="J437" s="6" t="s">
        <v>34</v>
      </c>
      <c r="K437" s="6" t="str">
        <f t="shared" si="3"/>
        <v>Silver</v>
      </c>
    </row>
    <row r="438" ht="14.25" customHeight="1">
      <c r="A438" s="6" t="s">
        <v>1368</v>
      </c>
      <c r="B438" s="6" t="s">
        <v>1369</v>
      </c>
      <c r="C438" s="6" t="str">
        <f t="shared" si="1"/>
        <v>Sharon Simpson</v>
      </c>
      <c r="D438" s="6">
        <v>61.0</v>
      </c>
      <c r="E438" s="6" t="s">
        <v>14</v>
      </c>
      <c r="F438" s="6" t="str">
        <f t="shared" si="2"/>
        <v>Female</v>
      </c>
      <c r="G438" s="6" t="s">
        <v>1370</v>
      </c>
      <c r="H438" s="6" t="s">
        <v>46</v>
      </c>
      <c r="I438" s="6" t="s">
        <v>17</v>
      </c>
      <c r="J438" s="6" t="s">
        <v>24</v>
      </c>
      <c r="K438" s="6" t="str">
        <f t="shared" si="3"/>
        <v>Gold</v>
      </c>
    </row>
    <row r="439" ht="14.25" customHeight="1">
      <c r="A439" s="6" t="s">
        <v>1371</v>
      </c>
      <c r="B439" s="6" t="s">
        <v>1372</v>
      </c>
      <c r="C439" s="6" t="str">
        <f t="shared" si="1"/>
        <v>Melinda Rivera</v>
      </c>
      <c r="D439" s="6">
        <v>47.0</v>
      </c>
      <c r="E439" s="6" t="s">
        <v>21</v>
      </c>
      <c r="F439" s="6" t="str">
        <f t="shared" si="2"/>
        <v>Male</v>
      </c>
      <c r="G439" s="6" t="s">
        <v>609</v>
      </c>
      <c r="H439" s="6" t="s">
        <v>54</v>
      </c>
      <c r="I439" s="6" t="s">
        <v>17</v>
      </c>
      <c r="J439" s="6" t="s">
        <v>18</v>
      </c>
      <c r="K439" s="6" t="str">
        <f t="shared" si="3"/>
        <v>Platinum</v>
      </c>
    </row>
    <row r="440" ht="14.25" customHeight="1">
      <c r="A440" s="6" t="s">
        <v>1373</v>
      </c>
      <c r="B440" s="6" t="s">
        <v>1374</v>
      </c>
      <c r="C440" s="6" t="str">
        <f t="shared" si="1"/>
        <v>Monica Flynn</v>
      </c>
      <c r="D440" s="6">
        <v>59.0</v>
      </c>
      <c r="E440" s="6" t="s">
        <v>21</v>
      </c>
      <c r="F440" s="6" t="str">
        <f t="shared" si="2"/>
        <v>Male</v>
      </c>
      <c r="G440" s="6" t="s">
        <v>1375</v>
      </c>
      <c r="H440" s="6" t="s">
        <v>245</v>
      </c>
      <c r="I440" s="6" t="s">
        <v>17</v>
      </c>
      <c r="J440" s="6" t="s">
        <v>18</v>
      </c>
      <c r="K440" s="6" t="str">
        <f t="shared" si="3"/>
        <v>Platinum</v>
      </c>
    </row>
    <row r="441" ht="14.25" customHeight="1">
      <c r="A441" s="6" t="s">
        <v>1376</v>
      </c>
      <c r="B441" s="6" t="s">
        <v>1377</v>
      </c>
      <c r="C441" s="6" t="str">
        <f t="shared" si="1"/>
        <v>John Compton</v>
      </c>
      <c r="D441" s="6">
        <v>53.0</v>
      </c>
      <c r="E441" s="6" t="s">
        <v>14</v>
      </c>
      <c r="F441" s="6" t="str">
        <f t="shared" si="2"/>
        <v>Female</v>
      </c>
      <c r="G441" s="6" t="s">
        <v>946</v>
      </c>
      <c r="H441" s="6" t="s">
        <v>164</v>
      </c>
      <c r="I441" s="6" t="s">
        <v>17</v>
      </c>
      <c r="J441" s="6" t="s">
        <v>34</v>
      </c>
      <c r="K441" s="6" t="str">
        <f t="shared" si="3"/>
        <v>Silver</v>
      </c>
    </row>
    <row r="442" ht="14.25" customHeight="1">
      <c r="A442" s="6" t="s">
        <v>1378</v>
      </c>
      <c r="B442" s="6" t="s">
        <v>1379</v>
      </c>
      <c r="C442" s="6" t="str">
        <f t="shared" si="1"/>
        <v>Tammy Trevino</v>
      </c>
      <c r="D442" s="6">
        <v>60.0</v>
      </c>
      <c r="E442" s="6" t="s">
        <v>14</v>
      </c>
      <c r="F442" s="6" t="str">
        <f t="shared" si="2"/>
        <v>Female</v>
      </c>
      <c r="G442" s="6" t="s">
        <v>1380</v>
      </c>
      <c r="H442" s="6" t="s">
        <v>23</v>
      </c>
      <c r="I442" s="6" t="s">
        <v>17</v>
      </c>
      <c r="J442" s="6" t="s">
        <v>34</v>
      </c>
      <c r="K442" s="6" t="str">
        <f t="shared" si="3"/>
        <v>Silver</v>
      </c>
    </row>
    <row r="443" ht="14.25" customHeight="1">
      <c r="A443" s="6" t="s">
        <v>1381</v>
      </c>
      <c r="B443" s="6" t="s">
        <v>1382</v>
      </c>
      <c r="C443" s="6" t="str">
        <f t="shared" si="1"/>
        <v>Dalton Walters</v>
      </c>
      <c r="D443" s="6">
        <v>31.0</v>
      </c>
      <c r="E443" s="6" t="s">
        <v>14</v>
      </c>
      <c r="F443" s="6" t="str">
        <f t="shared" si="2"/>
        <v>Female</v>
      </c>
      <c r="G443" s="6" t="s">
        <v>1383</v>
      </c>
      <c r="H443" s="6" t="s">
        <v>332</v>
      </c>
      <c r="I443" s="6" t="s">
        <v>17</v>
      </c>
      <c r="J443" s="6" t="s">
        <v>34</v>
      </c>
      <c r="K443" s="6" t="str">
        <f t="shared" si="3"/>
        <v>Silver</v>
      </c>
    </row>
    <row r="444" ht="14.25" customHeight="1">
      <c r="A444" s="6" t="s">
        <v>1384</v>
      </c>
      <c r="B444" s="6" t="s">
        <v>1385</v>
      </c>
      <c r="C444" s="6" t="str">
        <f t="shared" si="1"/>
        <v>Kelli Smith</v>
      </c>
      <c r="D444" s="6">
        <v>42.0</v>
      </c>
      <c r="E444" s="6" t="s">
        <v>21</v>
      </c>
      <c r="F444" s="6" t="str">
        <f t="shared" si="2"/>
        <v>Male</v>
      </c>
      <c r="G444" s="6" t="s">
        <v>1386</v>
      </c>
      <c r="H444" s="6" t="s">
        <v>42</v>
      </c>
      <c r="I444" s="6" t="s">
        <v>17</v>
      </c>
      <c r="J444" s="6" t="s">
        <v>29</v>
      </c>
      <c r="K444" s="6" t="str">
        <f t="shared" si="3"/>
        <v>Bronze</v>
      </c>
    </row>
    <row r="445" ht="14.25" customHeight="1">
      <c r="A445" s="6" t="s">
        <v>1387</v>
      </c>
      <c r="B445" s="6" t="s">
        <v>1388</v>
      </c>
      <c r="C445" s="6" t="str">
        <f t="shared" si="1"/>
        <v>Adam Castro</v>
      </c>
      <c r="D445" s="6">
        <v>51.0</v>
      </c>
      <c r="E445" s="6" t="s">
        <v>14</v>
      </c>
      <c r="F445" s="6" t="str">
        <f t="shared" si="2"/>
        <v>Female</v>
      </c>
      <c r="G445" s="6" t="s">
        <v>1389</v>
      </c>
      <c r="H445" s="6" t="s">
        <v>367</v>
      </c>
      <c r="I445" s="6" t="s">
        <v>17</v>
      </c>
      <c r="J445" s="6" t="s">
        <v>34</v>
      </c>
      <c r="K445" s="6" t="str">
        <f t="shared" si="3"/>
        <v>Silver</v>
      </c>
    </row>
    <row r="446" ht="14.25" customHeight="1">
      <c r="A446" s="6" t="s">
        <v>1390</v>
      </c>
      <c r="B446" s="6" t="s">
        <v>1391</v>
      </c>
      <c r="C446" s="6" t="str">
        <f t="shared" si="1"/>
        <v>Cheryl Carr</v>
      </c>
      <c r="D446" s="6">
        <v>19.0</v>
      </c>
      <c r="E446" s="6" t="s">
        <v>14</v>
      </c>
      <c r="F446" s="6" t="str">
        <f t="shared" si="2"/>
        <v>Female</v>
      </c>
      <c r="G446" s="6" t="s">
        <v>1392</v>
      </c>
      <c r="H446" s="6" t="s">
        <v>860</v>
      </c>
      <c r="I446" s="6" t="s">
        <v>17</v>
      </c>
      <c r="J446" s="6" t="s">
        <v>24</v>
      </c>
      <c r="K446" s="6" t="str">
        <f t="shared" si="3"/>
        <v>Gold</v>
      </c>
    </row>
    <row r="447" ht="14.25" customHeight="1">
      <c r="A447" s="6" t="s">
        <v>1393</v>
      </c>
      <c r="B447" s="6" t="s">
        <v>1394</v>
      </c>
      <c r="C447" s="6" t="str">
        <f t="shared" si="1"/>
        <v>Gene Lee</v>
      </c>
      <c r="D447" s="6">
        <v>41.0</v>
      </c>
      <c r="E447" s="6" t="s">
        <v>21</v>
      </c>
      <c r="F447" s="6" t="str">
        <f t="shared" si="2"/>
        <v>Male</v>
      </c>
      <c r="G447" s="6" t="s">
        <v>1395</v>
      </c>
      <c r="H447" s="6" t="s">
        <v>295</v>
      </c>
      <c r="I447" s="6" t="s">
        <v>17</v>
      </c>
      <c r="J447" s="6" t="s">
        <v>18</v>
      </c>
      <c r="K447" s="6" t="str">
        <f t="shared" si="3"/>
        <v>Platinum</v>
      </c>
    </row>
    <row r="448" ht="14.25" customHeight="1">
      <c r="A448" s="6" t="s">
        <v>1396</v>
      </c>
      <c r="B448" s="6" t="s">
        <v>1397</v>
      </c>
      <c r="C448" s="6" t="str">
        <f t="shared" si="1"/>
        <v>Shannon Turner</v>
      </c>
      <c r="D448" s="6">
        <v>35.0</v>
      </c>
      <c r="E448" s="6" t="s">
        <v>14</v>
      </c>
      <c r="F448" s="6" t="str">
        <f t="shared" si="2"/>
        <v>Female</v>
      </c>
      <c r="G448" s="6" t="s">
        <v>1398</v>
      </c>
      <c r="H448" s="6" t="s">
        <v>103</v>
      </c>
      <c r="I448" s="6" t="s">
        <v>17</v>
      </c>
      <c r="J448" s="6" t="s">
        <v>34</v>
      </c>
      <c r="K448" s="6" t="str">
        <f t="shared" si="3"/>
        <v>Silver</v>
      </c>
    </row>
    <row r="449" ht="14.25" customHeight="1">
      <c r="A449" s="6" t="s">
        <v>1399</v>
      </c>
      <c r="B449" s="6" t="s">
        <v>1400</v>
      </c>
      <c r="C449" s="6" t="str">
        <f t="shared" si="1"/>
        <v>Monica Wright</v>
      </c>
      <c r="D449" s="6">
        <v>45.0</v>
      </c>
      <c r="E449" s="6" t="s">
        <v>14</v>
      </c>
      <c r="F449" s="6" t="str">
        <f t="shared" si="2"/>
        <v>Female</v>
      </c>
      <c r="G449" s="6" t="s">
        <v>1401</v>
      </c>
      <c r="H449" s="6" t="s">
        <v>16</v>
      </c>
      <c r="I449" s="6" t="s">
        <v>17</v>
      </c>
      <c r="J449" s="6" t="s">
        <v>24</v>
      </c>
      <c r="K449" s="6" t="str">
        <f t="shared" si="3"/>
        <v>Gold</v>
      </c>
    </row>
    <row r="450" ht="14.25" customHeight="1">
      <c r="A450" s="6" t="s">
        <v>1402</v>
      </c>
      <c r="B450" s="6" t="s">
        <v>1403</v>
      </c>
      <c r="C450" s="6" t="str">
        <f t="shared" si="1"/>
        <v>Eric Holmes</v>
      </c>
      <c r="D450" s="6">
        <v>64.0</v>
      </c>
      <c r="E450" s="6" t="s">
        <v>21</v>
      </c>
      <c r="F450" s="6" t="str">
        <f t="shared" si="2"/>
        <v>Male</v>
      </c>
      <c r="G450" s="6" t="s">
        <v>1404</v>
      </c>
      <c r="H450" s="6" t="s">
        <v>860</v>
      </c>
      <c r="I450" s="6" t="s">
        <v>17</v>
      </c>
      <c r="J450" s="6" t="s">
        <v>29</v>
      </c>
      <c r="K450" s="6" t="str">
        <f t="shared" si="3"/>
        <v>Bronze</v>
      </c>
    </row>
    <row r="451" ht="14.25" customHeight="1">
      <c r="A451" s="6" t="s">
        <v>1405</v>
      </c>
      <c r="B451" s="6" t="s">
        <v>1406</v>
      </c>
      <c r="C451" s="6" t="str">
        <f t="shared" si="1"/>
        <v>William Cortez</v>
      </c>
      <c r="D451" s="6">
        <v>29.0</v>
      </c>
      <c r="E451" s="6" t="s">
        <v>14</v>
      </c>
      <c r="F451" s="6" t="str">
        <f t="shared" si="2"/>
        <v>Female</v>
      </c>
      <c r="G451" s="6" t="s">
        <v>1407</v>
      </c>
      <c r="H451" s="6" t="s">
        <v>33</v>
      </c>
      <c r="I451" s="6" t="s">
        <v>17</v>
      </c>
      <c r="J451" s="6" t="s">
        <v>29</v>
      </c>
      <c r="K451" s="6" t="str">
        <f t="shared" si="3"/>
        <v>Bronze</v>
      </c>
    </row>
    <row r="452" ht="14.25" customHeight="1">
      <c r="A452" s="6" t="s">
        <v>1408</v>
      </c>
      <c r="B452" s="6" t="s">
        <v>1409</v>
      </c>
      <c r="C452" s="6" t="str">
        <f t="shared" si="1"/>
        <v>Shane Mills</v>
      </c>
      <c r="D452" s="6">
        <v>59.0</v>
      </c>
      <c r="E452" s="6" t="s">
        <v>14</v>
      </c>
      <c r="F452" s="6" t="str">
        <f t="shared" si="2"/>
        <v>Female</v>
      </c>
      <c r="G452" s="6" t="s">
        <v>1410</v>
      </c>
      <c r="H452" s="6" t="s">
        <v>77</v>
      </c>
      <c r="I452" s="6" t="s">
        <v>17</v>
      </c>
      <c r="J452" s="6" t="s">
        <v>29</v>
      </c>
      <c r="K452" s="6" t="str">
        <f t="shared" si="3"/>
        <v>Bronze</v>
      </c>
    </row>
    <row r="453" ht="14.25" customHeight="1">
      <c r="A453" s="6" t="s">
        <v>1411</v>
      </c>
      <c r="B453" s="6" t="s">
        <v>1412</v>
      </c>
      <c r="C453" s="6" t="str">
        <f t="shared" si="1"/>
        <v>Ashley Roberts</v>
      </c>
      <c r="D453" s="6">
        <v>46.0</v>
      </c>
      <c r="E453" s="6" t="s">
        <v>14</v>
      </c>
      <c r="F453" s="6" t="str">
        <f t="shared" si="2"/>
        <v>Female</v>
      </c>
      <c r="G453" s="6" t="s">
        <v>575</v>
      </c>
      <c r="H453" s="6" t="s">
        <v>241</v>
      </c>
      <c r="I453" s="6" t="s">
        <v>17</v>
      </c>
      <c r="J453" s="6" t="s">
        <v>24</v>
      </c>
      <c r="K453" s="6" t="str">
        <f t="shared" si="3"/>
        <v>Gold</v>
      </c>
    </row>
    <row r="454" ht="14.25" customHeight="1">
      <c r="A454" s="6" t="s">
        <v>1413</v>
      </c>
      <c r="B454" s="6" t="s">
        <v>1414</v>
      </c>
      <c r="C454" s="6" t="str">
        <f t="shared" si="1"/>
        <v>Jeffery Wolf</v>
      </c>
      <c r="D454" s="6">
        <v>60.0</v>
      </c>
      <c r="E454" s="6" t="s">
        <v>21</v>
      </c>
      <c r="F454" s="6" t="str">
        <f t="shared" si="2"/>
        <v>Male</v>
      </c>
      <c r="G454" s="6" t="s">
        <v>1415</v>
      </c>
      <c r="H454" s="6" t="s">
        <v>321</v>
      </c>
      <c r="I454" s="6" t="s">
        <v>17</v>
      </c>
      <c r="J454" s="6" t="s">
        <v>29</v>
      </c>
      <c r="K454" s="6" t="str">
        <f t="shared" si="3"/>
        <v>Bronze</v>
      </c>
    </row>
    <row r="455" ht="14.25" customHeight="1">
      <c r="A455" s="6" t="s">
        <v>1416</v>
      </c>
      <c r="B455" s="6" t="s">
        <v>1417</v>
      </c>
      <c r="C455" s="6" t="str">
        <f t="shared" si="1"/>
        <v>April Phillips</v>
      </c>
      <c r="D455" s="6">
        <v>62.0</v>
      </c>
      <c r="E455" s="6" t="s">
        <v>21</v>
      </c>
      <c r="F455" s="6" t="str">
        <f t="shared" si="2"/>
        <v>Male</v>
      </c>
      <c r="G455" s="6" t="s">
        <v>1418</v>
      </c>
      <c r="H455" s="6" t="s">
        <v>107</v>
      </c>
      <c r="I455" s="6" t="s">
        <v>17</v>
      </c>
      <c r="J455" s="6" t="s">
        <v>18</v>
      </c>
      <c r="K455" s="6" t="str">
        <f t="shared" si="3"/>
        <v>Platinum</v>
      </c>
    </row>
    <row r="456" ht="14.25" customHeight="1">
      <c r="A456" s="6" t="s">
        <v>1419</v>
      </c>
      <c r="B456" s="6" t="s">
        <v>1420</v>
      </c>
      <c r="C456" s="6" t="str">
        <f t="shared" si="1"/>
        <v>John Berg</v>
      </c>
      <c r="D456" s="6">
        <v>60.0</v>
      </c>
      <c r="E456" s="6" t="s">
        <v>14</v>
      </c>
      <c r="F456" s="6" t="str">
        <f t="shared" si="2"/>
        <v>Female</v>
      </c>
      <c r="G456" s="6" t="s">
        <v>137</v>
      </c>
      <c r="H456" s="6" t="s">
        <v>103</v>
      </c>
      <c r="I456" s="6" t="s">
        <v>17</v>
      </c>
      <c r="J456" s="6" t="s">
        <v>24</v>
      </c>
      <c r="K456" s="6" t="str">
        <f t="shared" si="3"/>
        <v>Gold</v>
      </c>
    </row>
    <row r="457" ht="14.25" customHeight="1">
      <c r="A457" s="6" t="s">
        <v>1421</v>
      </c>
      <c r="B457" s="6" t="s">
        <v>1422</v>
      </c>
      <c r="C457" s="6" t="str">
        <f t="shared" si="1"/>
        <v>Tyler Weber</v>
      </c>
      <c r="D457" s="6">
        <v>54.0</v>
      </c>
      <c r="E457" s="6" t="s">
        <v>14</v>
      </c>
      <c r="F457" s="6" t="str">
        <f t="shared" si="2"/>
        <v>Female</v>
      </c>
      <c r="G457" s="6" t="s">
        <v>1423</v>
      </c>
      <c r="H457" s="6" t="s">
        <v>202</v>
      </c>
      <c r="I457" s="6" t="s">
        <v>17</v>
      </c>
      <c r="J457" s="6" t="s">
        <v>24</v>
      </c>
      <c r="K457" s="6" t="str">
        <f t="shared" si="3"/>
        <v>Gold</v>
      </c>
    </row>
    <row r="458" ht="14.25" customHeight="1">
      <c r="A458" s="6" t="s">
        <v>1424</v>
      </c>
      <c r="B458" s="6" t="s">
        <v>1425</v>
      </c>
      <c r="C458" s="6" t="str">
        <f t="shared" si="1"/>
        <v>Julie Powell</v>
      </c>
      <c r="D458" s="6">
        <v>59.0</v>
      </c>
      <c r="E458" s="6" t="s">
        <v>21</v>
      </c>
      <c r="F458" s="6" t="str">
        <f t="shared" si="2"/>
        <v>Male</v>
      </c>
      <c r="G458" s="6" t="s">
        <v>1426</v>
      </c>
      <c r="H458" s="6" t="s">
        <v>299</v>
      </c>
      <c r="I458" s="6" t="s">
        <v>17</v>
      </c>
      <c r="J458" s="6" t="s">
        <v>24</v>
      </c>
      <c r="K458" s="6" t="str">
        <f t="shared" si="3"/>
        <v>Gold</v>
      </c>
    </row>
    <row r="459" ht="14.25" customHeight="1">
      <c r="A459" s="6" t="s">
        <v>1427</v>
      </c>
      <c r="B459" s="6" t="s">
        <v>1428</v>
      </c>
      <c r="C459" s="6" t="str">
        <f t="shared" si="1"/>
        <v>Christina Robertson</v>
      </c>
      <c r="D459" s="6">
        <v>59.0</v>
      </c>
      <c r="E459" s="6" t="s">
        <v>14</v>
      </c>
      <c r="F459" s="6" t="str">
        <f t="shared" si="2"/>
        <v>Female</v>
      </c>
      <c r="G459" s="6" t="s">
        <v>1429</v>
      </c>
      <c r="H459" s="6" t="s">
        <v>600</v>
      </c>
      <c r="I459" s="6" t="s">
        <v>17</v>
      </c>
      <c r="J459" s="6" t="s">
        <v>18</v>
      </c>
      <c r="K459" s="6" t="str">
        <f t="shared" si="3"/>
        <v>Platinum</v>
      </c>
    </row>
    <row r="460" ht="14.25" customHeight="1">
      <c r="A460" s="6" t="s">
        <v>1430</v>
      </c>
      <c r="B460" s="6" t="s">
        <v>1431</v>
      </c>
      <c r="C460" s="6" t="str">
        <f t="shared" si="1"/>
        <v>Kelly Garrett</v>
      </c>
      <c r="D460" s="6">
        <v>62.0</v>
      </c>
      <c r="E460" s="6" t="s">
        <v>21</v>
      </c>
      <c r="F460" s="6" t="str">
        <f t="shared" si="2"/>
        <v>Male</v>
      </c>
      <c r="G460" s="6" t="s">
        <v>1432</v>
      </c>
      <c r="H460" s="6" t="s">
        <v>58</v>
      </c>
      <c r="I460" s="6" t="s">
        <v>17</v>
      </c>
      <c r="J460" s="6" t="s">
        <v>34</v>
      </c>
      <c r="K460" s="6" t="str">
        <f t="shared" si="3"/>
        <v>Silver</v>
      </c>
    </row>
    <row r="461" ht="14.25" customHeight="1">
      <c r="A461" s="6" t="s">
        <v>1433</v>
      </c>
      <c r="B461" s="6" t="s">
        <v>691</v>
      </c>
      <c r="C461" s="6" t="str">
        <f t="shared" si="1"/>
        <v>John Perez</v>
      </c>
      <c r="D461" s="6">
        <v>29.0</v>
      </c>
      <c r="E461" s="6" t="s">
        <v>21</v>
      </c>
      <c r="F461" s="6" t="str">
        <f t="shared" si="2"/>
        <v>Male</v>
      </c>
      <c r="G461" s="6" t="s">
        <v>1434</v>
      </c>
      <c r="H461" s="6" t="s">
        <v>325</v>
      </c>
      <c r="I461" s="6" t="s">
        <v>17</v>
      </c>
      <c r="J461" s="6" t="s">
        <v>24</v>
      </c>
      <c r="K461" s="6" t="str">
        <f t="shared" si="3"/>
        <v>Gold</v>
      </c>
    </row>
    <row r="462" ht="14.25" customHeight="1">
      <c r="A462" s="6" t="s">
        <v>1435</v>
      </c>
      <c r="B462" s="6" t="s">
        <v>1436</v>
      </c>
      <c r="C462" s="6" t="str">
        <f t="shared" si="1"/>
        <v>Justin Johnson</v>
      </c>
      <c r="D462" s="6">
        <v>35.0</v>
      </c>
      <c r="E462" s="6" t="s">
        <v>14</v>
      </c>
      <c r="F462" s="6" t="str">
        <f t="shared" si="2"/>
        <v>Female</v>
      </c>
      <c r="G462" s="6" t="s">
        <v>1437</v>
      </c>
      <c r="H462" s="6" t="s">
        <v>275</v>
      </c>
      <c r="I462" s="6" t="s">
        <v>17</v>
      </c>
      <c r="J462" s="6" t="s">
        <v>24</v>
      </c>
      <c r="K462" s="6" t="str">
        <f t="shared" si="3"/>
        <v>Gold</v>
      </c>
    </row>
    <row r="463" ht="14.25" customHeight="1">
      <c r="A463" s="6" t="s">
        <v>1438</v>
      </c>
      <c r="B463" s="6" t="s">
        <v>1439</v>
      </c>
      <c r="C463" s="6" t="str">
        <f t="shared" si="1"/>
        <v>Paul Cox</v>
      </c>
      <c r="D463" s="6">
        <v>60.0</v>
      </c>
      <c r="E463" s="6" t="s">
        <v>21</v>
      </c>
      <c r="F463" s="6" t="str">
        <f t="shared" si="2"/>
        <v>Male</v>
      </c>
      <c r="G463" s="6" t="s">
        <v>1440</v>
      </c>
      <c r="H463" s="6" t="s">
        <v>69</v>
      </c>
      <c r="I463" s="6" t="s">
        <v>17</v>
      </c>
      <c r="J463" s="6" t="s">
        <v>34</v>
      </c>
      <c r="K463" s="6" t="str">
        <f t="shared" si="3"/>
        <v>Silver</v>
      </c>
    </row>
    <row r="464" ht="14.25" customHeight="1">
      <c r="A464" s="6" t="s">
        <v>1441</v>
      </c>
      <c r="B464" s="6" t="s">
        <v>1442</v>
      </c>
      <c r="C464" s="6" t="str">
        <f t="shared" si="1"/>
        <v>Beth Martin</v>
      </c>
      <c r="D464" s="6">
        <v>34.0</v>
      </c>
      <c r="E464" s="6" t="s">
        <v>21</v>
      </c>
      <c r="F464" s="6" t="str">
        <f t="shared" si="2"/>
        <v>Male</v>
      </c>
      <c r="G464" s="6" t="s">
        <v>1443</v>
      </c>
      <c r="H464" s="6" t="s">
        <v>50</v>
      </c>
      <c r="I464" s="6" t="s">
        <v>17</v>
      </c>
      <c r="J464" s="6" t="s">
        <v>34</v>
      </c>
      <c r="K464" s="6" t="str">
        <f t="shared" si="3"/>
        <v>Silver</v>
      </c>
    </row>
    <row r="465" ht="14.25" customHeight="1">
      <c r="A465" s="6" t="s">
        <v>1444</v>
      </c>
      <c r="B465" s="6" t="s">
        <v>1445</v>
      </c>
      <c r="C465" s="6" t="str">
        <f t="shared" si="1"/>
        <v>Samantha Lee</v>
      </c>
      <c r="D465" s="6">
        <v>36.0</v>
      </c>
      <c r="E465" s="6" t="s">
        <v>21</v>
      </c>
      <c r="F465" s="6" t="str">
        <f t="shared" si="2"/>
        <v>Male</v>
      </c>
      <c r="G465" s="6" t="s">
        <v>1446</v>
      </c>
      <c r="H465" s="6" t="s">
        <v>175</v>
      </c>
      <c r="I465" s="6" t="s">
        <v>17</v>
      </c>
      <c r="J465" s="6" t="s">
        <v>29</v>
      </c>
      <c r="K465" s="6" t="str">
        <f t="shared" si="3"/>
        <v>Bronze</v>
      </c>
    </row>
    <row r="466" ht="14.25" customHeight="1">
      <c r="A466" s="9" t="s">
        <v>1447</v>
      </c>
      <c r="B466" s="6" t="s">
        <v>1448</v>
      </c>
      <c r="C466" s="6" t="str">
        <f t="shared" si="1"/>
        <v>David Pierce</v>
      </c>
      <c r="D466" s="6">
        <v>45.0</v>
      </c>
      <c r="E466" s="6" t="s">
        <v>21</v>
      </c>
      <c r="F466" s="6" t="str">
        <f t="shared" si="2"/>
        <v>Male</v>
      </c>
      <c r="G466" s="6" t="s">
        <v>1449</v>
      </c>
      <c r="H466" s="6" t="s">
        <v>81</v>
      </c>
      <c r="I466" s="6" t="s">
        <v>17</v>
      </c>
      <c r="J466" s="6" t="s">
        <v>18</v>
      </c>
      <c r="K466" s="6" t="str">
        <f t="shared" si="3"/>
        <v>Platinum</v>
      </c>
    </row>
    <row r="467" ht="14.25" customHeight="1">
      <c r="A467" s="6" t="s">
        <v>1450</v>
      </c>
      <c r="B467" s="6" t="s">
        <v>1451</v>
      </c>
      <c r="C467" s="6" t="str">
        <f t="shared" si="1"/>
        <v>Ronald Ross</v>
      </c>
      <c r="D467" s="6">
        <v>28.0</v>
      </c>
      <c r="E467" s="6" t="s">
        <v>21</v>
      </c>
      <c r="F467" s="6" t="str">
        <f t="shared" si="2"/>
        <v>Male</v>
      </c>
      <c r="G467" s="6" t="s">
        <v>1452</v>
      </c>
      <c r="H467" s="6" t="s">
        <v>16</v>
      </c>
      <c r="I467" s="6" t="s">
        <v>17</v>
      </c>
      <c r="J467" s="6" t="s">
        <v>34</v>
      </c>
      <c r="K467" s="6" t="str">
        <f t="shared" si="3"/>
        <v>Silver</v>
      </c>
    </row>
    <row r="468" ht="14.25" customHeight="1">
      <c r="A468" s="6" t="s">
        <v>1453</v>
      </c>
      <c r="B468" s="6" t="s">
        <v>1454</v>
      </c>
      <c r="C468" s="6" t="str">
        <f t="shared" si="1"/>
        <v>Cynthia Parrish</v>
      </c>
      <c r="D468" s="6">
        <v>18.0</v>
      </c>
      <c r="E468" s="6" t="s">
        <v>14</v>
      </c>
      <c r="F468" s="6" t="str">
        <f t="shared" si="2"/>
        <v>Female</v>
      </c>
      <c r="G468" s="6" t="s">
        <v>1455</v>
      </c>
      <c r="H468" s="6" t="s">
        <v>209</v>
      </c>
      <c r="I468" s="6" t="s">
        <v>17</v>
      </c>
      <c r="J468" s="6" t="s">
        <v>34</v>
      </c>
      <c r="K468" s="6" t="str">
        <f t="shared" si="3"/>
        <v>Silver</v>
      </c>
    </row>
    <row r="469" ht="14.25" customHeight="1">
      <c r="A469" s="6" t="s">
        <v>1456</v>
      </c>
      <c r="B469" s="6" t="s">
        <v>1457</v>
      </c>
      <c r="C469" s="6" t="str">
        <f t="shared" si="1"/>
        <v>Michael Foley</v>
      </c>
      <c r="D469" s="6">
        <v>63.0</v>
      </c>
      <c r="E469" s="6" t="s">
        <v>21</v>
      </c>
      <c r="F469" s="6" t="str">
        <f t="shared" si="2"/>
        <v>Male</v>
      </c>
      <c r="G469" s="6" t="s">
        <v>1458</v>
      </c>
      <c r="H469" s="6" t="s">
        <v>179</v>
      </c>
      <c r="I469" s="6" t="s">
        <v>17</v>
      </c>
      <c r="J469" s="6" t="s">
        <v>24</v>
      </c>
      <c r="K469" s="6" t="str">
        <f t="shared" si="3"/>
        <v>Gold</v>
      </c>
    </row>
    <row r="470" ht="14.25" customHeight="1">
      <c r="A470" s="6" t="s">
        <v>1459</v>
      </c>
      <c r="B470" s="6" t="s">
        <v>1460</v>
      </c>
      <c r="C470" s="6" t="str">
        <f t="shared" si="1"/>
        <v>Gregory Curtis</v>
      </c>
      <c r="D470" s="6">
        <v>45.0</v>
      </c>
      <c r="E470" s="6" t="s">
        <v>14</v>
      </c>
      <c r="F470" s="6" t="str">
        <f t="shared" si="2"/>
        <v>Female</v>
      </c>
      <c r="G470" s="6" t="s">
        <v>1461</v>
      </c>
      <c r="H470" s="6" t="s">
        <v>179</v>
      </c>
      <c r="I470" s="6" t="s">
        <v>17</v>
      </c>
      <c r="J470" s="6" t="s">
        <v>29</v>
      </c>
      <c r="K470" s="6" t="str">
        <f t="shared" si="3"/>
        <v>Bronze</v>
      </c>
    </row>
    <row r="471" ht="14.25" customHeight="1">
      <c r="A471" s="6" t="s">
        <v>1462</v>
      </c>
      <c r="B471" s="6" t="s">
        <v>1463</v>
      </c>
      <c r="C471" s="6" t="str">
        <f t="shared" si="1"/>
        <v>James Foster</v>
      </c>
      <c r="D471" s="6">
        <v>19.0</v>
      </c>
      <c r="E471" s="6" t="s">
        <v>14</v>
      </c>
      <c r="F471" s="6" t="str">
        <f t="shared" si="2"/>
        <v>Female</v>
      </c>
      <c r="G471" s="6" t="s">
        <v>1464</v>
      </c>
      <c r="H471" s="6" t="s">
        <v>125</v>
      </c>
      <c r="I471" s="6" t="s">
        <v>17</v>
      </c>
      <c r="J471" s="6" t="s">
        <v>24</v>
      </c>
      <c r="K471" s="6" t="str">
        <f t="shared" si="3"/>
        <v>Gold</v>
      </c>
    </row>
    <row r="472" ht="14.25" customHeight="1">
      <c r="A472" s="6" t="s">
        <v>1465</v>
      </c>
      <c r="B472" s="6" t="s">
        <v>1466</v>
      </c>
      <c r="C472" s="6" t="str">
        <f t="shared" si="1"/>
        <v>Manuel Fisher</v>
      </c>
      <c r="D472" s="6">
        <v>21.0</v>
      </c>
      <c r="E472" s="6" t="s">
        <v>21</v>
      </c>
      <c r="F472" s="6" t="str">
        <f t="shared" si="2"/>
        <v>Male</v>
      </c>
      <c r="G472" s="6" t="s">
        <v>1467</v>
      </c>
      <c r="H472" s="6" t="s">
        <v>54</v>
      </c>
      <c r="I472" s="6" t="s">
        <v>17</v>
      </c>
      <c r="J472" s="6" t="s">
        <v>24</v>
      </c>
      <c r="K472" s="6" t="str">
        <f t="shared" si="3"/>
        <v>Gold</v>
      </c>
    </row>
    <row r="473" ht="14.25" customHeight="1">
      <c r="A473" s="6" t="s">
        <v>1468</v>
      </c>
      <c r="B473" s="6" t="s">
        <v>1469</v>
      </c>
      <c r="C473" s="6" t="str">
        <f t="shared" si="1"/>
        <v>Debra Mccullough</v>
      </c>
      <c r="D473" s="6">
        <v>42.0</v>
      </c>
      <c r="E473" s="6" t="s">
        <v>14</v>
      </c>
      <c r="F473" s="6" t="str">
        <f t="shared" si="2"/>
        <v>Female</v>
      </c>
      <c r="G473" s="6" t="s">
        <v>1470</v>
      </c>
      <c r="H473" s="6" t="s">
        <v>73</v>
      </c>
      <c r="I473" s="6" t="s">
        <v>17</v>
      </c>
      <c r="J473" s="6" t="s">
        <v>18</v>
      </c>
      <c r="K473" s="6" t="str">
        <f t="shared" si="3"/>
        <v>Platinum</v>
      </c>
    </row>
    <row r="474" ht="14.25" customHeight="1">
      <c r="A474" s="6" t="s">
        <v>1471</v>
      </c>
      <c r="B474" s="6" t="s">
        <v>1472</v>
      </c>
      <c r="C474" s="6" t="str">
        <f t="shared" si="1"/>
        <v>Philip Mendoza</v>
      </c>
      <c r="D474" s="6">
        <v>42.0</v>
      </c>
      <c r="E474" s="6" t="s">
        <v>14</v>
      </c>
      <c r="F474" s="6" t="str">
        <f t="shared" si="2"/>
        <v>Female</v>
      </c>
      <c r="G474" s="6" t="s">
        <v>1473</v>
      </c>
      <c r="H474" s="6" t="s">
        <v>729</v>
      </c>
      <c r="I474" s="6" t="s">
        <v>17</v>
      </c>
      <c r="J474" s="6" t="s">
        <v>34</v>
      </c>
      <c r="K474" s="6" t="str">
        <f t="shared" si="3"/>
        <v>Silver</v>
      </c>
    </row>
    <row r="475" ht="14.25" customHeight="1">
      <c r="A475" s="6" t="s">
        <v>1474</v>
      </c>
      <c r="B475" s="6" t="s">
        <v>1475</v>
      </c>
      <c r="C475" s="6" t="str">
        <f t="shared" si="1"/>
        <v>Laura Mathews</v>
      </c>
      <c r="D475" s="6">
        <v>53.0</v>
      </c>
      <c r="E475" s="6" t="s">
        <v>14</v>
      </c>
      <c r="F475" s="6" t="str">
        <f t="shared" si="2"/>
        <v>Female</v>
      </c>
      <c r="G475" s="6" t="s">
        <v>1476</v>
      </c>
      <c r="H475" s="6" t="s">
        <v>332</v>
      </c>
      <c r="I475" s="6" t="s">
        <v>17</v>
      </c>
      <c r="J475" s="6" t="s">
        <v>29</v>
      </c>
      <c r="K475" s="6" t="str">
        <f t="shared" si="3"/>
        <v>Bronze</v>
      </c>
    </row>
    <row r="476" ht="14.25" customHeight="1">
      <c r="A476" s="6" t="s">
        <v>1477</v>
      </c>
      <c r="B476" s="6" t="s">
        <v>1478</v>
      </c>
      <c r="C476" s="6" t="str">
        <f t="shared" si="1"/>
        <v>Joshua Howard</v>
      </c>
      <c r="D476" s="6">
        <v>32.0</v>
      </c>
      <c r="E476" s="6" t="s">
        <v>21</v>
      </c>
      <c r="F476" s="6" t="str">
        <f t="shared" si="2"/>
        <v>Male</v>
      </c>
      <c r="G476" s="6" t="s">
        <v>1479</v>
      </c>
      <c r="H476" s="6" t="s">
        <v>46</v>
      </c>
      <c r="I476" s="6" t="s">
        <v>17</v>
      </c>
      <c r="J476" s="6" t="s">
        <v>18</v>
      </c>
      <c r="K476" s="6" t="str">
        <f t="shared" si="3"/>
        <v>Platinum</v>
      </c>
    </row>
    <row r="477" ht="14.25" customHeight="1">
      <c r="A477" s="6" t="s">
        <v>1480</v>
      </c>
      <c r="B477" s="6" t="s">
        <v>1481</v>
      </c>
      <c r="C477" s="6" t="str">
        <f t="shared" si="1"/>
        <v>Barbara Berry</v>
      </c>
      <c r="D477" s="6">
        <v>18.0</v>
      </c>
      <c r="E477" s="6" t="s">
        <v>21</v>
      </c>
      <c r="F477" s="6" t="str">
        <f t="shared" si="2"/>
        <v>Male</v>
      </c>
      <c r="G477" s="6" t="s">
        <v>403</v>
      </c>
      <c r="H477" s="6" t="s">
        <v>179</v>
      </c>
      <c r="I477" s="6" t="s">
        <v>17</v>
      </c>
      <c r="J477" s="6" t="s">
        <v>18</v>
      </c>
      <c r="K477" s="6" t="str">
        <f t="shared" si="3"/>
        <v>Platinum</v>
      </c>
    </row>
    <row r="478" ht="14.25" customHeight="1">
      <c r="A478" s="6" t="s">
        <v>1482</v>
      </c>
      <c r="B478" s="6" t="s">
        <v>1483</v>
      </c>
      <c r="C478" s="6" t="str">
        <f t="shared" si="1"/>
        <v>Elizabeth Foster</v>
      </c>
      <c r="D478" s="6">
        <v>33.0</v>
      </c>
      <c r="E478" s="6" t="s">
        <v>21</v>
      </c>
      <c r="F478" s="6" t="str">
        <f t="shared" si="2"/>
        <v>Male</v>
      </c>
      <c r="G478" s="6" t="s">
        <v>1484</v>
      </c>
      <c r="H478" s="6" t="s">
        <v>103</v>
      </c>
      <c r="I478" s="6" t="s">
        <v>17</v>
      </c>
      <c r="J478" s="6" t="s">
        <v>24</v>
      </c>
      <c r="K478" s="6" t="str">
        <f t="shared" si="3"/>
        <v>Gold</v>
      </c>
    </row>
    <row r="479" ht="14.25" customHeight="1">
      <c r="A479" s="6" t="s">
        <v>1485</v>
      </c>
      <c r="B479" s="6" t="s">
        <v>1486</v>
      </c>
      <c r="C479" s="6" t="str">
        <f t="shared" si="1"/>
        <v>Andrea Harris</v>
      </c>
      <c r="D479" s="6">
        <v>41.0</v>
      </c>
      <c r="E479" s="6" t="s">
        <v>21</v>
      </c>
      <c r="F479" s="6" t="str">
        <f t="shared" si="2"/>
        <v>Male</v>
      </c>
      <c r="G479" s="6" t="s">
        <v>1487</v>
      </c>
      <c r="H479" s="6" t="s">
        <v>69</v>
      </c>
      <c r="I479" s="6" t="s">
        <v>17</v>
      </c>
      <c r="J479" s="6" t="s">
        <v>18</v>
      </c>
      <c r="K479" s="6" t="str">
        <f t="shared" si="3"/>
        <v>Platinum</v>
      </c>
    </row>
    <row r="480" ht="14.25" customHeight="1">
      <c r="A480" s="6" t="s">
        <v>1488</v>
      </c>
      <c r="B480" s="6" t="s">
        <v>1489</v>
      </c>
      <c r="C480" s="6" t="str">
        <f t="shared" si="1"/>
        <v>Earl Smith Dds</v>
      </c>
      <c r="D480" s="6">
        <v>59.0</v>
      </c>
      <c r="E480" s="6" t="s">
        <v>14</v>
      </c>
      <c r="F480" s="6" t="str">
        <f t="shared" si="2"/>
        <v>Female</v>
      </c>
      <c r="G480" s="6" t="s">
        <v>1490</v>
      </c>
      <c r="H480" s="6" t="s">
        <v>46</v>
      </c>
      <c r="I480" s="6" t="s">
        <v>17</v>
      </c>
      <c r="J480" s="6" t="s">
        <v>24</v>
      </c>
      <c r="K480" s="6" t="str">
        <f t="shared" si="3"/>
        <v>Gold</v>
      </c>
    </row>
    <row r="481" ht="14.25" customHeight="1">
      <c r="A481" s="6" t="s">
        <v>1491</v>
      </c>
      <c r="B481" s="6" t="s">
        <v>1492</v>
      </c>
      <c r="C481" s="6" t="str">
        <f t="shared" si="1"/>
        <v>Dylan Gutierrez</v>
      </c>
      <c r="D481" s="6">
        <v>40.0</v>
      </c>
      <c r="E481" s="6" t="s">
        <v>14</v>
      </c>
      <c r="F481" s="6" t="str">
        <f t="shared" si="2"/>
        <v>Female</v>
      </c>
      <c r="G481" s="6" t="s">
        <v>1493</v>
      </c>
      <c r="H481" s="6" t="s">
        <v>50</v>
      </c>
      <c r="I481" s="6" t="s">
        <v>17</v>
      </c>
      <c r="J481" s="6" t="s">
        <v>29</v>
      </c>
      <c r="K481" s="6" t="str">
        <f t="shared" si="3"/>
        <v>Bronze</v>
      </c>
    </row>
    <row r="482" ht="14.25" customHeight="1">
      <c r="A482" s="6" t="s">
        <v>1494</v>
      </c>
      <c r="B482" s="6" t="s">
        <v>1495</v>
      </c>
      <c r="C482" s="6" t="str">
        <f t="shared" si="1"/>
        <v>Jordan Medina</v>
      </c>
      <c r="D482" s="6">
        <v>33.0</v>
      </c>
      <c r="E482" s="6" t="s">
        <v>14</v>
      </c>
      <c r="F482" s="6" t="str">
        <f t="shared" si="2"/>
        <v>Female</v>
      </c>
      <c r="G482" s="6" t="s">
        <v>1496</v>
      </c>
      <c r="H482" s="6" t="s">
        <v>258</v>
      </c>
      <c r="I482" s="6" t="s">
        <v>17</v>
      </c>
      <c r="J482" s="6" t="s">
        <v>29</v>
      </c>
      <c r="K482" s="6" t="str">
        <f t="shared" si="3"/>
        <v>Bronze</v>
      </c>
    </row>
    <row r="483" ht="14.25" customHeight="1">
      <c r="A483" s="6" t="s">
        <v>1497</v>
      </c>
      <c r="B483" s="6" t="s">
        <v>1498</v>
      </c>
      <c r="C483" s="6" t="str">
        <f t="shared" si="1"/>
        <v>Bryan Tran</v>
      </c>
      <c r="D483" s="6">
        <v>21.0</v>
      </c>
      <c r="E483" s="6" t="s">
        <v>14</v>
      </c>
      <c r="F483" s="6" t="str">
        <f t="shared" si="2"/>
        <v>Female</v>
      </c>
      <c r="G483" s="6" t="s">
        <v>1499</v>
      </c>
      <c r="H483" s="6" t="s">
        <v>88</v>
      </c>
      <c r="I483" s="6" t="s">
        <v>17</v>
      </c>
      <c r="J483" s="6" t="s">
        <v>24</v>
      </c>
      <c r="K483" s="6" t="str">
        <f t="shared" si="3"/>
        <v>Gold</v>
      </c>
    </row>
    <row r="484" ht="14.25" customHeight="1">
      <c r="A484" s="6" t="s">
        <v>1500</v>
      </c>
      <c r="B484" s="6" t="s">
        <v>1501</v>
      </c>
      <c r="C484" s="6" t="str">
        <f t="shared" si="1"/>
        <v>Sheri Joyce</v>
      </c>
      <c r="D484" s="6">
        <v>26.0</v>
      </c>
      <c r="E484" s="6" t="s">
        <v>14</v>
      </c>
      <c r="F484" s="6" t="str">
        <f t="shared" si="2"/>
        <v>Female</v>
      </c>
      <c r="G484" s="6" t="s">
        <v>1502</v>
      </c>
      <c r="H484" s="6" t="s">
        <v>600</v>
      </c>
      <c r="I484" s="6" t="s">
        <v>17</v>
      </c>
      <c r="J484" s="6" t="s">
        <v>18</v>
      </c>
      <c r="K484" s="6" t="str">
        <f t="shared" si="3"/>
        <v>Platinum</v>
      </c>
    </row>
    <row r="485" ht="14.25" customHeight="1">
      <c r="A485" s="6" t="s">
        <v>1503</v>
      </c>
      <c r="B485" s="6" t="s">
        <v>1289</v>
      </c>
      <c r="C485" s="6" t="str">
        <f t="shared" si="1"/>
        <v>Sarah Smith</v>
      </c>
      <c r="D485" s="6">
        <v>48.0</v>
      </c>
      <c r="E485" s="6" t="s">
        <v>14</v>
      </c>
      <c r="F485" s="6" t="str">
        <f t="shared" si="2"/>
        <v>Female</v>
      </c>
      <c r="G485" s="6" t="s">
        <v>1504</v>
      </c>
      <c r="H485" s="6" t="s">
        <v>192</v>
      </c>
      <c r="I485" s="6" t="s">
        <v>17</v>
      </c>
      <c r="J485" s="6" t="s">
        <v>24</v>
      </c>
      <c r="K485" s="6" t="str">
        <f t="shared" si="3"/>
        <v>Gold</v>
      </c>
    </row>
    <row r="486" ht="14.25" customHeight="1">
      <c r="A486" s="6" t="s">
        <v>1505</v>
      </c>
      <c r="B486" s="6" t="s">
        <v>1506</v>
      </c>
      <c r="C486" s="6" t="str">
        <f t="shared" si="1"/>
        <v>Jessica Castro</v>
      </c>
      <c r="D486" s="6">
        <v>32.0</v>
      </c>
      <c r="E486" s="6" t="s">
        <v>14</v>
      </c>
      <c r="F486" s="6" t="str">
        <f t="shared" si="2"/>
        <v>Female</v>
      </c>
      <c r="G486" s="6" t="s">
        <v>1507</v>
      </c>
      <c r="H486" s="6" t="s">
        <v>729</v>
      </c>
      <c r="I486" s="6" t="s">
        <v>17</v>
      </c>
      <c r="J486" s="6" t="s">
        <v>29</v>
      </c>
      <c r="K486" s="6" t="str">
        <f t="shared" si="3"/>
        <v>Bronze</v>
      </c>
    </row>
    <row r="487" ht="14.25" customHeight="1">
      <c r="A487" s="6" t="s">
        <v>1508</v>
      </c>
      <c r="B487" s="6" t="s">
        <v>1509</v>
      </c>
      <c r="C487" s="6" t="str">
        <f t="shared" si="1"/>
        <v>Sara Ingram</v>
      </c>
      <c r="D487" s="6">
        <v>46.0</v>
      </c>
      <c r="E487" s="6" t="s">
        <v>21</v>
      </c>
      <c r="F487" s="6" t="str">
        <f t="shared" si="2"/>
        <v>Male</v>
      </c>
      <c r="G487" s="6" t="s">
        <v>1510</v>
      </c>
      <c r="H487" s="6" t="s">
        <v>295</v>
      </c>
      <c r="I487" s="6" t="s">
        <v>17</v>
      </c>
      <c r="J487" s="6" t="s">
        <v>29</v>
      </c>
      <c r="K487" s="6" t="str">
        <f t="shared" si="3"/>
        <v>Bronze</v>
      </c>
    </row>
    <row r="488" ht="14.25" customHeight="1">
      <c r="A488" s="9" t="s">
        <v>1511</v>
      </c>
      <c r="B488" s="6" t="s">
        <v>1512</v>
      </c>
      <c r="C488" s="6" t="str">
        <f t="shared" si="1"/>
        <v>Eric Lee</v>
      </c>
      <c r="D488" s="6">
        <v>22.0</v>
      </c>
      <c r="E488" s="6" t="s">
        <v>21</v>
      </c>
      <c r="F488" s="6" t="str">
        <f t="shared" si="2"/>
        <v>Male</v>
      </c>
      <c r="G488" s="6" t="s">
        <v>1513</v>
      </c>
      <c r="H488" s="6" t="s">
        <v>179</v>
      </c>
      <c r="I488" s="6" t="s">
        <v>17</v>
      </c>
      <c r="J488" s="6" t="s">
        <v>29</v>
      </c>
      <c r="K488" s="6" t="str">
        <f t="shared" si="3"/>
        <v>Bronze</v>
      </c>
    </row>
    <row r="489" ht="14.25" customHeight="1">
      <c r="A489" s="6" t="s">
        <v>1514</v>
      </c>
      <c r="B489" s="6" t="s">
        <v>1515</v>
      </c>
      <c r="C489" s="6" t="str">
        <f t="shared" si="1"/>
        <v>Amanda Medina</v>
      </c>
      <c r="D489" s="6">
        <v>36.0</v>
      </c>
      <c r="E489" s="6" t="s">
        <v>21</v>
      </c>
      <c r="F489" s="6" t="str">
        <f t="shared" si="2"/>
        <v>Male</v>
      </c>
      <c r="G489" s="6" t="s">
        <v>1516</v>
      </c>
      <c r="H489" s="6" t="s">
        <v>125</v>
      </c>
      <c r="I489" s="6" t="s">
        <v>17</v>
      </c>
      <c r="J489" s="6" t="s">
        <v>18</v>
      </c>
      <c r="K489" s="6" t="str">
        <f t="shared" si="3"/>
        <v>Platinum</v>
      </c>
    </row>
    <row r="490" ht="14.25" customHeight="1">
      <c r="A490" s="6" t="s">
        <v>1517</v>
      </c>
      <c r="B490" s="6" t="s">
        <v>1518</v>
      </c>
      <c r="C490" s="6" t="str">
        <f t="shared" si="1"/>
        <v>Zachary Andrade</v>
      </c>
      <c r="D490" s="6">
        <v>23.0</v>
      </c>
      <c r="E490" s="6" t="s">
        <v>21</v>
      </c>
      <c r="F490" s="6" t="str">
        <f t="shared" si="2"/>
        <v>Male</v>
      </c>
      <c r="G490" s="6" t="s">
        <v>1519</v>
      </c>
      <c r="H490" s="6" t="s">
        <v>38</v>
      </c>
      <c r="I490" s="6" t="s">
        <v>17</v>
      </c>
      <c r="J490" s="6" t="s">
        <v>18</v>
      </c>
      <c r="K490" s="6" t="str">
        <f t="shared" si="3"/>
        <v>Platinum</v>
      </c>
    </row>
    <row r="491" ht="14.25" customHeight="1">
      <c r="A491" s="6" t="s">
        <v>1520</v>
      </c>
      <c r="B491" s="6" t="s">
        <v>1521</v>
      </c>
      <c r="C491" s="6" t="str">
        <f t="shared" si="1"/>
        <v>Melinda Thomas</v>
      </c>
      <c r="D491" s="6">
        <v>42.0</v>
      </c>
      <c r="E491" s="6" t="s">
        <v>21</v>
      </c>
      <c r="F491" s="6" t="str">
        <f t="shared" si="2"/>
        <v>Male</v>
      </c>
      <c r="G491" s="6" t="s">
        <v>1522</v>
      </c>
      <c r="H491" s="6" t="s">
        <v>262</v>
      </c>
      <c r="I491" s="6" t="s">
        <v>17</v>
      </c>
      <c r="J491" s="6" t="s">
        <v>34</v>
      </c>
      <c r="K491" s="6" t="str">
        <f t="shared" si="3"/>
        <v>Silver</v>
      </c>
    </row>
    <row r="492" ht="14.25" customHeight="1">
      <c r="A492" s="6" t="s">
        <v>1523</v>
      </c>
      <c r="B492" s="6" t="s">
        <v>1524</v>
      </c>
      <c r="C492" s="6" t="str">
        <f t="shared" si="1"/>
        <v>Scott Harris</v>
      </c>
      <c r="D492" s="6">
        <v>23.0</v>
      </c>
      <c r="E492" s="6" t="s">
        <v>14</v>
      </c>
      <c r="F492" s="6" t="str">
        <f t="shared" si="2"/>
        <v>Female</v>
      </c>
      <c r="G492" s="6" t="s">
        <v>1525</v>
      </c>
      <c r="H492" s="6" t="s">
        <v>148</v>
      </c>
      <c r="I492" s="6" t="s">
        <v>17</v>
      </c>
      <c r="J492" s="6" t="s">
        <v>18</v>
      </c>
      <c r="K492" s="6" t="str">
        <f t="shared" si="3"/>
        <v>Platinum</v>
      </c>
    </row>
    <row r="493" ht="14.25" customHeight="1">
      <c r="A493" s="9" t="s">
        <v>1526</v>
      </c>
      <c r="B493" s="6" t="s">
        <v>1527</v>
      </c>
      <c r="C493" s="6" t="str">
        <f t="shared" si="1"/>
        <v>Kaitlin Brown</v>
      </c>
      <c r="D493" s="6">
        <v>52.0</v>
      </c>
      <c r="E493" s="6" t="s">
        <v>21</v>
      </c>
      <c r="F493" s="6" t="str">
        <f t="shared" si="2"/>
        <v>Male</v>
      </c>
      <c r="G493" s="6" t="s">
        <v>1528</v>
      </c>
      <c r="H493" s="6" t="s">
        <v>46</v>
      </c>
      <c r="I493" s="6" t="s">
        <v>17</v>
      </c>
      <c r="J493" s="6" t="s">
        <v>24</v>
      </c>
      <c r="K493" s="6" t="str">
        <f t="shared" si="3"/>
        <v>Gold</v>
      </c>
    </row>
    <row r="494" ht="14.25" customHeight="1">
      <c r="A494" s="6" t="s">
        <v>1529</v>
      </c>
      <c r="B494" s="6" t="s">
        <v>1530</v>
      </c>
      <c r="C494" s="6" t="str">
        <f t="shared" si="1"/>
        <v>Darrell Miller</v>
      </c>
      <c r="D494" s="6">
        <v>59.0</v>
      </c>
      <c r="E494" s="6" t="s">
        <v>21</v>
      </c>
      <c r="F494" s="6" t="str">
        <f t="shared" si="2"/>
        <v>Male</v>
      </c>
      <c r="G494" s="6" t="s">
        <v>1531</v>
      </c>
      <c r="H494" s="6" t="s">
        <v>258</v>
      </c>
      <c r="I494" s="6" t="s">
        <v>17</v>
      </c>
      <c r="J494" s="6" t="s">
        <v>18</v>
      </c>
      <c r="K494" s="6" t="str">
        <f t="shared" si="3"/>
        <v>Platinum</v>
      </c>
    </row>
    <row r="495" ht="14.25" customHeight="1">
      <c r="A495" s="6" t="s">
        <v>1532</v>
      </c>
      <c r="B495" s="6" t="s">
        <v>1533</v>
      </c>
      <c r="C495" s="6" t="str">
        <f t="shared" si="1"/>
        <v>Amanda Powell</v>
      </c>
      <c r="D495" s="6">
        <v>28.0</v>
      </c>
      <c r="E495" s="6" t="s">
        <v>14</v>
      </c>
      <c r="F495" s="6" t="str">
        <f t="shared" si="2"/>
        <v>Female</v>
      </c>
      <c r="G495" s="6" t="s">
        <v>91</v>
      </c>
      <c r="H495" s="6" t="s">
        <v>28</v>
      </c>
      <c r="I495" s="6" t="s">
        <v>17</v>
      </c>
      <c r="J495" s="6" t="s">
        <v>34</v>
      </c>
      <c r="K495" s="6" t="str">
        <f t="shared" si="3"/>
        <v>Silver</v>
      </c>
    </row>
    <row r="496" ht="14.25" customHeight="1">
      <c r="A496" s="6" t="s">
        <v>1534</v>
      </c>
      <c r="B496" s="6" t="s">
        <v>1535</v>
      </c>
      <c r="C496" s="6" t="str">
        <f t="shared" si="1"/>
        <v>Justin Lopez</v>
      </c>
      <c r="D496" s="6">
        <v>21.0</v>
      </c>
      <c r="E496" s="6" t="s">
        <v>14</v>
      </c>
      <c r="F496" s="6" t="str">
        <f t="shared" si="2"/>
        <v>Female</v>
      </c>
      <c r="G496" s="6" t="s">
        <v>1536</v>
      </c>
      <c r="H496" s="6" t="s">
        <v>367</v>
      </c>
      <c r="I496" s="6" t="s">
        <v>17</v>
      </c>
      <c r="J496" s="6" t="s">
        <v>24</v>
      </c>
      <c r="K496" s="6" t="str">
        <f t="shared" si="3"/>
        <v>Gold</v>
      </c>
    </row>
    <row r="497" ht="14.25" customHeight="1">
      <c r="A497" s="6" t="s">
        <v>1537</v>
      </c>
      <c r="B497" s="6" t="s">
        <v>1538</v>
      </c>
      <c r="C497" s="6" t="str">
        <f t="shared" si="1"/>
        <v>James Berger</v>
      </c>
      <c r="D497" s="6">
        <v>23.0</v>
      </c>
      <c r="E497" s="6" t="s">
        <v>21</v>
      </c>
      <c r="F497" s="6" t="str">
        <f t="shared" si="2"/>
        <v>Male</v>
      </c>
      <c r="G497" s="6" t="s">
        <v>1539</v>
      </c>
      <c r="H497" s="6" t="s">
        <v>99</v>
      </c>
      <c r="I497" s="6" t="s">
        <v>17</v>
      </c>
      <c r="J497" s="6" t="s">
        <v>29</v>
      </c>
      <c r="K497" s="6" t="str">
        <f t="shared" si="3"/>
        <v>Bronze</v>
      </c>
    </row>
    <row r="498" ht="14.25" customHeight="1">
      <c r="A498" s="6" t="s">
        <v>1540</v>
      </c>
      <c r="B498" s="6" t="s">
        <v>1541</v>
      </c>
      <c r="C498" s="6" t="str">
        <f t="shared" si="1"/>
        <v>Christopher Ford</v>
      </c>
      <c r="D498" s="6">
        <v>56.0</v>
      </c>
      <c r="E498" s="6" t="s">
        <v>14</v>
      </c>
      <c r="F498" s="6" t="str">
        <f t="shared" si="2"/>
        <v>Female</v>
      </c>
      <c r="G498" s="6" t="s">
        <v>1542</v>
      </c>
      <c r="H498" s="6" t="s">
        <v>33</v>
      </c>
      <c r="I498" s="6" t="s">
        <v>17</v>
      </c>
      <c r="J498" s="6" t="s">
        <v>29</v>
      </c>
      <c r="K498" s="6" t="str">
        <f t="shared" si="3"/>
        <v>Bronze</v>
      </c>
    </row>
    <row r="499" ht="14.25" customHeight="1">
      <c r="A499" s="6" t="s">
        <v>1543</v>
      </c>
      <c r="B499" s="6" t="s">
        <v>1544</v>
      </c>
      <c r="C499" s="6" t="str">
        <f t="shared" si="1"/>
        <v>Sarah Marsh</v>
      </c>
      <c r="D499" s="6">
        <v>47.0</v>
      </c>
      <c r="E499" s="6" t="s">
        <v>21</v>
      </c>
      <c r="F499" s="6" t="str">
        <f t="shared" si="2"/>
        <v>Male</v>
      </c>
      <c r="G499" s="6" t="s">
        <v>1545</v>
      </c>
      <c r="H499" s="6" t="s">
        <v>65</v>
      </c>
      <c r="I499" s="6" t="s">
        <v>17</v>
      </c>
      <c r="J499" s="6" t="s">
        <v>24</v>
      </c>
      <c r="K499" s="6" t="str">
        <f t="shared" si="3"/>
        <v>Gold</v>
      </c>
    </row>
    <row r="500" ht="14.25" customHeight="1">
      <c r="A500" s="6" t="s">
        <v>1546</v>
      </c>
      <c r="B500" s="6" t="s">
        <v>1547</v>
      </c>
      <c r="C500" s="6" t="str">
        <f t="shared" si="1"/>
        <v>Traci Gonzalez</v>
      </c>
      <c r="D500" s="6">
        <v>35.0</v>
      </c>
      <c r="E500" s="6" t="s">
        <v>14</v>
      </c>
      <c r="F500" s="6" t="str">
        <f t="shared" si="2"/>
        <v>Female</v>
      </c>
      <c r="G500" s="6" t="s">
        <v>1548</v>
      </c>
      <c r="H500" s="6" t="s">
        <v>241</v>
      </c>
      <c r="I500" s="6" t="s">
        <v>17</v>
      </c>
      <c r="J500" s="6" t="s">
        <v>34</v>
      </c>
      <c r="K500" s="6" t="str">
        <f t="shared" si="3"/>
        <v>Silver</v>
      </c>
    </row>
    <row r="501" ht="14.25" customHeight="1">
      <c r="A501" s="9" t="s">
        <v>1549</v>
      </c>
      <c r="B501" s="6" t="s">
        <v>1550</v>
      </c>
      <c r="C501" s="6" t="str">
        <f t="shared" si="1"/>
        <v>Philip Pennington</v>
      </c>
      <c r="D501" s="6">
        <v>27.0</v>
      </c>
      <c r="E501" s="6" t="s">
        <v>21</v>
      </c>
      <c r="F501" s="6" t="str">
        <f t="shared" si="2"/>
        <v>Male</v>
      </c>
      <c r="G501" s="6" t="s">
        <v>1551</v>
      </c>
      <c r="H501" s="6" t="s">
        <v>42</v>
      </c>
      <c r="I501" s="6" t="s">
        <v>17</v>
      </c>
      <c r="J501" s="6" t="s">
        <v>18</v>
      </c>
      <c r="K501" s="6" t="str">
        <f t="shared" si="3"/>
        <v>Platinum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1:N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14"/>
    <col customWidth="1" min="2" max="2" width="36.43"/>
    <col customWidth="1" min="3" max="3" width="16.86"/>
    <col customWidth="1" min="4" max="4" width="22.0"/>
    <col customWidth="1" min="5" max="5" width="30.29"/>
    <col customWidth="1" min="6" max="6" width="29.71"/>
    <col customWidth="1" min="7" max="7" width="13.71"/>
    <col customWidth="1" min="8" max="8" width="11.0"/>
    <col customWidth="1" min="9" max="27" width="8.71"/>
  </cols>
  <sheetData>
    <row r="1" ht="14.25" customHeight="1">
      <c r="A1" s="10" t="s">
        <v>1552</v>
      </c>
      <c r="B1" s="10" t="s">
        <v>1553</v>
      </c>
      <c r="C1" s="10" t="s">
        <v>1554</v>
      </c>
      <c r="D1" s="10" t="s">
        <v>1555</v>
      </c>
      <c r="E1" s="11" t="s">
        <v>1556</v>
      </c>
      <c r="F1" s="10" t="s">
        <v>1557</v>
      </c>
      <c r="G1" s="12" t="s">
        <v>1558</v>
      </c>
      <c r="H1" s="10" t="s">
        <v>1559</v>
      </c>
    </row>
    <row r="2" ht="14.25" customHeight="1">
      <c r="A2" s="6" t="s">
        <v>1560</v>
      </c>
      <c r="B2" s="6" t="s">
        <v>1561</v>
      </c>
      <c r="C2" s="6" t="s">
        <v>1562</v>
      </c>
      <c r="D2" s="6" t="s">
        <v>1563</v>
      </c>
      <c r="E2" s="6" t="str">
        <f t="shared" ref="E2:E101" si="1">C2&amp;" "&amp;"-"&amp;" "&amp;D2</f>
        <v>Electronics - Computer</v>
      </c>
      <c r="F2" s="6" t="s">
        <v>1564</v>
      </c>
      <c r="G2" s="13">
        <v>112.42</v>
      </c>
      <c r="H2" s="6">
        <v>416.0</v>
      </c>
    </row>
    <row r="3" ht="14.25" customHeight="1">
      <c r="A3" s="6" t="s">
        <v>1565</v>
      </c>
      <c r="B3" s="6" t="s">
        <v>1566</v>
      </c>
      <c r="C3" s="6" t="s">
        <v>1567</v>
      </c>
      <c r="D3" s="6" t="s">
        <v>1568</v>
      </c>
      <c r="E3" s="6" t="str">
        <f t="shared" si="1"/>
        <v>Clothing - Tops</v>
      </c>
      <c r="F3" s="6" t="s">
        <v>1569</v>
      </c>
      <c r="G3" s="13">
        <v>342.56</v>
      </c>
      <c r="H3" s="6">
        <v>181.0</v>
      </c>
    </row>
    <row r="4" ht="14.25" customHeight="1">
      <c r="A4" s="6" t="s">
        <v>1570</v>
      </c>
      <c r="B4" s="6" t="s">
        <v>1571</v>
      </c>
      <c r="C4" s="6" t="s">
        <v>1567</v>
      </c>
      <c r="D4" s="6" t="s">
        <v>1572</v>
      </c>
      <c r="E4" s="6" t="str">
        <f t="shared" si="1"/>
        <v>Clothing - Outerwear</v>
      </c>
      <c r="F4" s="6" t="s">
        <v>1573</v>
      </c>
      <c r="G4" s="13">
        <f>AVERAGEIF(E2:E101,E4,G2:G101)</f>
        <v>296.8266667</v>
      </c>
      <c r="H4" s="6">
        <v>352.0</v>
      </c>
    </row>
    <row r="5" ht="14.25" customHeight="1">
      <c r="A5" s="14" t="s">
        <v>1574</v>
      </c>
      <c r="B5" s="6" t="s">
        <v>1575</v>
      </c>
      <c r="C5" s="6" t="s">
        <v>1567</v>
      </c>
      <c r="D5" s="6" t="s">
        <v>1572</v>
      </c>
      <c r="E5" s="6" t="str">
        <f t="shared" si="1"/>
        <v>Clothing - Outerwear</v>
      </c>
      <c r="F5" s="6" t="s">
        <v>1576</v>
      </c>
      <c r="G5" s="13">
        <v>364.67</v>
      </c>
      <c r="H5" s="6">
        <v>452.0</v>
      </c>
    </row>
    <row r="6" ht="14.25" customHeight="1">
      <c r="A6" s="6" t="s">
        <v>1577</v>
      </c>
      <c r="B6" s="6" t="s">
        <v>1578</v>
      </c>
      <c r="C6" s="6" t="s">
        <v>1567</v>
      </c>
      <c r="D6" s="6" t="s">
        <v>1579</v>
      </c>
      <c r="E6" s="6" t="str">
        <f t="shared" si="1"/>
        <v>Clothing - Bottoms</v>
      </c>
      <c r="F6" s="6" t="s">
        <v>1580</v>
      </c>
      <c r="G6" s="13">
        <v>306.46</v>
      </c>
      <c r="H6" s="6">
        <v>487.0</v>
      </c>
    </row>
    <row r="7" ht="14.25" customHeight="1">
      <c r="A7" s="6" t="s">
        <v>1581</v>
      </c>
      <c r="B7" s="6" t="s">
        <v>1582</v>
      </c>
      <c r="C7" s="6" t="s">
        <v>1567</v>
      </c>
      <c r="D7" s="6" t="s">
        <v>1583</v>
      </c>
      <c r="E7" s="6" t="str">
        <f t="shared" si="1"/>
        <v>Clothing - Accessories</v>
      </c>
      <c r="F7" s="6" t="s">
        <v>1584</v>
      </c>
      <c r="G7" s="13">
        <v>261.0</v>
      </c>
      <c r="H7" s="6">
        <v>59.0</v>
      </c>
    </row>
    <row r="8" ht="14.25" customHeight="1">
      <c r="A8" s="6" t="s">
        <v>1585</v>
      </c>
      <c r="B8" s="6" t="s">
        <v>1586</v>
      </c>
      <c r="C8" s="6" t="s">
        <v>1587</v>
      </c>
      <c r="D8" s="6" t="s">
        <v>1588</v>
      </c>
      <c r="E8" s="6" t="str">
        <f t="shared" si="1"/>
        <v>Beauty - Skincare</v>
      </c>
      <c r="F8" s="6" t="s">
        <v>1589</v>
      </c>
      <c r="G8" s="13">
        <v>312.8</v>
      </c>
      <c r="H8" s="6">
        <v>350.0</v>
      </c>
    </row>
    <row r="9" ht="14.25" customHeight="1">
      <c r="A9" s="6" t="s">
        <v>1590</v>
      </c>
      <c r="B9" s="6" t="s">
        <v>1591</v>
      </c>
      <c r="C9" s="6" t="s">
        <v>1592</v>
      </c>
      <c r="D9" s="6" t="s">
        <v>1593</v>
      </c>
      <c r="E9" s="6" t="str">
        <f t="shared" si="1"/>
        <v>Home - Lighting</v>
      </c>
      <c r="F9" s="6" t="s">
        <v>1594</v>
      </c>
      <c r="G9" s="13">
        <v>218.86</v>
      </c>
      <c r="H9" s="6">
        <v>170.0</v>
      </c>
    </row>
    <row r="10" ht="14.25" customHeight="1">
      <c r="A10" s="6" t="s">
        <v>1595</v>
      </c>
      <c r="B10" s="6" t="s">
        <v>1596</v>
      </c>
      <c r="C10" s="6" t="s">
        <v>1562</v>
      </c>
      <c r="D10" s="6" t="s">
        <v>1597</v>
      </c>
      <c r="E10" s="6" t="str">
        <f t="shared" si="1"/>
        <v>Electronics - Audio</v>
      </c>
      <c r="F10" s="6" t="s">
        <v>1598</v>
      </c>
      <c r="G10" s="13">
        <v>439.07</v>
      </c>
      <c r="H10" s="6">
        <v>142.0</v>
      </c>
    </row>
    <row r="11" ht="14.25" customHeight="1">
      <c r="A11" s="6" t="s">
        <v>1599</v>
      </c>
      <c r="B11" s="6" t="s">
        <v>1600</v>
      </c>
      <c r="C11" s="6" t="s">
        <v>1601</v>
      </c>
      <c r="D11" s="6" t="s">
        <v>1602</v>
      </c>
      <c r="E11" s="6" t="str">
        <f t="shared" si="1"/>
        <v>Sports - Fitness</v>
      </c>
      <c r="F11" s="6" t="s">
        <v>1603</v>
      </c>
      <c r="G11" s="13">
        <v>495.72</v>
      </c>
      <c r="H11" s="6">
        <v>323.0</v>
      </c>
    </row>
    <row r="12" ht="14.25" customHeight="1">
      <c r="A12" s="6" t="s">
        <v>1604</v>
      </c>
      <c r="B12" s="6" t="s">
        <v>1605</v>
      </c>
      <c r="C12" s="6" t="s">
        <v>1592</v>
      </c>
      <c r="D12" s="6" t="s">
        <v>1606</v>
      </c>
      <c r="E12" s="6" t="str">
        <f t="shared" si="1"/>
        <v>Home - Kitchen</v>
      </c>
      <c r="F12" s="6" t="s">
        <v>1607</v>
      </c>
      <c r="G12" s="13">
        <v>298.86</v>
      </c>
      <c r="H12" s="6">
        <v>308.0</v>
      </c>
    </row>
    <row r="13" ht="14.25" customHeight="1">
      <c r="A13" s="6" t="s">
        <v>1608</v>
      </c>
      <c r="B13" s="6" t="s">
        <v>1609</v>
      </c>
      <c r="C13" s="6" t="s">
        <v>1562</v>
      </c>
      <c r="D13" s="6" t="s">
        <v>1583</v>
      </c>
      <c r="E13" s="6" t="str">
        <f t="shared" si="1"/>
        <v>Electronics - Accessories</v>
      </c>
      <c r="F13" s="6" t="s">
        <v>1610</v>
      </c>
      <c r="G13" s="13">
        <v>449.4</v>
      </c>
      <c r="H13" s="15">
        <f>AVERAGEIF(E2:E101,E13,H1:H101)</f>
        <v>351.7142857</v>
      </c>
    </row>
    <row r="14" ht="14.25" customHeight="1">
      <c r="A14" s="6" t="s">
        <v>1611</v>
      </c>
      <c r="B14" s="6" t="s">
        <v>1612</v>
      </c>
      <c r="C14" s="6" t="s">
        <v>1587</v>
      </c>
      <c r="D14" s="6" t="s">
        <v>1613</v>
      </c>
      <c r="E14" s="6" t="str">
        <f t="shared" si="1"/>
        <v>Beauty - Haircare</v>
      </c>
      <c r="F14" s="6" t="s">
        <v>1614</v>
      </c>
      <c r="G14" s="13">
        <v>115.82</v>
      </c>
      <c r="H14" s="6">
        <v>460.0</v>
      </c>
    </row>
    <row r="15" ht="14.25" customHeight="1">
      <c r="A15" s="6" t="s">
        <v>1615</v>
      </c>
      <c r="B15" s="6" t="s">
        <v>1616</v>
      </c>
      <c r="C15" s="6" t="s">
        <v>1562</v>
      </c>
      <c r="D15" s="6" t="s">
        <v>1583</v>
      </c>
      <c r="E15" s="6" t="str">
        <f t="shared" si="1"/>
        <v>Electronics - Accessories</v>
      </c>
      <c r="F15" s="6" t="s">
        <v>1617</v>
      </c>
      <c r="G15" s="13">
        <v>242.23</v>
      </c>
      <c r="H15" s="6">
        <v>453.0</v>
      </c>
    </row>
    <row r="16" ht="14.25" customHeight="1">
      <c r="A16" s="6" t="s">
        <v>1618</v>
      </c>
      <c r="B16" s="6" t="s">
        <v>1619</v>
      </c>
      <c r="C16" s="6" t="s">
        <v>1592</v>
      </c>
      <c r="D16" s="6" t="s">
        <v>1620</v>
      </c>
      <c r="E16" s="6" t="str">
        <f t="shared" si="1"/>
        <v>Home - Decor</v>
      </c>
      <c r="F16" s="6" t="s">
        <v>1621</v>
      </c>
      <c r="G16" s="13">
        <v>48.01</v>
      </c>
      <c r="H16" s="6">
        <v>439.0</v>
      </c>
    </row>
    <row r="17" ht="14.25" customHeight="1">
      <c r="A17" s="6" t="s">
        <v>1622</v>
      </c>
      <c r="B17" s="6" t="s">
        <v>1623</v>
      </c>
      <c r="C17" s="6" t="s">
        <v>1562</v>
      </c>
      <c r="D17" s="6" t="s">
        <v>1624</v>
      </c>
      <c r="E17" s="6" t="str">
        <f t="shared" si="1"/>
        <v>Electronics - Appliances</v>
      </c>
      <c r="F17" s="6" t="s">
        <v>1625</v>
      </c>
      <c r="G17" s="13">
        <v>465.34</v>
      </c>
      <c r="H17" s="6">
        <v>301.0</v>
      </c>
    </row>
    <row r="18" ht="14.25" customHeight="1">
      <c r="A18" s="14" t="s">
        <v>1626</v>
      </c>
      <c r="B18" s="6" t="s">
        <v>1627</v>
      </c>
      <c r="C18" s="6" t="s">
        <v>1587</v>
      </c>
      <c r="D18" s="6" t="s">
        <v>1628</v>
      </c>
      <c r="E18" s="6" t="str">
        <f t="shared" si="1"/>
        <v>Beauty - Grooming</v>
      </c>
      <c r="F18" s="6" t="s">
        <v>1629</v>
      </c>
      <c r="G18" s="13">
        <v>337.42</v>
      </c>
      <c r="H18" s="6">
        <v>256.0</v>
      </c>
    </row>
    <row r="19" ht="14.25" customHeight="1">
      <c r="A19" s="6" t="s">
        <v>1630</v>
      </c>
      <c r="B19" s="6" t="s">
        <v>1631</v>
      </c>
      <c r="C19" s="6" t="s">
        <v>1601</v>
      </c>
      <c r="D19" s="6" t="s">
        <v>1583</v>
      </c>
      <c r="E19" s="6" t="str">
        <f t="shared" si="1"/>
        <v>Sports - Accessories</v>
      </c>
      <c r="F19" s="6" t="s">
        <v>1632</v>
      </c>
      <c r="G19" s="13">
        <v>144.53</v>
      </c>
      <c r="H19" s="6">
        <v>367.0</v>
      </c>
    </row>
    <row r="20" ht="14.25" customHeight="1">
      <c r="A20" s="6" t="s">
        <v>1633</v>
      </c>
      <c r="B20" s="6" t="s">
        <v>1634</v>
      </c>
      <c r="C20" s="6" t="s">
        <v>1567</v>
      </c>
      <c r="D20" s="6" t="s">
        <v>1579</v>
      </c>
      <c r="E20" s="6" t="str">
        <f t="shared" si="1"/>
        <v>Clothing - Bottoms</v>
      </c>
      <c r="F20" s="6" t="s">
        <v>1635</v>
      </c>
      <c r="G20" s="13">
        <f>AVERAGEIF(E2:E101,E20,G2:G101)</f>
        <v>303.7466667</v>
      </c>
      <c r="H20" s="6">
        <v>343.0</v>
      </c>
    </row>
    <row r="21" ht="14.25" customHeight="1">
      <c r="A21" s="6" t="s">
        <v>1636</v>
      </c>
      <c r="B21" s="6" t="s">
        <v>1637</v>
      </c>
      <c r="C21" s="6" t="s">
        <v>1601</v>
      </c>
      <c r="D21" s="6" t="s">
        <v>1638</v>
      </c>
      <c r="E21" s="6" t="str">
        <f t="shared" si="1"/>
        <v>Sports - Equipment</v>
      </c>
      <c r="F21" s="6" t="s">
        <v>1639</v>
      </c>
      <c r="G21" s="13">
        <v>21.34</v>
      </c>
      <c r="H21" s="6">
        <v>65.0</v>
      </c>
    </row>
    <row r="22" ht="14.25" customHeight="1">
      <c r="A22" s="6" t="s">
        <v>1640</v>
      </c>
      <c r="B22" s="6" t="s">
        <v>1641</v>
      </c>
      <c r="C22" s="6" t="s">
        <v>1601</v>
      </c>
      <c r="D22" s="6" t="s">
        <v>1583</v>
      </c>
      <c r="E22" s="6" t="str">
        <f t="shared" si="1"/>
        <v>Sports - Accessories</v>
      </c>
      <c r="F22" s="6" t="s">
        <v>1642</v>
      </c>
      <c r="G22" s="13">
        <v>131.51</v>
      </c>
      <c r="H22" s="15">
        <f>AVERAGEIF(E2:E101,E22,H1:H101)</f>
        <v>209.5</v>
      </c>
    </row>
    <row r="23" ht="14.25" customHeight="1">
      <c r="A23" s="6" t="s">
        <v>1643</v>
      </c>
      <c r="B23" s="6" t="s">
        <v>1644</v>
      </c>
      <c r="C23" s="6" t="s">
        <v>1592</v>
      </c>
      <c r="D23" s="6" t="s">
        <v>1645</v>
      </c>
      <c r="E23" s="6" t="str">
        <f t="shared" si="1"/>
        <v>Home - Storage</v>
      </c>
      <c r="F23" s="6" t="s">
        <v>1646</v>
      </c>
      <c r="G23" s="13">
        <v>123.46</v>
      </c>
      <c r="H23" s="6">
        <v>76.0</v>
      </c>
    </row>
    <row r="24" ht="14.25" customHeight="1">
      <c r="A24" s="6" t="s">
        <v>1647</v>
      </c>
      <c r="B24" s="6" t="s">
        <v>1648</v>
      </c>
      <c r="C24" s="6" t="s">
        <v>1601</v>
      </c>
      <c r="D24" s="6" t="s">
        <v>1638</v>
      </c>
      <c r="E24" s="6" t="str">
        <f t="shared" si="1"/>
        <v>Sports - Equipment</v>
      </c>
      <c r="F24" s="6" t="s">
        <v>1649</v>
      </c>
      <c r="G24" s="13">
        <v>484.62</v>
      </c>
      <c r="H24" s="6">
        <v>432.0</v>
      </c>
    </row>
    <row r="25" ht="14.25" customHeight="1">
      <c r="A25" s="6" t="s">
        <v>1650</v>
      </c>
      <c r="B25" s="6" t="s">
        <v>1651</v>
      </c>
      <c r="C25" s="6" t="s">
        <v>1567</v>
      </c>
      <c r="D25" s="6" t="s">
        <v>1568</v>
      </c>
      <c r="E25" s="6" t="str">
        <f t="shared" si="1"/>
        <v>Clothing - Tops</v>
      </c>
      <c r="F25" s="6" t="s">
        <v>1652</v>
      </c>
      <c r="G25" s="13">
        <f>AVERAGEIF(E1:E101,E25,G1:G101)</f>
        <v>282.995</v>
      </c>
      <c r="H25" s="6">
        <v>360.0</v>
      </c>
    </row>
    <row r="26" ht="14.25" customHeight="1">
      <c r="A26" s="6" t="s">
        <v>1653</v>
      </c>
      <c r="B26" s="6" t="s">
        <v>1654</v>
      </c>
      <c r="C26" s="6" t="s">
        <v>1601</v>
      </c>
      <c r="D26" s="6" t="s">
        <v>1655</v>
      </c>
      <c r="E26" s="6" t="str">
        <f t="shared" si="1"/>
        <v>Sports - Outdoor</v>
      </c>
      <c r="F26" s="6" t="s">
        <v>1656</v>
      </c>
      <c r="G26" s="13">
        <v>166.06</v>
      </c>
      <c r="H26" s="6">
        <v>340.0</v>
      </c>
    </row>
    <row r="27" ht="14.25" customHeight="1">
      <c r="A27" s="6" t="s">
        <v>1657</v>
      </c>
      <c r="B27" s="6" t="s">
        <v>1658</v>
      </c>
      <c r="C27" s="6" t="s">
        <v>1567</v>
      </c>
      <c r="D27" s="6" t="s">
        <v>1583</v>
      </c>
      <c r="E27" s="6" t="str">
        <f t="shared" si="1"/>
        <v>Clothing - Accessories</v>
      </c>
      <c r="F27" s="6" t="s">
        <v>1659</v>
      </c>
      <c r="G27" s="13">
        <v>174.02</v>
      </c>
      <c r="H27" s="6">
        <v>268.0</v>
      </c>
    </row>
    <row r="28" ht="14.25" customHeight="1">
      <c r="A28" s="6" t="s">
        <v>1660</v>
      </c>
      <c r="B28" s="6" t="s">
        <v>1661</v>
      </c>
      <c r="C28" s="6" t="s">
        <v>1562</v>
      </c>
      <c r="D28" s="6" t="s">
        <v>1597</v>
      </c>
      <c r="E28" s="6" t="str">
        <f t="shared" si="1"/>
        <v>Electronics - Audio</v>
      </c>
      <c r="F28" s="6" t="s">
        <v>1662</v>
      </c>
      <c r="G28" s="13">
        <v>322.41</v>
      </c>
      <c r="H28" s="6">
        <v>213.0</v>
      </c>
    </row>
    <row r="29" ht="14.25" customHeight="1">
      <c r="A29" s="6" t="s">
        <v>1663</v>
      </c>
      <c r="B29" s="6" t="s">
        <v>1664</v>
      </c>
      <c r="C29" s="6" t="s">
        <v>1592</v>
      </c>
      <c r="D29" s="6" t="s">
        <v>1620</v>
      </c>
      <c r="E29" s="6" t="str">
        <f t="shared" si="1"/>
        <v>Home - Decor</v>
      </c>
      <c r="F29" s="6" t="s">
        <v>1665</v>
      </c>
      <c r="G29" s="13">
        <f>AVERAGEIF(E2:E101,E29,G2:G101)</f>
        <v>219.1233333</v>
      </c>
      <c r="H29" s="6">
        <v>378.0</v>
      </c>
    </row>
    <row r="30" ht="14.25" customHeight="1">
      <c r="A30" s="6" t="s">
        <v>1666</v>
      </c>
      <c r="B30" s="6" t="s">
        <v>1667</v>
      </c>
      <c r="C30" s="6" t="s">
        <v>1601</v>
      </c>
      <c r="D30" s="6" t="s">
        <v>1583</v>
      </c>
      <c r="E30" s="6" t="str">
        <f t="shared" si="1"/>
        <v>Sports - Accessories</v>
      </c>
      <c r="F30" s="6" t="s">
        <v>1668</v>
      </c>
      <c r="G30" s="13">
        <v>38.76</v>
      </c>
      <c r="H30" s="6">
        <v>137.0</v>
      </c>
    </row>
    <row r="31" ht="14.25" customHeight="1">
      <c r="A31" s="6" t="s">
        <v>1669</v>
      </c>
      <c r="B31" s="6" t="s">
        <v>1670</v>
      </c>
      <c r="C31" s="6" t="s">
        <v>1592</v>
      </c>
      <c r="D31" s="6" t="s">
        <v>1620</v>
      </c>
      <c r="E31" s="6" t="str">
        <f t="shared" si="1"/>
        <v>Home - Decor</v>
      </c>
      <c r="F31" s="6" t="s">
        <v>1671</v>
      </c>
      <c r="G31" s="13">
        <v>218.48</v>
      </c>
      <c r="H31" s="6">
        <v>276.0</v>
      </c>
    </row>
    <row r="32" ht="14.25" customHeight="1">
      <c r="A32" s="6" t="s">
        <v>1672</v>
      </c>
      <c r="B32" s="6" t="s">
        <v>1673</v>
      </c>
      <c r="C32" s="6" t="s">
        <v>1592</v>
      </c>
      <c r="D32" s="6" t="s">
        <v>1606</v>
      </c>
      <c r="E32" s="6" t="str">
        <f t="shared" si="1"/>
        <v>Home - Kitchen</v>
      </c>
      <c r="F32" s="6" t="s">
        <v>1674</v>
      </c>
      <c r="G32" s="13">
        <v>19.52</v>
      </c>
      <c r="H32" s="6">
        <v>57.0</v>
      </c>
    </row>
    <row r="33" ht="14.25" customHeight="1">
      <c r="A33" s="6" t="s">
        <v>1675</v>
      </c>
      <c r="B33" s="6" t="s">
        <v>1676</v>
      </c>
      <c r="C33" s="6" t="s">
        <v>1601</v>
      </c>
      <c r="D33" s="6" t="s">
        <v>1677</v>
      </c>
      <c r="E33" s="6" t="str">
        <f t="shared" si="1"/>
        <v>Sports - Team Sports</v>
      </c>
      <c r="F33" s="6" t="s">
        <v>1678</v>
      </c>
      <c r="G33" s="13">
        <v>204.39</v>
      </c>
      <c r="H33" s="6">
        <v>281.0</v>
      </c>
    </row>
    <row r="34" ht="14.25" customHeight="1">
      <c r="A34" s="6" t="s">
        <v>1679</v>
      </c>
      <c r="B34" s="6" t="s">
        <v>1680</v>
      </c>
      <c r="C34" s="6" t="s">
        <v>1587</v>
      </c>
      <c r="D34" s="6" t="s">
        <v>1588</v>
      </c>
      <c r="E34" s="6" t="str">
        <f t="shared" si="1"/>
        <v>Beauty - Skincare</v>
      </c>
      <c r="F34" s="6" t="s">
        <v>1681</v>
      </c>
      <c r="G34" s="13">
        <v>283.83</v>
      </c>
      <c r="H34" s="6">
        <v>244.0</v>
      </c>
    </row>
    <row r="35" ht="14.25" customHeight="1">
      <c r="A35" s="6" t="s">
        <v>1682</v>
      </c>
      <c r="B35" s="6" t="s">
        <v>1683</v>
      </c>
      <c r="C35" s="6" t="s">
        <v>1592</v>
      </c>
      <c r="D35" s="6" t="s">
        <v>1620</v>
      </c>
      <c r="E35" s="6" t="str">
        <f t="shared" si="1"/>
        <v>Home - Decor</v>
      </c>
      <c r="F35" s="6" t="s">
        <v>1684</v>
      </c>
      <c r="G35" s="13">
        <v>179.77</v>
      </c>
      <c r="H35" s="6">
        <v>305.0</v>
      </c>
    </row>
    <row r="36" ht="14.25" customHeight="1">
      <c r="A36" s="6" t="s">
        <v>1685</v>
      </c>
      <c r="B36" s="6" t="s">
        <v>1686</v>
      </c>
      <c r="C36" s="6" t="s">
        <v>1562</v>
      </c>
      <c r="D36" s="6" t="s">
        <v>1563</v>
      </c>
      <c r="E36" s="6" t="str">
        <f t="shared" si="1"/>
        <v>Electronics - Computer</v>
      </c>
      <c r="F36" s="6" t="s">
        <v>1687</v>
      </c>
      <c r="G36" s="13">
        <v>419.28</v>
      </c>
      <c r="H36" s="6">
        <v>86.0</v>
      </c>
    </row>
    <row r="37" ht="14.25" customHeight="1">
      <c r="A37" s="6" t="s">
        <v>1688</v>
      </c>
      <c r="B37" s="6" t="s">
        <v>1689</v>
      </c>
      <c r="C37" s="6" t="s">
        <v>1592</v>
      </c>
      <c r="D37" s="6" t="s">
        <v>1593</v>
      </c>
      <c r="E37" s="6" t="str">
        <f t="shared" si="1"/>
        <v>Home - Lighting</v>
      </c>
      <c r="F37" s="6" t="s">
        <v>1690</v>
      </c>
      <c r="G37" s="13">
        <v>382.22</v>
      </c>
      <c r="H37" s="6">
        <v>329.0</v>
      </c>
    </row>
    <row r="38" ht="14.25" customHeight="1">
      <c r="A38" s="6" t="s">
        <v>1691</v>
      </c>
      <c r="B38" s="6" t="s">
        <v>1692</v>
      </c>
      <c r="C38" s="6" t="s">
        <v>1567</v>
      </c>
      <c r="D38" s="6" t="s">
        <v>1568</v>
      </c>
      <c r="E38" s="6" t="str">
        <f t="shared" si="1"/>
        <v>Clothing - Tops</v>
      </c>
      <c r="F38" s="6" t="s">
        <v>1693</v>
      </c>
      <c r="G38" s="13">
        <v>223.43</v>
      </c>
      <c r="H38" s="6">
        <v>154.0</v>
      </c>
    </row>
    <row r="39" ht="14.25" customHeight="1">
      <c r="A39" s="6" t="s">
        <v>1694</v>
      </c>
      <c r="B39" s="6" t="s">
        <v>1695</v>
      </c>
      <c r="C39" s="6" t="s">
        <v>1567</v>
      </c>
      <c r="D39" s="6" t="s">
        <v>1696</v>
      </c>
      <c r="E39" s="6" t="str">
        <f t="shared" si="1"/>
        <v>Clothing - Footwear</v>
      </c>
      <c r="F39" s="6" t="s">
        <v>1697</v>
      </c>
      <c r="G39" s="13">
        <v>353.47</v>
      </c>
      <c r="H39" s="6">
        <v>214.0</v>
      </c>
    </row>
    <row r="40" ht="14.25" customHeight="1">
      <c r="A40" s="6" t="s">
        <v>1698</v>
      </c>
      <c r="B40" s="6" t="s">
        <v>1699</v>
      </c>
      <c r="C40" s="6" t="s">
        <v>1601</v>
      </c>
      <c r="D40" s="6" t="s">
        <v>1655</v>
      </c>
      <c r="E40" s="6" t="str">
        <f t="shared" si="1"/>
        <v>Sports - Outdoor</v>
      </c>
      <c r="F40" s="6" t="s">
        <v>1700</v>
      </c>
      <c r="G40" s="13">
        <v>135.61</v>
      </c>
      <c r="H40" s="6">
        <v>394.0</v>
      </c>
    </row>
    <row r="41" ht="14.25" customHeight="1">
      <c r="A41" s="6" t="s">
        <v>1701</v>
      </c>
      <c r="B41" s="6" t="s">
        <v>1702</v>
      </c>
      <c r="C41" s="6" t="s">
        <v>1562</v>
      </c>
      <c r="D41" s="6" t="s">
        <v>1703</v>
      </c>
      <c r="E41" s="6" t="str">
        <f t="shared" si="1"/>
        <v>Electronics - Mobile</v>
      </c>
      <c r="F41" s="6" t="s">
        <v>1704</v>
      </c>
      <c r="G41" s="13">
        <v>326.06</v>
      </c>
      <c r="H41" s="6">
        <v>301.0</v>
      </c>
    </row>
    <row r="42" ht="14.25" customHeight="1">
      <c r="A42" s="6" t="s">
        <v>1705</v>
      </c>
      <c r="B42" s="6" t="s">
        <v>1706</v>
      </c>
      <c r="C42" s="6" t="s">
        <v>1562</v>
      </c>
      <c r="D42" s="6" t="s">
        <v>1597</v>
      </c>
      <c r="E42" s="6" t="str">
        <f t="shared" si="1"/>
        <v>Electronics - Audio</v>
      </c>
      <c r="F42" s="6" t="s">
        <v>1707</v>
      </c>
      <c r="G42" s="13">
        <v>38.52</v>
      </c>
      <c r="H42" s="6">
        <v>378.0</v>
      </c>
    </row>
    <row r="43" ht="14.25" customHeight="1">
      <c r="A43" s="6" t="s">
        <v>1708</v>
      </c>
      <c r="B43" s="6" t="s">
        <v>1709</v>
      </c>
      <c r="C43" s="6" t="s">
        <v>1601</v>
      </c>
      <c r="D43" s="6" t="s">
        <v>1602</v>
      </c>
      <c r="E43" s="6" t="str">
        <f t="shared" si="1"/>
        <v>Sports - Fitness</v>
      </c>
      <c r="F43" s="6" t="s">
        <v>1710</v>
      </c>
      <c r="G43" s="13">
        <v>313.26</v>
      </c>
      <c r="H43" s="6">
        <v>369.0</v>
      </c>
    </row>
    <row r="44" ht="14.25" customHeight="1">
      <c r="A44" s="6" t="s">
        <v>1711</v>
      </c>
      <c r="B44" s="6" t="s">
        <v>1712</v>
      </c>
      <c r="C44" s="6" t="s">
        <v>1562</v>
      </c>
      <c r="D44" s="6" t="s">
        <v>1583</v>
      </c>
      <c r="E44" s="6" t="str">
        <f t="shared" si="1"/>
        <v>Electronics - Accessories</v>
      </c>
      <c r="F44" s="6" t="s">
        <v>1713</v>
      </c>
      <c r="G44" s="13">
        <v>450.71</v>
      </c>
      <c r="H44" s="6">
        <v>389.0</v>
      </c>
    </row>
    <row r="45" ht="14.25" customHeight="1">
      <c r="A45" s="6" t="s">
        <v>1714</v>
      </c>
      <c r="B45" s="6" t="s">
        <v>1715</v>
      </c>
      <c r="C45" s="6" t="s">
        <v>1562</v>
      </c>
      <c r="D45" s="6" t="s">
        <v>1563</v>
      </c>
      <c r="E45" s="6" t="str">
        <f t="shared" si="1"/>
        <v>Electronics - Computer</v>
      </c>
      <c r="F45" s="6" t="s">
        <v>1716</v>
      </c>
      <c r="G45" s="13">
        <v>253.33</v>
      </c>
      <c r="H45" s="6">
        <v>266.0</v>
      </c>
    </row>
    <row r="46" ht="14.25" customHeight="1">
      <c r="A46" s="6" t="s">
        <v>1717</v>
      </c>
      <c r="B46" s="6" t="s">
        <v>1718</v>
      </c>
      <c r="C46" s="6" t="s">
        <v>1601</v>
      </c>
      <c r="D46" s="6" t="s">
        <v>1602</v>
      </c>
      <c r="E46" s="6" t="str">
        <f t="shared" si="1"/>
        <v>Sports - Fitness</v>
      </c>
      <c r="F46" s="6" t="s">
        <v>1719</v>
      </c>
      <c r="G46" s="13">
        <v>167.12</v>
      </c>
      <c r="H46" s="6">
        <v>316.0</v>
      </c>
    </row>
    <row r="47" ht="14.25" customHeight="1">
      <c r="A47" s="6" t="s">
        <v>1720</v>
      </c>
      <c r="B47" s="6" t="s">
        <v>1721</v>
      </c>
      <c r="C47" s="6" t="s">
        <v>1601</v>
      </c>
      <c r="D47" s="6" t="s">
        <v>1677</v>
      </c>
      <c r="E47" s="6" t="str">
        <f t="shared" si="1"/>
        <v>Sports - Team Sports</v>
      </c>
      <c r="F47" s="6" t="s">
        <v>1722</v>
      </c>
      <c r="G47" s="13">
        <v>318.91</v>
      </c>
      <c r="H47" s="6">
        <v>114.0</v>
      </c>
    </row>
    <row r="48" ht="14.25" customHeight="1">
      <c r="A48" s="6" t="s">
        <v>1723</v>
      </c>
      <c r="B48" s="6" t="s">
        <v>1724</v>
      </c>
      <c r="C48" s="6" t="s">
        <v>1567</v>
      </c>
      <c r="D48" s="6" t="s">
        <v>1572</v>
      </c>
      <c r="E48" s="6" t="str">
        <f t="shared" si="1"/>
        <v>Clothing - Outerwear</v>
      </c>
      <c r="F48" s="6" t="s">
        <v>1725</v>
      </c>
      <c r="G48" s="13">
        <v>167.34</v>
      </c>
      <c r="H48" s="6">
        <v>296.0</v>
      </c>
    </row>
    <row r="49" ht="14.25" customHeight="1">
      <c r="A49" s="6" t="s">
        <v>1726</v>
      </c>
      <c r="B49" s="6" t="s">
        <v>1727</v>
      </c>
      <c r="C49" s="6" t="s">
        <v>1587</v>
      </c>
      <c r="D49" s="6" t="s">
        <v>1728</v>
      </c>
      <c r="E49" s="6" t="str">
        <f t="shared" si="1"/>
        <v>Beauty - Makeup</v>
      </c>
      <c r="F49" s="6" t="s">
        <v>1729</v>
      </c>
      <c r="G49" s="13">
        <f>AVERAGEIF(E2:E101,E49,G2:G101)</f>
        <v>241.075</v>
      </c>
      <c r="H49" s="6">
        <v>431.0</v>
      </c>
    </row>
    <row r="50" ht="14.25" customHeight="1">
      <c r="A50" s="6" t="s">
        <v>1730</v>
      </c>
      <c r="B50" s="6" t="s">
        <v>1731</v>
      </c>
      <c r="C50" s="6" t="s">
        <v>1562</v>
      </c>
      <c r="D50" s="6" t="s">
        <v>1583</v>
      </c>
      <c r="E50" s="6" t="str">
        <f t="shared" si="1"/>
        <v>Electronics - Accessories</v>
      </c>
      <c r="F50" s="6" t="s">
        <v>1732</v>
      </c>
      <c r="G50" s="13">
        <v>177.98</v>
      </c>
      <c r="H50" s="6">
        <v>103.0</v>
      </c>
    </row>
    <row r="51" ht="14.25" customHeight="1">
      <c r="A51" s="6" t="s">
        <v>1733</v>
      </c>
      <c r="B51" s="6" t="s">
        <v>1734</v>
      </c>
      <c r="C51" s="6" t="s">
        <v>1587</v>
      </c>
      <c r="D51" s="6" t="s">
        <v>1735</v>
      </c>
      <c r="E51" s="6" t="str">
        <f t="shared" si="1"/>
        <v>Beauty - Fragrance</v>
      </c>
      <c r="F51" s="6" t="s">
        <v>1736</v>
      </c>
      <c r="G51" s="13">
        <v>43.29</v>
      </c>
      <c r="H51" s="6">
        <v>267.0</v>
      </c>
    </row>
    <row r="52" ht="14.25" customHeight="1">
      <c r="A52" s="6" t="s">
        <v>1737</v>
      </c>
      <c r="B52" s="6" t="s">
        <v>1738</v>
      </c>
      <c r="C52" s="6" t="s">
        <v>1601</v>
      </c>
      <c r="D52" s="6" t="s">
        <v>1602</v>
      </c>
      <c r="E52" s="6" t="str">
        <f t="shared" si="1"/>
        <v>Sports - Fitness</v>
      </c>
      <c r="F52" s="6" t="s">
        <v>1739</v>
      </c>
      <c r="G52" s="13">
        <v>190.29</v>
      </c>
      <c r="H52" s="6">
        <v>260.0</v>
      </c>
    </row>
    <row r="53" ht="14.25" customHeight="1">
      <c r="A53" s="6" t="s">
        <v>1740</v>
      </c>
      <c r="B53" s="6" t="s">
        <v>1741</v>
      </c>
      <c r="C53" s="6" t="s">
        <v>1562</v>
      </c>
      <c r="D53" s="6" t="s">
        <v>1583</v>
      </c>
      <c r="E53" s="6" t="str">
        <f t="shared" si="1"/>
        <v>Electronics - Accessories</v>
      </c>
      <c r="F53" s="6" t="s">
        <v>1742</v>
      </c>
      <c r="G53" s="13">
        <v>88.49</v>
      </c>
      <c r="H53" s="6">
        <v>246.0</v>
      </c>
    </row>
    <row r="54" ht="14.25" customHeight="1">
      <c r="A54" s="6" t="s">
        <v>1743</v>
      </c>
      <c r="B54" s="6" t="s">
        <v>1744</v>
      </c>
      <c r="C54" s="6" t="s">
        <v>1601</v>
      </c>
      <c r="D54" s="6" t="s">
        <v>1677</v>
      </c>
      <c r="E54" s="6" t="str">
        <f t="shared" si="1"/>
        <v>Sports - Team Sports</v>
      </c>
      <c r="F54" s="6" t="s">
        <v>1745</v>
      </c>
      <c r="G54" s="13">
        <v>212.26</v>
      </c>
      <c r="H54" s="6">
        <v>82.0</v>
      </c>
    </row>
    <row r="55" ht="14.25" customHeight="1">
      <c r="A55" s="6" t="s">
        <v>1746</v>
      </c>
      <c r="B55" s="6" t="s">
        <v>1747</v>
      </c>
      <c r="C55" s="6" t="s">
        <v>1567</v>
      </c>
      <c r="D55" s="6" t="s">
        <v>1579</v>
      </c>
      <c r="E55" s="6" t="str">
        <f t="shared" si="1"/>
        <v>Clothing - Bottoms</v>
      </c>
      <c r="F55" s="6" t="s">
        <v>1748</v>
      </c>
      <c r="G55" s="13">
        <v>386.56</v>
      </c>
      <c r="H55" s="6">
        <v>125.0</v>
      </c>
    </row>
    <row r="56" ht="14.25" customHeight="1">
      <c r="A56" s="6" t="s">
        <v>1749</v>
      </c>
      <c r="B56" s="6" t="s">
        <v>1750</v>
      </c>
      <c r="C56" s="6" t="s">
        <v>1601</v>
      </c>
      <c r="D56" s="6" t="s">
        <v>1583</v>
      </c>
      <c r="E56" s="6" t="str">
        <f t="shared" si="1"/>
        <v>Sports - Accessories</v>
      </c>
      <c r="F56" s="6" t="s">
        <v>1751</v>
      </c>
      <c r="G56" s="13">
        <v>434.84</v>
      </c>
      <c r="H56" s="6">
        <v>185.0</v>
      </c>
    </row>
    <row r="57" ht="14.25" customHeight="1">
      <c r="A57" s="6" t="s">
        <v>1752</v>
      </c>
      <c r="B57" s="6" t="s">
        <v>1753</v>
      </c>
      <c r="C57" s="6" t="s">
        <v>1592</v>
      </c>
      <c r="D57" s="6" t="s">
        <v>1620</v>
      </c>
      <c r="E57" s="6" t="str">
        <f t="shared" si="1"/>
        <v>Home - Decor</v>
      </c>
      <c r="F57" s="6" t="s">
        <v>1754</v>
      </c>
      <c r="G57" s="13">
        <v>81.75</v>
      </c>
      <c r="H57" s="6">
        <f>ROUND(AVERAGEIF(E2:E101,E57,H1:H101),0)</f>
        <v>223</v>
      </c>
    </row>
    <row r="58" ht="14.25" customHeight="1">
      <c r="A58" s="6" t="s">
        <v>1755</v>
      </c>
      <c r="B58" s="6" t="s">
        <v>1756</v>
      </c>
      <c r="C58" s="6" t="s">
        <v>1592</v>
      </c>
      <c r="D58" s="6" t="s">
        <v>1620</v>
      </c>
      <c r="E58" s="6" t="str">
        <f t="shared" si="1"/>
        <v>Home - Decor</v>
      </c>
      <c r="F58" s="6" t="s">
        <v>1757</v>
      </c>
      <c r="G58" s="13">
        <v>461.47</v>
      </c>
      <c r="H58" s="6">
        <v>190.0</v>
      </c>
    </row>
    <row r="59" ht="14.25" customHeight="1">
      <c r="A59" s="6" t="s">
        <v>1758</v>
      </c>
      <c r="B59" s="6" t="s">
        <v>1759</v>
      </c>
      <c r="C59" s="6" t="s">
        <v>1601</v>
      </c>
      <c r="D59" s="6" t="s">
        <v>1602</v>
      </c>
      <c r="E59" s="6" t="str">
        <f t="shared" si="1"/>
        <v>Sports - Fitness</v>
      </c>
      <c r="F59" s="6" t="s">
        <v>1760</v>
      </c>
      <c r="G59" s="13">
        <v>30.62</v>
      </c>
      <c r="H59" s="6">
        <v>138.0</v>
      </c>
    </row>
    <row r="60" ht="14.25" customHeight="1">
      <c r="A60" s="6" t="s">
        <v>1761</v>
      </c>
      <c r="B60" s="6" t="s">
        <v>1762</v>
      </c>
      <c r="C60" s="6" t="s">
        <v>1567</v>
      </c>
      <c r="D60" s="6" t="s">
        <v>1583</v>
      </c>
      <c r="E60" s="6" t="str">
        <f t="shared" si="1"/>
        <v>Clothing - Accessories</v>
      </c>
      <c r="F60" s="6" t="s">
        <v>1763</v>
      </c>
      <c r="G60" s="13">
        <v>113.83</v>
      </c>
      <c r="H60" s="6">
        <v>485.0</v>
      </c>
    </row>
    <row r="61" ht="14.25" customHeight="1">
      <c r="A61" s="6" t="s">
        <v>1764</v>
      </c>
      <c r="B61" s="6" t="s">
        <v>1765</v>
      </c>
      <c r="C61" s="6" t="s">
        <v>1587</v>
      </c>
      <c r="D61" s="6" t="s">
        <v>1613</v>
      </c>
      <c r="E61" s="6" t="str">
        <f t="shared" si="1"/>
        <v>Beauty - Haircare</v>
      </c>
      <c r="F61" s="6" t="s">
        <v>1766</v>
      </c>
      <c r="G61" s="13">
        <v>17.31</v>
      </c>
      <c r="H61" s="6">
        <v>399.0</v>
      </c>
    </row>
    <row r="62" ht="14.25" customHeight="1">
      <c r="A62" s="6" t="s">
        <v>1767</v>
      </c>
      <c r="B62" s="6" t="s">
        <v>1768</v>
      </c>
      <c r="C62" s="6" t="s">
        <v>1587</v>
      </c>
      <c r="D62" s="6" t="s">
        <v>1735</v>
      </c>
      <c r="E62" s="6" t="str">
        <f t="shared" si="1"/>
        <v>Beauty - Fragrance</v>
      </c>
      <c r="F62" s="6" t="s">
        <v>1769</v>
      </c>
      <c r="G62" s="13">
        <v>482.75</v>
      </c>
      <c r="H62" s="6">
        <v>444.0</v>
      </c>
    </row>
    <row r="63" ht="14.25" customHeight="1">
      <c r="A63" s="6" t="s">
        <v>1770</v>
      </c>
      <c r="B63" s="6" t="s">
        <v>1771</v>
      </c>
      <c r="C63" s="6" t="s">
        <v>1601</v>
      </c>
      <c r="D63" s="6" t="s">
        <v>1638</v>
      </c>
      <c r="E63" s="6" t="str">
        <f t="shared" si="1"/>
        <v>Sports - Equipment</v>
      </c>
      <c r="F63" s="6" t="s">
        <v>1772</v>
      </c>
      <c r="G63" s="13">
        <v>103.45</v>
      </c>
      <c r="H63" s="6">
        <v>465.0</v>
      </c>
    </row>
    <row r="64" ht="14.25" customHeight="1">
      <c r="A64" s="6" t="s">
        <v>1773</v>
      </c>
      <c r="B64" s="6" t="s">
        <v>1774</v>
      </c>
      <c r="C64" s="6" t="s">
        <v>1562</v>
      </c>
      <c r="D64" s="6" t="s">
        <v>1563</v>
      </c>
      <c r="E64" s="6" t="str">
        <f t="shared" si="1"/>
        <v>Electronics - Computer</v>
      </c>
      <c r="F64" s="6" t="s">
        <v>1775</v>
      </c>
      <c r="G64" s="13">
        <v>86.42</v>
      </c>
      <c r="H64" s="6">
        <v>222.0</v>
      </c>
    </row>
    <row r="65" ht="14.25" customHeight="1">
      <c r="A65" s="6" t="s">
        <v>1776</v>
      </c>
      <c r="B65" s="6" t="s">
        <v>1777</v>
      </c>
      <c r="C65" s="6" t="s">
        <v>1587</v>
      </c>
      <c r="D65" s="6" t="s">
        <v>1588</v>
      </c>
      <c r="E65" s="6" t="str">
        <f t="shared" si="1"/>
        <v>Beauty - Skincare</v>
      </c>
      <c r="F65" s="6" t="s">
        <v>1778</v>
      </c>
      <c r="G65" s="13">
        <v>266.86</v>
      </c>
      <c r="H65" s="6">
        <v>458.0</v>
      </c>
    </row>
    <row r="66" ht="14.25" customHeight="1">
      <c r="A66" s="6" t="s">
        <v>1779</v>
      </c>
      <c r="B66" s="6" t="s">
        <v>1780</v>
      </c>
      <c r="C66" s="6" t="s">
        <v>1587</v>
      </c>
      <c r="D66" s="6" t="s">
        <v>1728</v>
      </c>
      <c r="E66" s="6" t="str">
        <f t="shared" si="1"/>
        <v>Beauty - Makeup</v>
      </c>
      <c r="F66" s="6" t="s">
        <v>1781</v>
      </c>
      <c r="G66" s="13">
        <v>299.11</v>
      </c>
      <c r="H66" s="6">
        <v>118.0</v>
      </c>
    </row>
    <row r="67" ht="14.25" customHeight="1">
      <c r="A67" s="6" t="s">
        <v>1782</v>
      </c>
      <c r="B67" s="6" t="s">
        <v>1783</v>
      </c>
      <c r="C67" s="6" t="s">
        <v>1601</v>
      </c>
      <c r="D67" s="6" t="s">
        <v>1602</v>
      </c>
      <c r="E67" s="6" t="str">
        <f t="shared" si="1"/>
        <v>Sports - Fitness</v>
      </c>
      <c r="F67" s="6" t="s">
        <v>1784</v>
      </c>
      <c r="G67" s="13">
        <v>240.63</v>
      </c>
      <c r="H67" s="6">
        <v>423.0</v>
      </c>
    </row>
    <row r="68" ht="14.25" customHeight="1">
      <c r="A68" s="6" t="s">
        <v>1785</v>
      </c>
      <c r="B68" s="6" t="s">
        <v>1786</v>
      </c>
      <c r="C68" s="6" t="s">
        <v>1587</v>
      </c>
      <c r="D68" s="6" t="s">
        <v>1613</v>
      </c>
      <c r="E68" s="6" t="str">
        <f t="shared" si="1"/>
        <v>Beauty - Haircare</v>
      </c>
      <c r="F68" s="6" t="s">
        <v>1787</v>
      </c>
      <c r="G68" s="13">
        <v>340.39</v>
      </c>
      <c r="H68" s="6">
        <v>177.0</v>
      </c>
    </row>
    <row r="69" ht="14.25" customHeight="1">
      <c r="A69" s="6" t="s">
        <v>1788</v>
      </c>
      <c r="B69" s="6" t="s">
        <v>1789</v>
      </c>
      <c r="C69" s="6" t="s">
        <v>1562</v>
      </c>
      <c r="D69" s="6" t="s">
        <v>1583</v>
      </c>
      <c r="E69" s="6" t="str">
        <f t="shared" si="1"/>
        <v>Electronics - Accessories</v>
      </c>
      <c r="F69" s="6" t="s">
        <v>1790</v>
      </c>
      <c r="G69" s="13">
        <v>349.17</v>
      </c>
      <c r="H69" s="6">
        <v>476.0</v>
      </c>
    </row>
    <row r="70" ht="14.25" customHeight="1">
      <c r="A70" s="6" t="s">
        <v>1791</v>
      </c>
      <c r="B70" s="6" t="s">
        <v>1792</v>
      </c>
      <c r="C70" s="6" t="s">
        <v>1592</v>
      </c>
      <c r="D70" s="6" t="s">
        <v>1793</v>
      </c>
      <c r="E70" s="6" t="str">
        <f t="shared" si="1"/>
        <v>Home - Furniture</v>
      </c>
      <c r="F70" s="6" t="s">
        <v>1794</v>
      </c>
      <c r="G70" s="13">
        <v>243.7</v>
      </c>
      <c r="H70" s="6">
        <v>130.0</v>
      </c>
    </row>
    <row r="71" ht="14.25" customHeight="1">
      <c r="A71" s="6" t="s">
        <v>1795</v>
      </c>
      <c r="B71" s="6" t="s">
        <v>1796</v>
      </c>
      <c r="C71" s="6" t="s">
        <v>1567</v>
      </c>
      <c r="D71" s="6" t="s">
        <v>1579</v>
      </c>
      <c r="E71" s="6" t="str">
        <f t="shared" si="1"/>
        <v>Clothing - Bottoms</v>
      </c>
      <c r="F71" s="6" t="s">
        <v>1797</v>
      </c>
      <c r="G71" s="13">
        <v>218.22</v>
      </c>
      <c r="H71" s="6">
        <v>224.0</v>
      </c>
    </row>
    <row r="72" ht="14.25" customHeight="1">
      <c r="A72" s="6" t="s">
        <v>1798</v>
      </c>
      <c r="B72" s="6" t="s">
        <v>1799</v>
      </c>
      <c r="C72" s="6" t="s">
        <v>1592</v>
      </c>
      <c r="D72" s="6" t="s">
        <v>1645</v>
      </c>
      <c r="E72" s="6" t="str">
        <f t="shared" si="1"/>
        <v>Home - Storage</v>
      </c>
      <c r="F72" s="6" t="s">
        <v>1800</v>
      </c>
      <c r="G72" s="13">
        <v>138.05</v>
      </c>
      <c r="H72" s="6">
        <v>89.0</v>
      </c>
    </row>
    <row r="73" ht="14.25" customHeight="1">
      <c r="A73" s="6" t="s">
        <v>1801</v>
      </c>
      <c r="B73" s="6" t="s">
        <v>1802</v>
      </c>
      <c r="C73" s="6" t="s">
        <v>1587</v>
      </c>
      <c r="D73" s="6" t="s">
        <v>1613</v>
      </c>
      <c r="E73" s="6" t="str">
        <f t="shared" si="1"/>
        <v>Beauty - Haircare</v>
      </c>
      <c r="F73" s="6" t="s">
        <v>1803</v>
      </c>
      <c r="G73" s="13">
        <v>214.32</v>
      </c>
      <c r="H73" s="6">
        <v>383.0</v>
      </c>
    </row>
    <row r="74" ht="14.25" customHeight="1">
      <c r="A74" s="6" t="s">
        <v>1804</v>
      </c>
      <c r="B74" s="6" t="s">
        <v>1805</v>
      </c>
      <c r="C74" s="6" t="s">
        <v>1601</v>
      </c>
      <c r="D74" s="6" t="s">
        <v>1602</v>
      </c>
      <c r="E74" s="6" t="str">
        <f t="shared" si="1"/>
        <v>Sports - Fitness</v>
      </c>
      <c r="F74" s="6" t="s">
        <v>1806</v>
      </c>
      <c r="G74" s="13">
        <v>477.61</v>
      </c>
      <c r="H74" s="6">
        <v>300.0</v>
      </c>
    </row>
    <row r="75" ht="14.25" customHeight="1">
      <c r="A75" s="6" t="s">
        <v>1807</v>
      </c>
      <c r="B75" s="6" t="s">
        <v>1808</v>
      </c>
      <c r="C75" s="6" t="s">
        <v>1601</v>
      </c>
      <c r="D75" s="6" t="s">
        <v>1677</v>
      </c>
      <c r="E75" s="6" t="str">
        <f t="shared" si="1"/>
        <v>Sports - Team Sports</v>
      </c>
      <c r="F75" s="6" t="s">
        <v>1809</v>
      </c>
      <c r="G75" s="13">
        <v>107.06</v>
      </c>
      <c r="H75" s="6">
        <v>359.0</v>
      </c>
    </row>
    <row r="76" ht="14.25" customHeight="1">
      <c r="A76" s="6" t="s">
        <v>1810</v>
      </c>
      <c r="B76" s="6" t="s">
        <v>1811</v>
      </c>
      <c r="C76" s="6" t="s">
        <v>1562</v>
      </c>
      <c r="D76" s="6" t="s">
        <v>1597</v>
      </c>
      <c r="E76" s="6" t="str">
        <f t="shared" si="1"/>
        <v>Electronics - Audio</v>
      </c>
      <c r="F76" s="6" t="s">
        <v>1812</v>
      </c>
      <c r="G76" s="13">
        <v>403.71</v>
      </c>
      <c r="H76" s="6">
        <v>159.0</v>
      </c>
    </row>
    <row r="77" ht="14.25" customHeight="1">
      <c r="A77" s="6" t="s">
        <v>1813</v>
      </c>
      <c r="B77" s="6" t="s">
        <v>1814</v>
      </c>
      <c r="C77" s="6" t="s">
        <v>1567</v>
      </c>
      <c r="D77" s="6" t="s">
        <v>1696</v>
      </c>
      <c r="E77" s="6" t="str">
        <f t="shared" si="1"/>
        <v>Clothing - Footwear</v>
      </c>
      <c r="F77" s="6" t="s">
        <v>1815</v>
      </c>
      <c r="G77" s="13">
        <v>158.14</v>
      </c>
      <c r="H77" s="6">
        <v>82.0</v>
      </c>
    </row>
    <row r="78" ht="14.25" customHeight="1">
      <c r="A78" s="6" t="s">
        <v>1816</v>
      </c>
      <c r="B78" s="6" t="s">
        <v>1817</v>
      </c>
      <c r="C78" s="6" t="s">
        <v>1562</v>
      </c>
      <c r="D78" s="6" t="s">
        <v>1563</v>
      </c>
      <c r="E78" s="6" t="str">
        <f t="shared" si="1"/>
        <v>Electronics - Computer</v>
      </c>
      <c r="F78" s="6" t="s">
        <v>1818</v>
      </c>
      <c r="G78" s="13">
        <v>392.89</v>
      </c>
      <c r="H78" s="6">
        <v>320.0</v>
      </c>
    </row>
    <row r="79" ht="14.25" customHeight="1">
      <c r="A79" s="6" t="s">
        <v>1819</v>
      </c>
      <c r="B79" s="6" t="s">
        <v>1820</v>
      </c>
      <c r="C79" s="6" t="s">
        <v>1562</v>
      </c>
      <c r="D79" s="6" t="s">
        <v>1624</v>
      </c>
      <c r="E79" s="6" t="str">
        <f t="shared" si="1"/>
        <v>Electronics - Appliances</v>
      </c>
      <c r="F79" s="6" t="s">
        <v>1821</v>
      </c>
      <c r="G79" s="13">
        <v>480.9</v>
      </c>
      <c r="H79" s="6">
        <v>104.0</v>
      </c>
    </row>
    <row r="80" ht="14.25" customHeight="1">
      <c r="A80" s="6" t="s">
        <v>1822</v>
      </c>
      <c r="B80" s="6" t="s">
        <v>1823</v>
      </c>
      <c r="C80" s="6" t="s">
        <v>1592</v>
      </c>
      <c r="D80" s="6" t="s">
        <v>1620</v>
      </c>
      <c r="E80" s="6" t="str">
        <f t="shared" si="1"/>
        <v>Home - Decor</v>
      </c>
      <c r="F80" s="6" t="s">
        <v>1824</v>
      </c>
      <c r="G80" s="13">
        <v>325.26</v>
      </c>
      <c r="H80" s="6">
        <v>400.0</v>
      </c>
    </row>
    <row r="81" ht="14.25" customHeight="1">
      <c r="A81" s="6" t="s">
        <v>1825</v>
      </c>
      <c r="B81" s="6" t="s">
        <v>1826</v>
      </c>
      <c r="C81" s="6" t="s">
        <v>1592</v>
      </c>
      <c r="D81" s="6" t="s">
        <v>1593</v>
      </c>
      <c r="E81" s="6" t="str">
        <f t="shared" si="1"/>
        <v>Home - Lighting</v>
      </c>
      <c r="F81" s="6" t="s">
        <v>1827</v>
      </c>
      <c r="G81" s="13">
        <v>228.53</v>
      </c>
      <c r="H81" s="6">
        <v>469.0</v>
      </c>
    </row>
    <row r="82" ht="14.25" customHeight="1">
      <c r="A82" s="6" t="s">
        <v>1828</v>
      </c>
      <c r="B82" s="6" t="s">
        <v>1829</v>
      </c>
      <c r="C82" s="6" t="s">
        <v>1592</v>
      </c>
      <c r="D82" s="6" t="s">
        <v>1606</v>
      </c>
      <c r="E82" s="6" t="str">
        <f t="shared" si="1"/>
        <v>Home - Kitchen</v>
      </c>
      <c r="F82" s="6" t="s">
        <v>1830</v>
      </c>
      <c r="G82" s="13">
        <v>143.43</v>
      </c>
      <c r="H82" s="6">
        <v>58.0</v>
      </c>
    </row>
    <row r="83" ht="14.25" customHeight="1">
      <c r="A83" s="6" t="s">
        <v>1831</v>
      </c>
      <c r="B83" s="6" t="s">
        <v>1832</v>
      </c>
      <c r="C83" s="6" t="s">
        <v>1601</v>
      </c>
      <c r="D83" s="6" t="s">
        <v>1638</v>
      </c>
      <c r="E83" s="6" t="str">
        <f t="shared" si="1"/>
        <v>Sports - Equipment</v>
      </c>
      <c r="F83" s="6" t="s">
        <v>1833</v>
      </c>
      <c r="G83" s="13">
        <v>285.54</v>
      </c>
      <c r="H83" s="6">
        <v>358.0</v>
      </c>
    </row>
    <row r="84" ht="14.25" customHeight="1">
      <c r="A84" s="6" t="s">
        <v>1834</v>
      </c>
      <c r="B84" s="6" t="s">
        <v>1835</v>
      </c>
      <c r="C84" s="6" t="s">
        <v>1601</v>
      </c>
      <c r="D84" s="6" t="s">
        <v>1602</v>
      </c>
      <c r="E84" s="6" t="str">
        <f t="shared" si="1"/>
        <v>Sports - Fitness</v>
      </c>
      <c r="F84" s="6" t="s">
        <v>1836</v>
      </c>
      <c r="G84" s="13">
        <v>152.92</v>
      </c>
      <c r="H84" s="6">
        <v>281.0</v>
      </c>
    </row>
    <row r="85" ht="14.25" customHeight="1">
      <c r="A85" s="6" t="s">
        <v>1837</v>
      </c>
      <c r="B85" s="6" t="s">
        <v>1838</v>
      </c>
      <c r="C85" s="6" t="s">
        <v>1587</v>
      </c>
      <c r="D85" s="6" t="s">
        <v>1588</v>
      </c>
      <c r="E85" s="6" t="str">
        <f t="shared" si="1"/>
        <v>Beauty - Skincare</v>
      </c>
      <c r="F85" s="6" t="s">
        <v>1839</v>
      </c>
      <c r="G85" s="13">
        <f>AVERAGEIF(E2:E101,E85,G2:G101)</f>
        <v>305.49</v>
      </c>
      <c r="H85" s="6">
        <v>159.0</v>
      </c>
    </row>
    <row r="86" ht="14.25" customHeight="1">
      <c r="A86" s="6" t="s">
        <v>1840</v>
      </c>
      <c r="B86" s="6" t="s">
        <v>1841</v>
      </c>
      <c r="C86" s="6" t="s">
        <v>1592</v>
      </c>
      <c r="D86" s="6" t="s">
        <v>1793</v>
      </c>
      <c r="E86" s="6" t="str">
        <f t="shared" si="1"/>
        <v>Home - Furniture</v>
      </c>
      <c r="F86" s="6" t="s">
        <v>1842</v>
      </c>
      <c r="G86" s="13">
        <v>388.46</v>
      </c>
      <c r="H86" s="6">
        <v>208.0</v>
      </c>
    </row>
    <row r="87" ht="14.25" customHeight="1">
      <c r="A87" s="6" t="s">
        <v>1843</v>
      </c>
      <c r="B87" s="6" t="s">
        <v>1844</v>
      </c>
      <c r="C87" s="6" t="s">
        <v>1567</v>
      </c>
      <c r="D87" s="6" t="s">
        <v>1583</v>
      </c>
      <c r="E87" s="6" t="str">
        <f t="shared" si="1"/>
        <v>Clothing - Accessories</v>
      </c>
      <c r="F87" s="6" t="s">
        <v>1845</v>
      </c>
      <c r="G87" s="13">
        <v>119.57</v>
      </c>
      <c r="H87" s="6">
        <v>210.0</v>
      </c>
    </row>
    <row r="88" ht="14.25" customHeight="1">
      <c r="A88" s="6" t="s">
        <v>1846</v>
      </c>
      <c r="B88" s="6" t="s">
        <v>1847</v>
      </c>
      <c r="C88" s="6" t="s">
        <v>1592</v>
      </c>
      <c r="D88" s="6" t="s">
        <v>1606</v>
      </c>
      <c r="E88" s="6" t="str">
        <f t="shared" si="1"/>
        <v>Home - Kitchen</v>
      </c>
      <c r="F88" s="6" t="s">
        <v>1848</v>
      </c>
      <c r="G88" s="13">
        <v>176.07</v>
      </c>
      <c r="H88" s="6">
        <v>82.0</v>
      </c>
    </row>
    <row r="89" ht="14.25" customHeight="1">
      <c r="A89" s="6" t="s">
        <v>1849</v>
      </c>
      <c r="B89" s="6" t="s">
        <v>1850</v>
      </c>
      <c r="C89" s="6" t="s">
        <v>1592</v>
      </c>
      <c r="D89" s="6" t="s">
        <v>1593</v>
      </c>
      <c r="E89" s="6" t="str">
        <f t="shared" si="1"/>
        <v>Home - Lighting</v>
      </c>
      <c r="F89" s="6" t="s">
        <v>1851</v>
      </c>
      <c r="G89" s="13">
        <v>371.38</v>
      </c>
      <c r="H89" s="6">
        <v>220.0</v>
      </c>
    </row>
    <row r="90" ht="14.25" customHeight="1">
      <c r="A90" s="6" t="s">
        <v>1852</v>
      </c>
      <c r="B90" s="6" t="s">
        <v>1853</v>
      </c>
      <c r="C90" s="6" t="s">
        <v>1601</v>
      </c>
      <c r="D90" s="6" t="s">
        <v>1583</v>
      </c>
      <c r="E90" s="6" t="str">
        <f t="shared" si="1"/>
        <v>Sports - Accessories</v>
      </c>
      <c r="F90" s="6" t="s">
        <v>1854</v>
      </c>
      <c r="G90" s="13">
        <v>131.24</v>
      </c>
      <c r="H90" s="6">
        <v>232.0</v>
      </c>
    </row>
    <row r="91" ht="14.25" customHeight="1">
      <c r="A91" s="6" t="s">
        <v>1855</v>
      </c>
      <c r="B91" s="6" t="s">
        <v>1856</v>
      </c>
      <c r="C91" s="6" t="s">
        <v>1587</v>
      </c>
      <c r="D91" s="6" t="s">
        <v>1728</v>
      </c>
      <c r="E91" s="6" t="str">
        <f t="shared" si="1"/>
        <v>Beauty - Makeup</v>
      </c>
      <c r="F91" s="6" t="s">
        <v>1857</v>
      </c>
      <c r="G91" s="13">
        <v>183.04</v>
      </c>
      <c r="H91" s="6">
        <v>457.0</v>
      </c>
    </row>
    <row r="92" ht="14.25" customHeight="1">
      <c r="A92" s="6" t="s">
        <v>1858</v>
      </c>
      <c r="B92" s="6" t="s">
        <v>1859</v>
      </c>
      <c r="C92" s="6" t="s">
        <v>1562</v>
      </c>
      <c r="D92" s="6" t="s">
        <v>1583</v>
      </c>
      <c r="E92" s="6" t="str">
        <f t="shared" si="1"/>
        <v>Electronics - Accessories</v>
      </c>
      <c r="F92" s="6" t="s">
        <v>1860</v>
      </c>
      <c r="G92" s="13">
        <v>340.14</v>
      </c>
      <c r="H92" s="6">
        <v>361.0</v>
      </c>
    </row>
    <row r="93" ht="14.25" customHeight="1">
      <c r="A93" s="6" t="s">
        <v>1861</v>
      </c>
      <c r="B93" s="6" t="s">
        <v>1862</v>
      </c>
      <c r="C93" s="6" t="s">
        <v>1567</v>
      </c>
      <c r="D93" s="6" t="s">
        <v>1696</v>
      </c>
      <c r="E93" s="6" t="str">
        <f t="shared" si="1"/>
        <v>Clothing - Footwear</v>
      </c>
      <c r="F93" s="6" t="s">
        <v>1863</v>
      </c>
      <c r="G93" s="13">
        <v>438.25</v>
      </c>
      <c r="H93" s="6">
        <v>496.0</v>
      </c>
    </row>
    <row r="94" ht="14.25" customHeight="1">
      <c r="A94" s="6" t="s">
        <v>1864</v>
      </c>
      <c r="B94" s="6" t="s">
        <v>1865</v>
      </c>
      <c r="C94" s="6" t="s">
        <v>1592</v>
      </c>
      <c r="D94" s="6" t="s">
        <v>1624</v>
      </c>
      <c r="E94" s="6" t="str">
        <f t="shared" si="1"/>
        <v>Home - Appliances</v>
      </c>
      <c r="F94" s="6" t="s">
        <v>1866</v>
      </c>
      <c r="G94" s="13">
        <v>447.43</v>
      </c>
      <c r="H94" s="6">
        <v>191.0</v>
      </c>
    </row>
    <row r="95" ht="14.25" customHeight="1">
      <c r="A95" s="6" t="s">
        <v>1867</v>
      </c>
      <c r="B95" s="6" t="s">
        <v>1868</v>
      </c>
      <c r="C95" s="6" t="s">
        <v>1562</v>
      </c>
      <c r="D95" s="6" t="s">
        <v>1563</v>
      </c>
      <c r="E95" s="6" t="str">
        <f t="shared" si="1"/>
        <v>Electronics - Computer</v>
      </c>
      <c r="F95" s="6" t="s">
        <v>1869</v>
      </c>
      <c r="G95" s="13">
        <v>377.52</v>
      </c>
      <c r="H95" s="6">
        <v>485.0</v>
      </c>
    </row>
    <row r="96" ht="14.25" customHeight="1">
      <c r="A96" s="6" t="s">
        <v>1870</v>
      </c>
      <c r="B96" s="6" t="s">
        <v>1871</v>
      </c>
      <c r="C96" s="6" t="s">
        <v>1587</v>
      </c>
      <c r="D96" s="6" t="s">
        <v>1588</v>
      </c>
      <c r="E96" s="6" t="str">
        <f t="shared" si="1"/>
        <v>Beauty - Skincare</v>
      </c>
      <c r="F96" s="6" t="s">
        <v>1872</v>
      </c>
      <c r="G96" s="13">
        <v>358.47</v>
      </c>
      <c r="H96" s="6">
        <v>213.0</v>
      </c>
    </row>
    <row r="97" ht="14.25" customHeight="1">
      <c r="A97" s="6" t="s">
        <v>1873</v>
      </c>
      <c r="B97" s="6" t="s">
        <v>1874</v>
      </c>
      <c r="C97" s="6" t="s">
        <v>1601</v>
      </c>
      <c r="D97" s="6" t="s">
        <v>1583</v>
      </c>
      <c r="E97" s="6" t="str">
        <f t="shared" si="1"/>
        <v>Sports - Accessories</v>
      </c>
      <c r="F97" s="6" t="s">
        <v>1875</v>
      </c>
      <c r="G97" s="13">
        <v>60.65</v>
      </c>
      <c r="H97" s="6">
        <v>75.0</v>
      </c>
    </row>
    <row r="98" ht="14.25" customHeight="1">
      <c r="A98" s="6" t="s">
        <v>1876</v>
      </c>
      <c r="B98" s="6" t="s">
        <v>1877</v>
      </c>
      <c r="C98" s="6" t="s">
        <v>1567</v>
      </c>
      <c r="D98" s="6" t="s">
        <v>1572</v>
      </c>
      <c r="E98" s="6" t="str">
        <f t="shared" si="1"/>
        <v>Clothing - Outerwear</v>
      </c>
      <c r="F98" s="6" t="s">
        <v>1878</v>
      </c>
      <c r="G98" s="13">
        <v>358.47</v>
      </c>
      <c r="H98" s="6">
        <v>143.0</v>
      </c>
    </row>
    <row r="99" ht="14.25" customHeight="1">
      <c r="A99" s="6" t="s">
        <v>1879</v>
      </c>
      <c r="B99" s="6" t="s">
        <v>1880</v>
      </c>
      <c r="C99" s="6" t="s">
        <v>1601</v>
      </c>
      <c r="D99" s="6" t="s">
        <v>1677</v>
      </c>
      <c r="E99" s="6" t="str">
        <f t="shared" si="1"/>
        <v>Sports - Team Sports</v>
      </c>
      <c r="F99" s="6" t="s">
        <v>1881</v>
      </c>
      <c r="G99" s="13">
        <v>245.98</v>
      </c>
      <c r="H99" s="6">
        <v>471.0</v>
      </c>
    </row>
    <row r="100" ht="14.25" customHeight="1">
      <c r="A100" s="6" t="s">
        <v>1882</v>
      </c>
      <c r="B100" s="6" t="s">
        <v>1883</v>
      </c>
      <c r="C100" s="6" t="s">
        <v>1562</v>
      </c>
      <c r="D100" s="6" t="s">
        <v>1597</v>
      </c>
      <c r="E100" s="6" t="str">
        <f t="shared" si="1"/>
        <v>Electronics - Audio</v>
      </c>
      <c r="F100" s="6" t="s">
        <v>1884</v>
      </c>
      <c r="G100" s="13">
        <v>431.67</v>
      </c>
      <c r="H100" s="6">
        <v>73.0</v>
      </c>
    </row>
    <row r="101" ht="14.25" customHeight="1">
      <c r="A101" s="6" t="s">
        <v>1885</v>
      </c>
      <c r="B101" s="6" t="s">
        <v>1886</v>
      </c>
      <c r="C101" s="6" t="s">
        <v>1592</v>
      </c>
      <c r="D101" s="6" t="s">
        <v>1606</v>
      </c>
      <c r="E101" s="6" t="str">
        <f t="shared" si="1"/>
        <v>Home - Kitchen</v>
      </c>
      <c r="F101" s="6" t="s">
        <v>1887</v>
      </c>
      <c r="G101" s="13">
        <v>201.41</v>
      </c>
      <c r="H101" s="6">
        <v>146.0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custom" allowBlank="1" showDropDown="1" sqref="G2:G101">
      <formula1>AND(ISNUMBER(G2),(NOT(OR(NOT(ISERROR(DATEVALUE(G2))), AND(ISNUMBER(G2), LEFT(CELL("format", G2))="D")))))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34.0"/>
    <col customWidth="1" min="3" max="3" width="17.57"/>
    <col customWidth="1" min="4" max="4" width="21.57"/>
    <col customWidth="1" min="5" max="5" width="16.0"/>
    <col customWidth="1" min="6" max="26" width="8.71"/>
  </cols>
  <sheetData>
    <row r="1" ht="14.25" customHeight="1">
      <c r="A1" s="10" t="s">
        <v>1888</v>
      </c>
      <c r="B1" s="10" t="s">
        <v>1889</v>
      </c>
      <c r="C1" s="10" t="s">
        <v>1890</v>
      </c>
      <c r="D1" s="10" t="s">
        <v>6</v>
      </c>
      <c r="E1" s="10" t="s">
        <v>1891</v>
      </c>
    </row>
    <row r="2" ht="14.25" customHeight="1">
      <c r="A2" s="6" t="s">
        <v>1892</v>
      </c>
      <c r="B2" s="6" t="s">
        <v>1893</v>
      </c>
      <c r="C2" s="6" t="s">
        <v>1894</v>
      </c>
      <c r="D2" s="6" t="s">
        <v>1895</v>
      </c>
      <c r="E2" s="6" t="s">
        <v>1896</v>
      </c>
    </row>
    <row r="3" ht="14.25" customHeight="1">
      <c r="A3" s="6" t="s">
        <v>1897</v>
      </c>
      <c r="B3" s="6" t="s">
        <v>1898</v>
      </c>
      <c r="C3" s="6" t="s">
        <v>1899</v>
      </c>
      <c r="D3" s="6" t="s">
        <v>1900</v>
      </c>
      <c r="E3" s="6" t="s">
        <v>1896</v>
      </c>
    </row>
    <row r="4" ht="14.25" customHeight="1">
      <c r="A4" s="6" t="s">
        <v>1901</v>
      </c>
      <c r="B4" s="6" t="s">
        <v>1902</v>
      </c>
      <c r="C4" s="6" t="s">
        <v>1903</v>
      </c>
      <c r="D4" s="6" t="s">
        <v>1904</v>
      </c>
      <c r="E4" s="6" t="s">
        <v>1905</v>
      </c>
    </row>
    <row r="5" ht="14.25" customHeight="1">
      <c r="A5" s="6" t="s">
        <v>1906</v>
      </c>
      <c r="B5" s="6" t="s">
        <v>1907</v>
      </c>
      <c r="C5" s="6" t="s">
        <v>1899</v>
      </c>
      <c r="D5" s="6" t="s">
        <v>1908</v>
      </c>
      <c r="E5" s="6" t="s">
        <v>1905</v>
      </c>
    </row>
    <row r="6" ht="14.25" customHeight="1">
      <c r="A6" s="6" t="s">
        <v>1909</v>
      </c>
      <c r="B6" s="6" t="s">
        <v>1910</v>
      </c>
      <c r="C6" s="6" t="s">
        <v>1903</v>
      </c>
      <c r="D6" s="6" t="s">
        <v>1911</v>
      </c>
      <c r="E6" s="6" t="s">
        <v>1912</v>
      </c>
    </row>
    <row r="7" ht="14.25" customHeight="1">
      <c r="A7" s="6" t="s">
        <v>1913</v>
      </c>
      <c r="B7" s="6" t="s">
        <v>1914</v>
      </c>
      <c r="C7" s="6" t="s">
        <v>1899</v>
      </c>
      <c r="D7" s="6" t="s">
        <v>1915</v>
      </c>
      <c r="E7" s="6" t="s">
        <v>1905</v>
      </c>
    </row>
    <row r="8" ht="14.25" customHeight="1">
      <c r="A8" s="6" t="s">
        <v>1916</v>
      </c>
      <c r="B8" s="6" t="s">
        <v>1917</v>
      </c>
      <c r="C8" s="6" t="s">
        <v>1894</v>
      </c>
      <c r="D8" s="6" t="s">
        <v>1918</v>
      </c>
      <c r="E8" s="6" t="s">
        <v>1912</v>
      </c>
    </row>
    <row r="9" ht="14.25" customHeight="1">
      <c r="A9" s="6" t="s">
        <v>1919</v>
      </c>
      <c r="B9" s="6" t="s">
        <v>1920</v>
      </c>
      <c r="C9" s="6" t="s">
        <v>1903</v>
      </c>
      <c r="D9" s="6" t="s">
        <v>1921</v>
      </c>
      <c r="E9" s="6" t="s">
        <v>1912</v>
      </c>
    </row>
    <row r="10" ht="14.25" customHeight="1">
      <c r="A10" s="6" t="s">
        <v>1922</v>
      </c>
      <c r="B10" s="6" t="s">
        <v>1923</v>
      </c>
      <c r="C10" s="6" t="s">
        <v>1924</v>
      </c>
      <c r="D10" s="6" t="s">
        <v>1925</v>
      </c>
      <c r="E10" s="6" t="s">
        <v>1912</v>
      </c>
    </row>
    <row r="11" ht="14.25" customHeight="1">
      <c r="A11" s="6" t="s">
        <v>1926</v>
      </c>
      <c r="B11" s="6" t="s">
        <v>1927</v>
      </c>
      <c r="C11" s="6" t="s">
        <v>1903</v>
      </c>
      <c r="D11" s="6" t="s">
        <v>1928</v>
      </c>
      <c r="E11" s="6" t="s">
        <v>1896</v>
      </c>
    </row>
    <row r="12" ht="14.25" customHeight="1">
      <c r="A12" s="6" t="s">
        <v>1929</v>
      </c>
      <c r="B12" s="6" t="s">
        <v>1930</v>
      </c>
      <c r="C12" s="6" t="s">
        <v>1894</v>
      </c>
      <c r="D12" s="6" t="s">
        <v>1931</v>
      </c>
      <c r="E12" s="6" t="s">
        <v>1912</v>
      </c>
    </row>
    <row r="13" ht="14.25" customHeight="1">
      <c r="A13" s="6" t="s">
        <v>1932</v>
      </c>
      <c r="B13" s="6" t="s">
        <v>1933</v>
      </c>
      <c r="C13" s="6" t="s">
        <v>1903</v>
      </c>
      <c r="D13" s="6" t="s">
        <v>403</v>
      </c>
      <c r="E13" s="6" t="s">
        <v>1912</v>
      </c>
    </row>
    <row r="14" ht="14.25" customHeight="1">
      <c r="A14" s="6" t="s">
        <v>1934</v>
      </c>
      <c r="B14" s="6" t="s">
        <v>1935</v>
      </c>
      <c r="C14" s="6" t="s">
        <v>1899</v>
      </c>
      <c r="D14" s="6" t="s">
        <v>1936</v>
      </c>
      <c r="E14" s="6" t="s">
        <v>1912</v>
      </c>
    </row>
    <row r="15" ht="14.25" customHeight="1">
      <c r="A15" s="6" t="s">
        <v>1937</v>
      </c>
      <c r="B15" s="6" t="s">
        <v>1938</v>
      </c>
      <c r="C15" s="6" t="s">
        <v>1894</v>
      </c>
      <c r="D15" s="6" t="s">
        <v>137</v>
      </c>
      <c r="E15" s="6" t="s">
        <v>1896</v>
      </c>
    </row>
    <row r="16" ht="14.25" customHeight="1">
      <c r="A16" s="6" t="s">
        <v>1939</v>
      </c>
      <c r="B16" s="6" t="s">
        <v>1940</v>
      </c>
      <c r="C16" s="6" t="s">
        <v>1903</v>
      </c>
      <c r="D16" s="6" t="s">
        <v>215</v>
      </c>
      <c r="E16" s="6" t="s">
        <v>1905</v>
      </c>
    </row>
    <row r="17" ht="14.25" customHeight="1">
      <c r="A17" s="6" t="s">
        <v>1941</v>
      </c>
      <c r="B17" s="6" t="s">
        <v>1942</v>
      </c>
      <c r="C17" s="6" t="s">
        <v>1899</v>
      </c>
      <c r="D17" s="6" t="s">
        <v>1943</v>
      </c>
      <c r="E17" s="6" t="s">
        <v>1896</v>
      </c>
    </row>
    <row r="18" ht="14.25" customHeight="1">
      <c r="A18" s="6" t="s">
        <v>1944</v>
      </c>
      <c r="B18" s="6" t="s">
        <v>1945</v>
      </c>
      <c r="C18" s="6" t="s">
        <v>1924</v>
      </c>
      <c r="D18" s="6" t="s">
        <v>1946</v>
      </c>
      <c r="E18" s="6" t="s">
        <v>1896</v>
      </c>
    </row>
    <row r="19" ht="14.25" customHeight="1">
      <c r="A19" s="6" t="s">
        <v>1947</v>
      </c>
      <c r="B19" s="6" t="s">
        <v>1948</v>
      </c>
      <c r="C19" s="6" t="s">
        <v>1899</v>
      </c>
      <c r="D19" s="6" t="s">
        <v>1949</v>
      </c>
      <c r="E19" s="6" t="s">
        <v>1896</v>
      </c>
    </row>
    <row r="20" ht="14.25" customHeight="1">
      <c r="A20" s="6" t="s">
        <v>1950</v>
      </c>
      <c r="B20" s="6" t="s">
        <v>1951</v>
      </c>
      <c r="C20" s="6" t="s">
        <v>1894</v>
      </c>
      <c r="D20" s="6" t="s">
        <v>1952</v>
      </c>
      <c r="E20" s="6" t="s">
        <v>1896</v>
      </c>
    </row>
    <row r="21" ht="14.25" customHeight="1">
      <c r="A21" s="6" t="s">
        <v>1953</v>
      </c>
      <c r="B21" s="6" t="s">
        <v>1954</v>
      </c>
      <c r="C21" s="6" t="s">
        <v>1894</v>
      </c>
      <c r="D21" s="6" t="s">
        <v>1955</v>
      </c>
      <c r="E21" s="6" t="s">
        <v>1912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57"/>
    <col customWidth="1" min="2" max="2" width="20.14"/>
    <col customWidth="1" min="3" max="3" width="17.57"/>
    <col customWidth="1" min="4" max="4" width="16.0"/>
    <col customWidth="1" min="5" max="5" width="13.86"/>
    <col customWidth="1" min="6" max="6" width="14.0"/>
    <col customWidth="1" min="7" max="7" width="15.43"/>
    <col customWidth="1" min="8" max="8" width="13.86"/>
    <col customWidth="1" min="9" max="9" width="19.14"/>
    <col customWidth="1" min="10" max="10" width="18.57"/>
    <col customWidth="1" min="11" max="11" width="17.71"/>
    <col customWidth="1" min="12" max="26" width="8.71"/>
  </cols>
  <sheetData>
    <row r="1" ht="14.25" customHeight="1">
      <c r="A1" s="10" t="s">
        <v>1956</v>
      </c>
      <c r="B1" s="10" t="s">
        <v>1957</v>
      </c>
      <c r="C1" s="10" t="s">
        <v>0</v>
      </c>
      <c r="D1" s="10" t="s">
        <v>1552</v>
      </c>
      <c r="E1" s="10" t="s">
        <v>1888</v>
      </c>
      <c r="F1" s="10" t="s">
        <v>1958</v>
      </c>
      <c r="G1" s="10" t="s">
        <v>1959</v>
      </c>
      <c r="H1" s="10" t="s">
        <v>1960</v>
      </c>
      <c r="I1" s="10" t="s">
        <v>1961</v>
      </c>
      <c r="J1" s="10" t="s">
        <v>1962</v>
      </c>
      <c r="K1" s="16" t="s">
        <v>1963</v>
      </c>
    </row>
    <row r="2" ht="14.25" customHeight="1">
      <c r="A2" s="6" t="s">
        <v>1964</v>
      </c>
      <c r="B2" s="17">
        <v>45480.0</v>
      </c>
      <c r="C2" s="6" t="s">
        <v>1288</v>
      </c>
      <c r="D2" s="6" t="s">
        <v>1879</v>
      </c>
      <c r="E2" s="6" t="s">
        <v>1906</v>
      </c>
      <c r="F2" s="6">
        <v>1.0</v>
      </c>
      <c r="G2" s="13">
        <v>218.04</v>
      </c>
      <c r="H2" s="6">
        <v>0.09</v>
      </c>
      <c r="I2" s="6" t="s">
        <v>1965</v>
      </c>
      <c r="J2" s="13">
        <v>198.4164</v>
      </c>
      <c r="K2" s="6" t="str">
        <f t="shared" ref="K2:K2001" si="1">IFS(J2&gt;2500,"High Earnings",J2&gt;1000,"Average Earnings", J2&gt;0, "Low Earnings")</f>
        <v>Low Earnings</v>
      </c>
    </row>
    <row r="3" ht="14.25" customHeight="1">
      <c r="A3" s="6" t="s">
        <v>1966</v>
      </c>
      <c r="B3" s="17">
        <v>45285.0</v>
      </c>
      <c r="C3" s="6" t="s">
        <v>1456</v>
      </c>
      <c r="D3" s="6" t="s">
        <v>1810</v>
      </c>
      <c r="E3" s="6" t="s">
        <v>1947</v>
      </c>
      <c r="F3" s="6">
        <v>3.0</v>
      </c>
      <c r="G3" s="13">
        <v>104.47</v>
      </c>
      <c r="H3" s="6">
        <v>0.27</v>
      </c>
      <c r="I3" s="6" t="s">
        <v>1967</v>
      </c>
      <c r="J3" s="13">
        <v>228.7893</v>
      </c>
      <c r="K3" s="6" t="str">
        <f t="shared" si="1"/>
        <v>Low Earnings</v>
      </c>
    </row>
    <row r="4" ht="14.25" customHeight="1">
      <c r="A4" s="6" t="s">
        <v>1968</v>
      </c>
      <c r="B4" s="17">
        <v>45335.0</v>
      </c>
      <c r="C4" s="6" t="s">
        <v>249</v>
      </c>
      <c r="D4" s="6" t="s">
        <v>1653</v>
      </c>
      <c r="E4" s="6" t="s">
        <v>1939</v>
      </c>
      <c r="F4" s="6">
        <v>1.0</v>
      </c>
      <c r="G4" s="13">
        <v>278.63</v>
      </c>
      <c r="H4" s="6">
        <v>0.07</v>
      </c>
      <c r="I4" s="6" t="s">
        <v>1965</v>
      </c>
      <c r="J4" s="13">
        <v>259.1259</v>
      </c>
      <c r="K4" s="6" t="str">
        <f t="shared" si="1"/>
        <v>Low Earnings</v>
      </c>
    </row>
    <row r="5" ht="14.25" customHeight="1">
      <c r="A5" s="6" t="s">
        <v>1969</v>
      </c>
      <c r="B5" s="17">
        <v>45677.0</v>
      </c>
      <c r="C5" s="6" t="s">
        <v>1170</v>
      </c>
      <c r="D5" s="6" t="s">
        <v>1682</v>
      </c>
      <c r="E5" s="6" t="s">
        <v>1913</v>
      </c>
      <c r="F5" s="6">
        <v>2.0</v>
      </c>
      <c r="G5" s="13">
        <v>401.5</v>
      </c>
      <c r="H5" s="6">
        <v>0.18</v>
      </c>
      <c r="I5" s="6" t="s">
        <v>1965</v>
      </c>
      <c r="J5" s="13">
        <v>658.46</v>
      </c>
      <c r="K5" s="6" t="str">
        <f t="shared" si="1"/>
        <v>Low Earnings</v>
      </c>
    </row>
    <row r="6" ht="14.25" customHeight="1">
      <c r="A6" s="6" t="s">
        <v>1970</v>
      </c>
      <c r="B6" s="17">
        <v>45456.0</v>
      </c>
      <c r="C6" s="6" t="s">
        <v>637</v>
      </c>
      <c r="D6" s="6" t="s">
        <v>1764</v>
      </c>
      <c r="E6" s="6" t="s">
        <v>1901</v>
      </c>
      <c r="F6" s="6">
        <v>2.0</v>
      </c>
      <c r="G6" s="13">
        <v>909.51</v>
      </c>
      <c r="H6" s="6">
        <v>0.27</v>
      </c>
      <c r="I6" s="6" t="s">
        <v>1965</v>
      </c>
      <c r="J6" s="13">
        <v>1327.8846</v>
      </c>
      <c r="K6" s="6" t="str">
        <f t="shared" si="1"/>
        <v>Average Earnings</v>
      </c>
    </row>
    <row r="7" ht="14.25" customHeight="1">
      <c r="A7" s="6" t="s">
        <v>1971</v>
      </c>
      <c r="B7" s="17">
        <v>45776.0</v>
      </c>
      <c r="C7" s="6" t="s">
        <v>206</v>
      </c>
      <c r="D7" s="6" t="s">
        <v>1795</v>
      </c>
      <c r="E7" s="6" t="s">
        <v>1939</v>
      </c>
      <c r="F7" s="6">
        <v>4.0</v>
      </c>
      <c r="G7" s="13">
        <v>593.84</v>
      </c>
      <c r="H7" s="6">
        <v>0.24</v>
      </c>
      <c r="I7" s="6" t="s">
        <v>1967</v>
      </c>
      <c r="J7" s="13">
        <v>1805.2736</v>
      </c>
      <c r="K7" s="6" t="str">
        <f t="shared" si="1"/>
        <v>Average Earnings</v>
      </c>
    </row>
    <row r="8" ht="14.25" customHeight="1">
      <c r="A8" s="6" t="s">
        <v>1972</v>
      </c>
      <c r="B8" s="17">
        <v>45566.0</v>
      </c>
      <c r="C8" s="6" t="s">
        <v>392</v>
      </c>
      <c r="D8" s="6" t="s">
        <v>1807</v>
      </c>
      <c r="E8" s="6" t="s">
        <v>1929</v>
      </c>
      <c r="F8" s="6">
        <v>3.0</v>
      </c>
      <c r="G8" s="13">
        <v>909.11</v>
      </c>
      <c r="H8" s="6">
        <v>0.23</v>
      </c>
      <c r="I8" s="6" t="s">
        <v>1973</v>
      </c>
      <c r="J8" s="13">
        <v>2100.0441</v>
      </c>
      <c r="K8" s="6" t="str">
        <f t="shared" si="1"/>
        <v>Average Earnings</v>
      </c>
    </row>
    <row r="9" ht="14.25" customHeight="1">
      <c r="A9" s="6" t="s">
        <v>1974</v>
      </c>
      <c r="B9" s="17">
        <v>45542.0</v>
      </c>
      <c r="C9" s="6" t="s">
        <v>1259</v>
      </c>
      <c r="D9" s="6" t="s">
        <v>1653</v>
      </c>
      <c r="E9" s="6" t="s">
        <v>1897</v>
      </c>
      <c r="F9" s="6">
        <v>4.0</v>
      </c>
      <c r="G9" s="13">
        <v>996.85</v>
      </c>
      <c r="H9" s="6">
        <v>0.24</v>
      </c>
      <c r="I9" s="6" t="s">
        <v>1967</v>
      </c>
      <c r="J9" s="13">
        <v>3030.424</v>
      </c>
      <c r="K9" s="6" t="str">
        <f t="shared" si="1"/>
        <v>High Earnings</v>
      </c>
    </row>
    <row r="10" ht="14.25" customHeight="1">
      <c r="A10" s="6" t="s">
        <v>1975</v>
      </c>
      <c r="B10" s="17">
        <v>45834.0</v>
      </c>
      <c r="C10" s="6" t="s">
        <v>963</v>
      </c>
      <c r="D10" s="6" t="s">
        <v>1560</v>
      </c>
      <c r="E10" s="6" t="s">
        <v>1947</v>
      </c>
      <c r="F10" s="6">
        <v>1.0</v>
      </c>
      <c r="G10" s="13">
        <v>522.69</v>
      </c>
      <c r="H10" s="6">
        <v>0.06</v>
      </c>
      <c r="I10" s="6" t="s">
        <v>1973</v>
      </c>
      <c r="J10" s="13">
        <v>491.3286000000001</v>
      </c>
      <c r="K10" s="6" t="str">
        <f t="shared" si="1"/>
        <v>Low Earnings</v>
      </c>
    </row>
    <row r="11" ht="14.25" customHeight="1">
      <c r="A11" s="6" t="s">
        <v>1976</v>
      </c>
      <c r="B11" s="17">
        <v>45405.0</v>
      </c>
      <c r="C11" s="6" t="s">
        <v>649</v>
      </c>
      <c r="D11" s="6" t="s">
        <v>1749</v>
      </c>
      <c r="E11" s="6" t="s">
        <v>1906</v>
      </c>
      <c r="F11" s="6">
        <v>3.0</v>
      </c>
      <c r="G11" s="13">
        <v>261.05</v>
      </c>
      <c r="H11" s="6">
        <v>0.12</v>
      </c>
      <c r="I11" s="6" t="s">
        <v>1967</v>
      </c>
      <c r="J11" s="13">
        <v>689.1720000000001</v>
      </c>
      <c r="K11" s="6" t="str">
        <f t="shared" si="1"/>
        <v>Low Earnings</v>
      </c>
    </row>
    <row r="12" ht="14.25" customHeight="1">
      <c r="A12" s="6" t="s">
        <v>1977</v>
      </c>
      <c r="B12" s="17">
        <v>45918.0</v>
      </c>
      <c r="C12" s="6" t="s">
        <v>322</v>
      </c>
      <c r="D12" s="6" t="s">
        <v>1650</v>
      </c>
      <c r="E12" s="6" t="s">
        <v>1947</v>
      </c>
      <c r="F12" s="6">
        <v>3.0</v>
      </c>
      <c r="G12" s="13">
        <v>644.73</v>
      </c>
      <c r="H12" s="6">
        <v>0.01</v>
      </c>
      <c r="I12" s="6" t="s">
        <v>1973</v>
      </c>
      <c r="J12" s="13">
        <v>1914.8481</v>
      </c>
      <c r="K12" s="6" t="str">
        <f t="shared" si="1"/>
        <v>Average Earnings</v>
      </c>
    </row>
    <row r="13" ht="14.25" customHeight="1">
      <c r="A13" s="6" t="s">
        <v>1978</v>
      </c>
      <c r="B13" s="17">
        <v>45217.0</v>
      </c>
      <c r="C13" s="6" t="s">
        <v>660</v>
      </c>
      <c r="D13" s="6" t="s">
        <v>1813</v>
      </c>
      <c r="E13" s="6" t="s">
        <v>1901</v>
      </c>
      <c r="F13" s="6">
        <v>2.0</v>
      </c>
      <c r="G13" s="13">
        <v>541.52</v>
      </c>
      <c r="H13" s="6">
        <v>0.26</v>
      </c>
      <c r="I13" s="6" t="s">
        <v>1967</v>
      </c>
      <c r="J13" s="13">
        <v>801.4495999999999</v>
      </c>
      <c r="K13" s="6" t="str">
        <f t="shared" si="1"/>
        <v>Low Earnings</v>
      </c>
    </row>
    <row r="14" ht="14.25" customHeight="1">
      <c r="A14" s="6" t="s">
        <v>1979</v>
      </c>
      <c r="B14" s="17">
        <v>45259.0</v>
      </c>
      <c r="C14" s="6" t="s">
        <v>1338</v>
      </c>
      <c r="D14" s="6" t="s">
        <v>1776</v>
      </c>
      <c r="E14" s="6" t="s">
        <v>1929</v>
      </c>
      <c r="F14" s="6">
        <v>1.0</v>
      </c>
      <c r="G14" s="13">
        <v>395.18</v>
      </c>
      <c r="H14" s="6">
        <v>0.09</v>
      </c>
      <c r="I14" s="6" t="s">
        <v>1967</v>
      </c>
      <c r="J14" s="13">
        <v>359.6138</v>
      </c>
      <c r="K14" s="6" t="str">
        <f t="shared" si="1"/>
        <v>Low Earnings</v>
      </c>
    </row>
    <row r="15" ht="14.25" customHeight="1">
      <c r="A15" s="6" t="s">
        <v>1980</v>
      </c>
      <c r="B15" s="17">
        <v>45740.0</v>
      </c>
      <c r="C15" s="6" t="s">
        <v>364</v>
      </c>
      <c r="D15" s="6" t="s">
        <v>1595</v>
      </c>
      <c r="E15" s="6" t="s">
        <v>1922</v>
      </c>
      <c r="F15" s="6">
        <v>4.0</v>
      </c>
      <c r="G15" s="13">
        <v>56.37</v>
      </c>
      <c r="H15" s="6">
        <v>0.17</v>
      </c>
      <c r="I15" s="6" t="s">
        <v>1965</v>
      </c>
      <c r="J15" s="13">
        <v>187.1484</v>
      </c>
      <c r="K15" s="6" t="str">
        <f t="shared" si="1"/>
        <v>Low Earnings</v>
      </c>
    </row>
    <row r="16" ht="14.25" customHeight="1">
      <c r="A16" s="6" t="s">
        <v>1981</v>
      </c>
      <c r="B16" s="17">
        <v>45453.0</v>
      </c>
      <c r="C16" s="6" t="s">
        <v>312</v>
      </c>
      <c r="D16" s="6" t="s">
        <v>1657</v>
      </c>
      <c r="E16" s="6" t="s">
        <v>1937</v>
      </c>
      <c r="F16" s="6">
        <v>3.0</v>
      </c>
      <c r="G16" s="13">
        <v>359.56</v>
      </c>
      <c r="H16" s="6">
        <v>0.17</v>
      </c>
      <c r="I16" s="6" t="s">
        <v>1967</v>
      </c>
      <c r="J16" s="13">
        <v>895.3044</v>
      </c>
      <c r="K16" s="6" t="str">
        <f t="shared" si="1"/>
        <v>Low Earnings</v>
      </c>
    </row>
    <row r="17" ht="14.25" customHeight="1">
      <c r="A17" s="6" t="s">
        <v>1982</v>
      </c>
      <c r="B17" s="17">
        <v>45908.0</v>
      </c>
      <c r="C17" s="6" t="s">
        <v>693</v>
      </c>
      <c r="D17" s="6" t="s">
        <v>1825</v>
      </c>
      <c r="E17" s="6" t="s">
        <v>1926</v>
      </c>
      <c r="F17" s="6">
        <v>4.0</v>
      </c>
      <c r="G17" s="13">
        <v>202.59</v>
      </c>
      <c r="H17" s="6">
        <v>0.06</v>
      </c>
      <c r="I17" s="6" t="s">
        <v>1973</v>
      </c>
      <c r="J17" s="13">
        <v>761.7384</v>
      </c>
      <c r="K17" s="6" t="str">
        <f t="shared" si="1"/>
        <v>Low Earnings</v>
      </c>
    </row>
    <row r="18" ht="14.25" customHeight="1">
      <c r="A18" s="6" t="s">
        <v>1983</v>
      </c>
      <c r="B18" s="17">
        <v>45601.0</v>
      </c>
      <c r="C18" s="6" t="s">
        <v>35</v>
      </c>
      <c r="D18" s="6" t="s">
        <v>1831</v>
      </c>
      <c r="E18" s="6" t="s">
        <v>1913</v>
      </c>
      <c r="F18" s="6">
        <v>2.0</v>
      </c>
      <c r="G18" s="13">
        <v>358.36</v>
      </c>
      <c r="H18" s="6">
        <v>0.05</v>
      </c>
      <c r="I18" s="6" t="s">
        <v>1967</v>
      </c>
      <c r="J18" s="13">
        <v>680.884</v>
      </c>
      <c r="K18" s="6" t="str">
        <f t="shared" si="1"/>
        <v>Low Earnings</v>
      </c>
    </row>
    <row r="19" ht="14.25" customHeight="1">
      <c r="A19" s="6" t="s">
        <v>1984</v>
      </c>
      <c r="B19" s="17">
        <v>45535.0</v>
      </c>
      <c r="C19" s="6" t="s">
        <v>272</v>
      </c>
      <c r="D19" s="6" t="s">
        <v>1694</v>
      </c>
      <c r="E19" s="6" t="s">
        <v>1950</v>
      </c>
      <c r="F19" s="6">
        <v>4.0</v>
      </c>
      <c r="G19" s="13">
        <v>85.62</v>
      </c>
      <c r="H19" s="6">
        <v>0.28</v>
      </c>
      <c r="I19" s="6" t="s">
        <v>1973</v>
      </c>
      <c r="J19" s="13">
        <v>246.5856</v>
      </c>
      <c r="K19" s="6" t="str">
        <f t="shared" si="1"/>
        <v>Low Earnings</v>
      </c>
    </row>
    <row r="20" ht="14.25" customHeight="1">
      <c r="A20" s="6" t="s">
        <v>1985</v>
      </c>
      <c r="B20" s="17">
        <v>45459.0</v>
      </c>
      <c r="C20" s="6" t="s">
        <v>622</v>
      </c>
      <c r="D20" s="6" t="s">
        <v>1590</v>
      </c>
      <c r="E20" s="6" t="s">
        <v>1947</v>
      </c>
      <c r="F20" s="6">
        <v>4.0</v>
      </c>
      <c r="G20" s="13">
        <v>929.26</v>
      </c>
      <c r="H20" s="6">
        <v>0.23</v>
      </c>
      <c r="I20" s="6" t="s">
        <v>1967</v>
      </c>
      <c r="J20" s="13">
        <v>2862.1208</v>
      </c>
      <c r="K20" s="6" t="str">
        <f t="shared" si="1"/>
        <v>High Earnings</v>
      </c>
    </row>
    <row r="21" ht="14.25" customHeight="1">
      <c r="A21" s="6" t="s">
        <v>1986</v>
      </c>
      <c r="B21" s="17">
        <v>45681.0</v>
      </c>
      <c r="C21" s="6" t="s">
        <v>990</v>
      </c>
      <c r="D21" s="6" t="s">
        <v>1767</v>
      </c>
      <c r="E21" s="6" t="s">
        <v>1937</v>
      </c>
      <c r="F21" s="6">
        <v>2.0</v>
      </c>
      <c r="G21" s="13">
        <v>92.64</v>
      </c>
      <c r="H21" s="6">
        <v>0.14</v>
      </c>
      <c r="I21" s="6" t="s">
        <v>1973</v>
      </c>
      <c r="J21" s="13">
        <v>159.3408</v>
      </c>
      <c r="K21" s="6" t="str">
        <f t="shared" si="1"/>
        <v>Low Earnings</v>
      </c>
    </row>
    <row r="22" ht="14.25" customHeight="1">
      <c r="A22" s="6" t="s">
        <v>1987</v>
      </c>
      <c r="B22" s="17">
        <v>45725.0</v>
      </c>
      <c r="C22" s="6" t="s">
        <v>809</v>
      </c>
      <c r="D22" s="6" t="s">
        <v>1773</v>
      </c>
      <c r="E22" s="6" t="s">
        <v>1909</v>
      </c>
      <c r="F22" s="6">
        <v>4.0</v>
      </c>
      <c r="G22" s="13">
        <v>139.05</v>
      </c>
      <c r="H22" s="6">
        <v>0.29</v>
      </c>
      <c r="I22" s="6" t="s">
        <v>1973</v>
      </c>
      <c r="J22" s="13">
        <v>394.902</v>
      </c>
      <c r="K22" s="6" t="str">
        <f t="shared" si="1"/>
        <v>Low Earnings</v>
      </c>
    </row>
    <row r="23" ht="14.25" customHeight="1">
      <c r="A23" s="6" t="s">
        <v>1988</v>
      </c>
      <c r="B23" s="17">
        <v>45461.0</v>
      </c>
      <c r="C23" s="6" t="s">
        <v>486</v>
      </c>
      <c r="D23" s="6" t="s">
        <v>1746</v>
      </c>
      <c r="E23" s="6" t="s">
        <v>1909</v>
      </c>
      <c r="F23" s="6">
        <v>3.0</v>
      </c>
      <c r="G23" s="13">
        <v>155.87</v>
      </c>
      <c r="H23" s="6">
        <v>0.03</v>
      </c>
      <c r="I23" s="6" t="s">
        <v>1973</v>
      </c>
      <c r="J23" s="13">
        <v>453.5817</v>
      </c>
      <c r="K23" s="6" t="str">
        <f t="shared" si="1"/>
        <v>Low Earnings</v>
      </c>
    </row>
    <row r="24" ht="14.25" customHeight="1">
      <c r="A24" s="6" t="s">
        <v>1989</v>
      </c>
      <c r="B24" s="17">
        <v>45837.0</v>
      </c>
      <c r="C24" s="6" t="s">
        <v>1384</v>
      </c>
      <c r="D24" s="6" t="s">
        <v>1685</v>
      </c>
      <c r="E24" s="6" t="s">
        <v>1944</v>
      </c>
      <c r="F24" s="6">
        <v>4.0</v>
      </c>
      <c r="G24" s="13">
        <v>115.42</v>
      </c>
      <c r="H24" s="6">
        <v>0.03</v>
      </c>
      <c r="I24" s="6" t="s">
        <v>1973</v>
      </c>
      <c r="J24" s="13">
        <v>447.8296</v>
      </c>
      <c r="K24" s="6" t="str">
        <f t="shared" si="1"/>
        <v>Low Earnings</v>
      </c>
    </row>
    <row r="25" ht="14.25" customHeight="1">
      <c r="A25" s="6" t="s">
        <v>1990</v>
      </c>
      <c r="B25" s="17">
        <v>45823.0</v>
      </c>
      <c r="C25" s="6" t="s">
        <v>431</v>
      </c>
      <c r="D25" s="6" t="s">
        <v>1743</v>
      </c>
      <c r="E25" s="6" t="s">
        <v>1916</v>
      </c>
      <c r="F25" s="6">
        <v>3.0</v>
      </c>
      <c r="G25" s="13">
        <v>593.62</v>
      </c>
      <c r="H25" s="6">
        <v>0.08</v>
      </c>
      <c r="I25" s="6" t="s">
        <v>1965</v>
      </c>
      <c r="J25" s="13">
        <v>1638.3912</v>
      </c>
      <c r="K25" s="6" t="str">
        <f t="shared" si="1"/>
        <v>Average Earnings</v>
      </c>
    </row>
    <row r="26" ht="14.25" customHeight="1">
      <c r="A26" s="6" t="s">
        <v>1991</v>
      </c>
      <c r="B26" s="17">
        <v>45733.0</v>
      </c>
      <c r="C26" s="6" t="s">
        <v>1122</v>
      </c>
      <c r="D26" s="6" t="s">
        <v>1720</v>
      </c>
      <c r="E26" s="6" t="s">
        <v>1909</v>
      </c>
      <c r="F26" s="6">
        <v>2.0</v>
      </c>
      <c r="G26" s="13">
        <v>825.04</v>
      </c>
      <c r="H26" s="6">
        <v>0.2</v>
      </c>
      <c r="I26" s="6" t="s">
        <v>1965</v>
      </c>
      <c r="J26" s="13">
        <v>1320.064</v>
      </c>
      <c r="K26" s="6" t="str">
        <f t="shared" si="1"/>
        <v>Average Earnings</v>
      </c>
    </row>
    <row r="27" ht="14.25" customHeight="1">
      <c r="A27" s="6" t="s">
        <v>1992</v>
      </c>
      <c r="B27" s="17">
        <v>45552.0</v>
      </c>
      <c r="C27" s="6" t="s">
        <v>355</v>
      </c>
      <c r="D27" s="6" t="s">
        <v>1828</v>
      </c>
      <c r="E27" s="6" t="s">
        <v>1934</v>
      </c>
      <c r="F27" s="6">
        <v>2.0</v>
      </c>
      <c r="G27" s="13">
        <v>471.88</v>
      </c>
      <c r="H27" s="6">
        <v>0.24</v>
      </c>
      <c r="I27" s="6" t="s">
        <v>1967</v>
      </c>
      <c r="J27" s="13">
        <v>717.2576</v>
      </c>
      <c r="K27" s="6" t="str">
        <f t="shared" si="1"/>
        <v>Low Earnings</v>
      </c>
    </row>
    <row r="28" ht="14.25" customHeight="1">
      <c r="A28" s="6" t="s">
        <v>1993</v>
      </c>
      <c r="B28" s="17">
        <v>45322.0</v>
      </c>
      <c r="C28" s="6" t="s">
        <v>1447</v>
      </c>
      <c r="D28" s="6" t="s">
        <v>1657</v>
      </c>
      <c r="E28" s="6" t="s">
        <v>1937</v>
      </c>
      <c r="F28" s="6">
        <v>1.0</v>
      </c>
      <c r="G28" s="13">
        <v>963.76</v>
      </c>
      <c r="H28" s="6">
        <v>0.14</v>
      </c>
      <c r="I28" s="6" t="s">
        <v>1967</v>
      </c>
      <c r="J28" s="13">
        <v>828.8335999999999</v>
      </c>
      <c r="K28" s="6" t="str">
        <f t="shared" si="1"/>
        <v>Low Earnings</v>
      </c>
    </row>
    <row r="29" ht="14.25" customHeight="1">
      <c r="A29" s="6" t="s">
        <v>1994</v>
      </c>
      <c r="B29" s="17">
        <v>45415.0</v>
      </c>
      <c r="C29" s="6" t="s">
        <v>941</v>
      </c>
      <c r="D29" s="6" t="s">
        <v>1752</v>
      </c>
      <c r="E29" s="6" t="s">
        <v>1916</v>
      </c>
      <c r="F29" s="6">
        <v>1.0</v>
      </c>
      <c r="G29" s="13">
        <v>238.24</v>
      </c>
      <c r="H29" s="6">
        <v>0.12</v>
      </c>
      <c r="I29" s="6" t="s">
        <v>1967</v>
      </c>
      <c r="J29" s="13">
        <v>209.6512</v>
      </c>
      <c r="K29" s="6" t="str">
        <f t="shared" si="1"/>
        <v>Low Earnings</v>
      </c>
    </row>
    <row r="30" ht="14.25" customHeight="1">
      <c r="A30" s="6" t="s">
        <v>1995</v>
      </c>
      <c r="B30" s="17">
        <v>45644.0</v>
      </c>
      <c r="C30" s="6" t="s">
        <v>1427</v>
      </c>
      <c r="D30" s="6" t="s">
        <v>1834</v>
      </c>
      <c r="E30" s="6" t="s">
        <v>1944</v>
      </c>
      <c r="F30" s="6">
        <v>1.0</v>
      </c>
      <c r="G30" s="13">
        <v>756.63</v>
      </c>
      <c r="H30" s="6">
        <v>0.04</v>
      </c>
      <c r="I30" s="6" t="s">
        <v>1967</v>
      </c>
      <c r="J30" s="13">
        <v>726.3648</v>
      </c>
      <c r="K30" s="6" t="str">
        <f t="shared" si="1"/>
        <v>Low Earnings</v>
      </c>
    </row>
    <row r="31" ht="14.25" customHeight="1">
      <c r="A31" s="6" t="s">
        <v>1996</v>
      </c>
      <c r="B31" s="17">
        <v>45845.0</v>
      </c>
      <c r="C31" s="6" t="s">
        <v>92</v>
      </c>
      <c r="D31" s="6" t="s">
        <v>1867</v>
      </c>
      <c r="E31" s="6" t="s">
        <v>1919</v>
      </c>
      <c r="F31" s="6">
        <v>3.0</v>
      </c>
      <c r="G31" s="13">
        <v>159.76</v>
      </c>
      <c r="H31" s="6">
        <v>0.22</v>
      </c>
      <c r="I31" s="6" t="s">
        <v>1965</v>
      </c>
      <c r="J31" s="13">
        <v>373.8384</v>
      </c>
      <c r="K31" s="6" t="str">
        <f t="shared" si="1"/>
        <v>Low Earnings</v>
      </c>
    </row>
    <row r="32" ht="14.25" customHeight="1">
      <c r="A32" s="6" t="s">
        <v>1997</v>
      </c>
      <c r="B32" s="17">
        <v>45354.0</v>
      </c>
      <c r="C32" s="6" t="s">
        <v>1167</v>
      </c>
      <c r="D32" s="6" t="s">
        <v>1873</v>
      </c>
      <c r="E32" s="6" t="s">
        <v>1922</v>
      </c>
      <c r="F32" s="6">
        <v>1.0</v>
      </c>
      <c r="G32" s="13">
        <v>329.94</v>
      </c>
      <c r="H32" s="6">
        <v>0.14</v>
      </c>
      <c r="I32" s="6" t="s">
        <v>1973</v>
      </c>
      <c r="J32" s="13">
        <v>283.7484</v>
      </c>
      <c r="K32" s="6" t="str">
        <f t="shared" si="1"/>
        <v>Low Earnings</v>
      </c>
    </row>
    <row r="33" ht="14.25" customHeight="1">
      <c r="A33" s="6" t="s">
        <v>1998</v>
      </c>
      <c r="B33" s="17">
        <v>45720.0</v>
      </c>
      <c r="C33" s="6" t="s">
        <v>232</v>
      </c>
      <c r="D33" s="6" t="s">
        <v>1630</v>
      </c>
      <c r="E33" s="6" t="s">
        <v>1922</v>
      </c>
      <c r="F33" s="6">
        <v>1.0</v>
      </c>
      <c r="G33" s="13">
        <v>234.06</v>
      </c>
      <c r="H33" s="6">
        <v>0.11</v>
      </c>
      <c r="I33" s="6" t="s">
        <v>1967</v>
      </c>
      <c r="J33" s="13">
        <v>208.3134</v>
      </c>
      <c r="K33" s="6" t="str">
        <f t="shared" si="1"/>
        <v>Low Earnings</v>
      </c>
    </row>
    <row r="34" ht="14.25" customHeight="1">
      <c r="A34" s="6" t="s">
        <v>1999</v>
      </c>
      <c r="B34" s="17">
        <v>45278.0</v>
      </c>
      <c r="C34" s="6" t="s">
        <v>1014</v>
      </c>
      <c r="D34" s="6" t="s">
        <v>1831</v>
      </c>
      <c r="E34" s="6" t="s">
        <v>1892</v>
      </c>
      <c r="F34" s="6">
        <v>2.0</v>
      </c>
      <c r="G34" s="13">
        <v>773.75</v>
      </c>
      <c r="H34" s="6">
        <v>0.16</v>
      </c>
      <c r="I34" s="6" t="s">
        <v>1967</v>
      </c>
      <c r="J34" s="13">
        <v>1299.9</v>
      </c>
      <c r="K34" s="6" t="str">
        <f t="shared" si="1"/>
        <v>Average Earnings</v>
      </c>
    </row>
    <row r="35" ht="14.25" customHeight="1">
      <c r="A35" s="6" t="s">
        <v>2000</v>
      </c>
      <c r="B35" s="17">
        <v>45422.0</v>
      </c>
      <c r="C35" s="6" t="s">
        <v>1368</v>
      </c>
      <c r="D35" s="6" t="s">
        <v>1743</v>
      </c>
      <c r="E35" s="6" t="s">
        <v>1950</v>
      </c>
      <c r="F35" s="6">
        <v>1.0</v>
      </c>
      <c r="G35" s="13">
        <v>73.88</v>
      </c>
      <c r="H35" s="6">
        <v>0.04</v>
      </c>
      <c r="I35" s="6" t="s">
        <v>1965</v>
      </c>
      <c r="J35" s="13">
        <v>70.92479999999999</v>
      </c>
      <c r="K35" s="6" t="str">
        <f t="shared" si="1"/>
        <v>Low Earnings</v>
      </c>
    </row>
    <row r="36" ht="14.25" customHeight="1">
      <c r="A36" s="6" t="s">
        <v>2001</v>
      </c>
      <c r="B36" s="17">
        <v>45337.0</v>
      </c>
      <c r="C36" s="6" t="s">
        <v>39</v>
      </c>
      <c r="D36" s="6" t="s">
        <v>1846</v>
      </c>
      <c r="E36" s="6" t="s">
        <v>1950</v>
      </c>
      <c r="F36" s="6">
        <v>1.0</v>
      </c>
      <c r="G36" s="13">
        <v>859.3</v>
      </c>
      <c r="H36" s="6">
        <v>0.16</v>
      </c>
      <c r="I36" s="6" t="s">
        <v>1967</v>
      </c>
      <c r="J36" s="13">
        <v>721.8119999999999</v>
      </c>
      <c r="K36" s="6" t="str">
        <f t="shared" si="1"/>
        <v>Low Earnings</v>
      </c>
    </row>
    <row r="37" ht="14.25" customHeight="1">
      <c r="A37" s="6" t="s">
        <v>2002</v>
      </c>
      <c r="B37" s="17">
        <v>45564.0</v>
      </c>
      <c r="C37" s="6" t="s">
        <v>453</v>
      </c>
      <c r="D37" s="6" t="s">
        <v>1831</v>
      </c>
      <c r="E37" s="6" t="s">
        <v>1916</v>
      </c>
      <c r="F37" s="6">
        <v>4.0</v>
      </c>
      <c r="G37" s="13">
        <v>762.43</v>
      </c>
      <c r="H37" s="6">
        <v>0.05</v>
      </c>
      <c r="I37" s="6" t="s">
        <v>1965</v>
      </c>
      <c r="J37" s="13">
        <v>2897.233999999999</v>
      </c>
      <c r="K37" s="6" t="str">
        <f t="shared" si="1"/>
        <v>High Earnings</v>
      </c>
    </row>
    <row r="38" ht="14.25" customHeight="1">
      <c r="A38" s="6" t="s">
        <v>2003</v>
      </c>
      <c r="B38" s="17">
        <v>45907.0</v>
      </c>
      <c r="C38" s="6" t="s">
        <v>613</v>
      </c>
      <c r="D38" s="6" t="s">
        <v>1685</v>
      </c>
      <c r="E38" s="6" t="s">
        <v>1909</v>
      </c>
      <c r="F38" s="6">
        <v>4.0</v>
      </c>
      <c r="G38" s="13">
        <v>925.19</v>
      </c>
      <c r="H38" s="6">
        <v>0.19</v>
      </c>
      <c r="I38" s="6" t="s">
        <v>1967</v>
      </c>
      <c r="J38" s="13">
        <v>2997.615600000001</v>
      </c>
      <c r="K38" s="6" t="str">
        <f t="shared" si="1"/>
        <v>High Earnings</v>
      </c>
    </row>
    <row r="39" ht="14.25" customHeight="1">
      <c r="A39" s="6" t="s">
        <v>2004</v>
      </c>
      <c r="B39" s="17">
        <v>45424.0</v>
      </c>
      <c r="C39" s="6" t="s">
        <v>437</v>
      </c>
      <c r="D39" s="6" t="s">
        <v>1807</v>
      </c>
      <c r="E39" s="6" t="s">
        <v>1892</v>
      </c>
      <c r="F39" s="6">
        <v>1.0</v>
      </c>
      <c r="G39" s="13">
        <v>328.51</v>
      </c>
      <c r="H39" s="6">
        <v>0.2</v>
      </c>
      <c r="I39" s="6" t="s">
        <v>1973</v>
      </c>
      <c r="J39" s="13">
        <v>262.808</v>
      </c>
      <c r="K39" s="6" t="str">
        <f t="shared" si="1"/>
        <v>Low Earnings</v>
      </c>
    </row>
    <row r="40" ht="14.25" customHeight="1">
      <c r="A40" s="6" t="s">
        <v>2005</v>
      </c>
      <c r="B40" s="17">
        <v>45719.0</v>
      </c>
      <c r="C40" s="6" t="s">
        <v>887</v>
      </c>
      <c r="D40" s="6" t="s">
        <v>1717</v>
      </c>
      <c r="E40" s="6" t="s">
        <v>1909</v>
      </c>
      <c r="F40" s="6">
        <v>1.0</v>
      </c>
      <c r="G40" s="13">
        <v>34.51</v>
      </c>
      <c r="H40" s="6">
        <v>0.04</v>
      </c>
      <c r="I40" s="6" t="s">
        <v>1973</v>
      </c>
      <c r="J40" s="13">
        <v>33.1296</v>
      </c>
      <c r="K40" s="6" t="str">
        <f t="shared" si="1"/>
        <v>Low Earnings</v>
      </c>
    </row>
    <row r="41" ht="14.25" customHeight="1">
      <c r="A41" s="6" t="s">
        <v>2006</v>
      </c>
      <c r="B41" s="17">
        <v>45250.0</v>
      </c>
      <c r="C41" s="6" t="s">
        <v>380</v>
      </c>
      <c r="D41" s="6" t="s">
        <v>1636</v>
      </c>
      <c r="E41" s="6" t="s">
        <v>1932</v>
      </c>
      <c r="F41" s="6">
        <v>3.0</v>
      </c>
      <c r="G41" s="13">
        <v>663.73</v>
      </c>
      <c r="H41" s="6">
        <v>0.06</v>
      </c>
      <c r="I41" s="6" t="s">
        <v>1973</v>
      </c>
      <c r="J41" s="13">
        <v>1871.7186</v>
      </c>
      <c r="K41" s="6" t="str">
        <f t="shared" si="1"/>
        <v>Average Earnings</v>
      </c>
    </row>
    <row r="42" ht="14.25" customHeight="1">
      <c r="A42" s="6" t="s">
        <v>2007</v>
      </c>
      <c r="B42" s="17">
        <v>45479.0</v>
      </c>
      <c r="C42" s="6" t="s">
        <v>803</v>
      </c>
      <c r="D42" s="6" t="s">
        <v>1682</v>
      </c>
      <c r="E42" s="6" t="s">
        <v>1926</v>
      </c>
      <c r="F42" s="6">
        <v>1.0</v>
      </c>
      <c r="G42" s="13">
        <v>409.41</v>
      </c>
      <c r="H42" s="6">
        <v>0.13</v>
      </c>
      <c r="I42" s="6" t="s">
        <v>1967</v>
      </c>
      <c r="J42" s="13">
        <v>356.1867</v>
      </c>
      <c r="K42" s="6" t="str">
        <f t="shared" si="1"/>
        <v>Low Earnings</v>
      </c>
    </row>
    <row r="43" ht="14.25" customHeight="1">
      <c r="A43" s="6" t="s">
        <v>2008</v>
      </c>
      <c r="B43" s="17">
        <v>45727.0</v>
      </c>
      <c r="C43" s="6" t="s">
        <v>340</v>
      </c>
      <c r="D43" s="6" t="s">
        <v>1822</v>
      </c>
      <c r="E43" s="6" t="s">
        <v>1906</v>
      </c>
      <c r="F43" s="6">
        <v>3.0</v>
      </c>
      <c r="G43" s="13">
        <v>461.03</v>
      </c>
      <c r="H43" s="6">
        <v>0.11</v>
      </c>
      <c r="I43" s="6" t="s">
        <v>1967</v>
      </c>
      <c r="J43" s="13">
        <v>1230.9501</v>
      </c>
      <c r="K43" s="6" t="str">
        <f t="shared" si="1"/>
        <v>Average Earnings</v>
      </c>
    </row>
    <row r="44" ht="14.25" customHeight="1">
      <c r="A44" s="6" t="s">
        <v>2009</v>
      </c>
      <c r="B44" s="17">
        <v>45394.0</v>
      </c>
      <c r="C44" s="6" t="s">
        <v>1167</v>
      </c>
      <c r="D44" s="6" t="s">
        <v>1636</v>
      </c>
      <c r="E44" s="6" t="s">
        <v>1939</v>
      </c>
      <c r="F44" s="6">
        <v>2.0</v>
      </c>
      <c r="G44" s="13">
        <v>760.14</v>
      </c>
      <c r="H44" s="6">
        <v>0.02</v>
      </c>
      <c r="I44" s="6" t="s">
        <v>1973</v>
      </c>
      <c r="J44" s="13">
        <v>1489.8744</v>
      </c>
      <c r="K44" s="6" t="str">
        <f t="shared" si="1"/>
        <v>Average Earnings</v>
      </c>
    </row>
    <row r="45" ht="14.25" customHeight="1">
      <c r="A45" s="6" t="s">
        <v>2010</v>
      </c>
      <c r="B45" s="17">
        <v>45773.0</v>
      </c>
      <c r="C45" s="6" t="s">
        <v>899</v>
      </c>
      <c r="D45" s="6" t="s">
        <v>1650</v>
      </c>
      <c r="E45" s="6" t="s">
        <v>1897</v>
      </c>
      <c r="F45" s="6">
        <v>3.0</v>
      </c>
      <c r="G45" s="13">
        <v>688.76</v>
      </c>
      <c r="H45" s="6">
        <v>0.12</v>
      </c>
      <c r="I45" s="6" t="s">
        <v>1967</v>
      </c>
      <c r="J45" s="13">
        <v>1818.3264</v>
      </c>
      <c r="K45" s="6" t="str">
        <f t="shared" si="1"/>
        <v>Average Earnings</v>
      </c>
    </row>
    <row r="46" ht="14.25" customHeight="1">
      <c r="A46" s="6" t="s">
        <v>2011</v>
      </c>
      <c r="B46" s="17">
        <v>45779.0</v>
      </c>
      <c r="C46" s="6" t="s">
        <v>543</v>
      </c>
      <c r="D46" s="6" t="s">
        <v>1714</v>
      </c>
      <c r="E46" s="6" t="s">
        <v>1926</v>
      </c>
      <c r="F46" s="6">
        <v>2.0</v>
      </c>
      <c r="G46" s="13">
        <v>257.78</v>
      </c>
      <c r="H46" s="6">
        <v>0.05</v>
      </c>
      <c r="I46" s="6" t="s">
        <v>1965</v>
      </c>
      <c r="J46" s="13">
        <v>489.7819999999999</v>
      </c>
      <c r="K46" s="6" t="str">
        <f t="shared" si="1"/>
        <v>Low Earnings</v>
      </c>
    </row>
    <row r="47" ht="14.25" customHeight="1">
      <c r="A47" s="6" t="s">
        <v>2012</v>
      </c>
      <c r="B47" s="17">
        <v>45400.0</v>
      </c>
      <c r="C47" s="6" t="s">
        <v>206</v>
      </c>
      <c r="D47" s="6" t="s">
        <v>1746</v>
      </c>
      <c r="E47" s="6" t="s">
        <v>1919</v>
      </c>
      <c r="F47" s="6">
        <v>2.0</v>
      </c>
      <c r="G47" s="13">
        <v>314.29</v>
      </c>
      <c r="H47" s="6">
        <v>0.19</v>
      </c>
      <c r="I47" s="6" t="s">
        <v>1973</v>
      </c>
      <c r="J47" s="13">
        <v>509.1498000000001</v>
      </c>
      <c r="K47" s="6" t="str">
        <f t="shared" si="1"/>
        <v>Low Earnings</v>
      </c>
    </row>
    <row r="48" ht="14.25" customHeight="1">
      <c r="A48" s="6" t="s">
        <v>2013</v>
      </c>
      <c r="B48" s="17">
        <v>45520.0</v>
      </c>
      <c r="C48" s="6" t="s">
        <v>531</v>
      </c>
      <c r="D48" s="6" t="s">
        <v>1804</v>
      </c>
      <c r="E48" s="6" t="s">
        <v>1939</v>
      </c>
      <c r="F48" s="6">
        <v>3.0</v>
      </c>
      <c r="G48" s="13">
        <v>336.09</v>
      </c>
      <c r="H48" s="6">
        <v>0.01</v>
      </c>
      <c r="I48" s="6" t="s">
        <v>1967</v>
      </c>
      <c r="J48" s="13">
        <v>998.1872999999999</v>
      </c>
      <c r="K48" s="6" t="str">
        <f t="shared" si="1"/>
        <v>Low Earnings</v>
      </c>
    </row>
    <row r="49" ht="14.25" customHeight="1">
      <c r="A49" s="6" t="s">
        <v>2014</v>
      </c>
      <c r="B49" s="17">
        <v>45330.0</v>
      </c>
      <c r="C49" s="6" t="s">
        <v>129</v>
      </c>
      <c r="D49" s="6" t="s">
        <v>1846</v>
      </c>
      <c r="E49" s="6" t="s">
        <v>1932</v>
      </c>
      <c r="F49" s="6">
        <v>2.0</v>
      </c>
      <c r="G49" s="13">
        <v>879.63</v>
      </c>
      <c r="H49" s="6">
        <v>0.07</v>
      </c>
      <c r="I49" s="6" t="s">
        <v>1973</v>
      </c>
      <c r="J49" s="13">
        <v>1636.1118</v>
      </c>
      <c r="K49" s="6" t="str">
        <f t="shared" si="1"/>
        <v>Average Earnings</v>
      </c>
    </row>
    <row r="50" ht="14.25" customHeight="1">
      <c r="A50" s="6" t="s">
        <v>2015</v>
      </c>
      <c r="B50" s="17">
        <v>45861.0</v>
      </c>
      <c r="C50" s="6" t="s">
        <v>25</v>
      </c>
      <c r="D50" s="6" t="s">
        <v>1813</v>
      </c>
      <c r="E50" s="6" t="s">
        <v>1947</v>
      </c>
      <c r="F50" s="6">
        <v>3.0</v>
      </c>
      <c r="G50" s="13">
        <v>202.07</v>
      </c>
      <c r="H50" s="6">
        <v>0.23</v>
      </c>
      <c r="I50" s="6" t="s">
        <v>1967</v>
      </c>
      <c r="J50" s="13">
        <v>466.7817000000001</v>
      </c>
      <c r="K50" s="6" t="str">
        <f t="shared" si="1"/>
        <v>Low Earnings</v>
      </c>
    </row>
    <row r="51" ht="14.25" customHeight="1">
      <c r="A51" s="6" t="s">
        <v>2016</v>
      </c>
      <c r="B51" s="17">
        <v>45781.0</v>
      </c>
      <c r="C51" s="6" t="s">
        <v>993</v>
      </c>
      <c r="D51" s="6" t="s">
        <v>1630</v>
      </c>
      <c r="E51" s="6" t="s">
        <v>1922</v>
      </c>
      <c r="F51" s="6">
        <v>2.0</v>
      </c>
      <c r="G51" s="13">
        <v>485.25</v>
      </c>
      <c r="H51" s="6">
        <v>0.28</v>
      </c>
      <c r="I51" s="6" t="s">
        <v>1965</v>
      </c>
      <c r="J51" s="13">
        <v>698.76</v>
      </c>
      <c r="K51" s="6" t="str">
        <f t="shared" si="1"/>
        <v>Low Earnings</v>
      </c>
    </row>
    <row r="52" ht="14.25" customHeight="1">
      <c r="A52" s="6" t="s">
        <v>2017</v>
      </c>
      <c r="B52" s="17">
        <v>45906.0</v>
      </c>
      <c r="C52" s="6" t="s">
        <v>579</v>
      </c>
      <c r="D52" s="6" t="s">
        <v>1813</v>
      </c>
      <c r="E52" s="6" t="s">
        <v>1929</v>
      </c>
      <c r="F52" s="6">
        <v>4.0</v>
      </c>
      <c r="G52" s="13">
        <v>552.38</v>
      </c>
      <c r="H52" s="6">
        <v>0.1</v>
      </c>
      <c r="I52" s="6" t="s">
        <v>1967</v>
      </c>
      <c r="J52" s="13">
        <v>1988.568</v>
      </c>
      <c r="K52" s="6" t="str">
        <f t="shared" si="1"/>
        <v>Average Earnings</v>
      </c>
    </row>
    <row r="53" ht="14.25" customHeight="1">
      <c r="A53" s="6" t="s">
        <v>2018</v>
      </c>
      <c r="B53" s="17">
        <v>45251.0</v>
      </c>
      <c r="C53" s="6" t="s">
        <v>386</v>
      </c>
      <c r="D53" s="6" t="s">
        <v>1761</v>
      </c>
      <c r="E53" s="6" t="s">
        <v>1947</v>
      </c>
      <c r="F53" s="6">
        <v>4.0</v>
      </c>
      <c r="G53" s="13">
        <v>377.26</v>
      </c>
      <c r="H53" s="6">
        <v>0.22</v>
      </c>
      <c r="I53" s="6" t="s">
        <v>1973</v>
      </c>
      <c r="J53" s="13">
        <v>1177.0512</v>
      </c>
      <c r="K53" s="6" t="str">
        <f t="shared" si="1"/>
        <v>Average Earnings</v>
      </c>
    </row>
    <row r="54" ht="14.25" customHeight="1">
      <c r="A54" s="6" t="s">
        <v>2019</v>
      </c>
      <c r="B54" s="17">
        <v>45257.0</v>
      </c>
      <c r="C54" s="6" t="s">
        <v>210</v>
      </c>
      <c r="D54" s="6" t="s">
        <v>1726</v>
      </c>
      <c r="E54" s="6" t="s">
        <v>1953</v>
      </c>
      <c r="F54" s="6">
        <v>4.0</v>
      </c>
      <c r="G54" s="13">
        <v>189.07</v>
      </c>
      <c r="H54" s="6">
        <v>0.1</v>
      </c>
      <c r="I54" s="6" t="s">
        <v>1973</v>
      </c>
      <c r="J54" s="13">
        <v>680.652</v>
      </c>
      <c r="K54" s="6" t="str">
        <f t="shared" si="1"/>
        <v>Low Earnings</v>
      </c>
    </row>
    <row r="55" ht="14.25" customHeight="1">
      <c r="A55" s="6" t="s">
        <v>2020</v>
      </c>
      <c r="B55" s="17">
        <v>45818.0</v>
      </c>
      <c r="C55" s="6" t="s">
        <v>1549</v>
      </c>
      <c r="D55" s="6" t="s">
        <v>1672</v>
      </c>
      <c r="E55" s="6" t="s">
        <v>1909</v>
      </c>
      <c r="F55" s="6">
        <v>3.0</v>
      </c>
      <c r="G55" s="13">
        <v>272.27</v>
      </c>
      <c r="H55" s="6">
        <v>0.01</v>
      </c>
      <c r="I55" s="6" t="s">
        <v>1965</v>
      </c>
      <c r="J55" s="13">
        <v>808.6419</v>
      </c>
      <c r="K55" s="6" t="str">
        <f t="shared" si="1"/>
        <v>Low Earnings</v>
      </c>
    </row>
    <row r="56" ht="14.25" customHeight="1">
      <c r="A56" s="6" t="s">
        <v>2021</v>
      </c>
      <c r="B56" s="17">
        <v>45806.0</v>
      </c>
      <c r="C56" s="6" t="s">
        <v>857</v>
      </c>
      <c r="D56" s="6" t="s">
        <v>1864</v>
      </c>
      <c r="E56" s="6" t="s">
        <v>1932</v>
      </c>
      <c r="F56" s="6">
        <v>1.0</v>
      </c>
      <c r="G56" s="13">
        <v>209.39</v>
      </c>
      <c r="H56" s="6">
        <v>0.28</v>
      </c>
      <c r="I56" s="6" t="s">
        <v>1967</v>
      </c>
      <c r="J56" s="13">
        <v>150.7608</v>
      </c>
      <c r="K56" s="6" t="str">
        <f t="shared" si="1"/>
        <v>Low Earnings</v>
      </c>
    </row>
    <row r="57" ht="14.25" customHeight="1">
      <c r="A57" s="6" t="s">
        <v>2022</v>
      </c>
      <c r="B57" s="17">
        <v>45288.0</v>
      </c>
      <c r="C57" s="6" t="s">
        <v>210</v>
      </c>
      <c r="D57" s="6" t="s">
        <v>1828</v>
      </c>
      <c r="E57" s="6" t="s">
        <v>1926</v>
      </c>
      <c r="F57" s="6">
        <v>1.0</v>
      </c>
      <c r="G57" s="13">
        <v>813.87</v>
      </c>
      <c r="H57" s="6">
        <v>0.23</v>
      </c>
      <c r="I57" s="6" t="s">
        <v>1965</v>
      </c>
      <c r="J57" s="13">
        <v>626.6799</v>
      </c>
      <c r="K57" s="6" t="str">
        <f t="shared" si="1"/>
        <v>Low Earnings</v>
      </c>
    </row>
    <row r="58" ht="14.25" customHeight="1">
      <c r="A58" s="6" t="s">
        <v>2023</v>
      </c>
      <c r="B58" s="17">
        <v>45783.0</v>
      </c>
      <c r="C58" s="6" t="s">
        <v>836</v>
      </c>
      <c r="D58" s="6" t="s">
        <v>1666</v>
      </c>
      <c r="E58" s="6" t="s">
        <v>1892</v>
      </c>
      <c r="F58" s="6">
        <v>1.0</v>
      </c>
      <c r="G58" s="13">
        <v>143.7</v>
      </c>
      <c r="H58" s="6">
        <v>0.19</v>
      </c>
      <c r="I58" s="6" t="s">
        <v>1967</v>
      </c>
      <c r="J58" s="13">
        <v>116.397</v>
      </c>
      <c r="K58" s="6" t="str">
        <f t="shared" si="1"/>
        <v>Low Earnings</v>
      </c>
    </row>
    <row r="59" ht="14.25" customHeight="1">
      <c r="A59" s="6" t="s">
        <v>2024</v>
      </c>
      <c r="B59" s="17">
        <v>45385.0</v>
      </c>
      <c r="C59" s="6" t="s">
        <v>1465</v>
      </c>
      <c r="D59" s="6" t="s">
        <v>1723</v>
      </c>
      <c r="E59" s="6" t="s">
        <v>1897</v>
      </c>
      <c r="F59" s="6">
        <v>4.0</v>
      </c>
      <c r="G59" s="13">
        <v>837.34</v>
      </c>
      <c r="H59" s="6">
        <v>0.05</v>
      </c>
      <c r="I59" s="6" t="s">
        <v>1967</v>
      </c>
      <c r="J59" s="13">
        <v>3181.892</v>
      </c>
      <c r="K59" s="6" t="str">
        <f t="shared" si="1"/>
        <v>High Earnings</v>
      </c>
    </row>
    <row r="60" ht="14.25" customHeight="1">
      <c r="A60" s="6" t="s">
        <v>2025</v>
      </c>
      <c r="B60" s="17">
        <v>45214.0</v>
      </c>
      <c r="C60" s="6" t="s">
        <v>25</v>
      </c>
      <c r="D60" s="6" t="s">
        <v>1825</v>
      </c>
      <c r="E60" s="6" t="s">
        <v>1947</v>
      </c>
      <c r="F60" s="6">
        <v>2.0</v>
      </c>
      <c r="G60" s="13">
        <v>418.23</v>
      </c>
      <c r="H60" s="6">
        <v>0.28</v>
      </c>
      <c r="I60" s="6" t="s">
        <v>1965</v>
      </c>
      <c r="J60" s="13">
        <v>602.2512</v>
      </c>
      <c r="K60" s="6" t="str">
        <f t="shared" si="1"/>
        <v>Low Earnings</v>
      </c>
    </row>
    <row r="61" ht="14.25" customHeight="1">
      <c r="A61" s="6" t="s">
        <v>2026</v>
      </c>
      <c r="B61" s="17">
        <v>45878.0</v>
      </c>
      <c r="C61" s="6" t="s">
        <v>425</v>
      </c>
      <c r="D61" s="6" t="s">
        <v>1622</v>
      </c>
      <c r="E61" s="6" t="s">
        <v>1953</v>
      </c>
      <c r="F61" s="6">
        <v>1.0</v>
      </c>
      <c r="G61" s="13">
        <v>151.66</v>
      </c>
      <c r="H61" s="6">
        <v>0.16</v>
      </c>
      <c r="I61" s="6" t="s">
        <v>1973</v>
      </c>
      <c r="J61" s="13">
        <v>127.3944</v>
      </c>
      <c r="K61" s="6" t="str">
        <f t="shared" si="1"/>
        <v>Low Earnings</v>
      </c>
    </row>
    <row r="62" ht="14.25" customHeight="1">
      <c r="A62" s="6" t="s">
        <v>2027</v>
      </c>
      <c r="B62" s="17">
        <v>45720.0</v>
      </c>
      <c r="C62" s="6" t="s">
        <v>1549</v>
      </c>
      <c r="D62" s="6" t="s">
        <v>1717</v>
      </c>
      <c r="E62" s="6" t="s">
        <v>1922</v>
      </c>
      <c r="F62" s="6">
        <v>3.0</v>
      </c>
      <c r="G62" s="13">
        <v>961.4</v>
      </c>
      <c r="H62" s="6">
        <v>0.02</v>
      </c>
      <c r="I62" s="6" t="s">
        <v>1967</v>
      </c>
      <c r="J62" s="13">
        <v>2826.516</v>
      </c>
      <c r="K62" s="6" t="str">
        <f t="shared" si="1"/>
        <v>High Earnings</v>
      </c>
    </row>
    <row r="63" ht="14.25" customHeight="1">
      <c r="A63" s="6" t="s">
        <v>2028</v>
      </c>
      <c r="B63" s="17">
        <v>45503.0</v>
      </c>
      <c r="C63" s="6" t="s">
        <v>1173</v>
      </c>
      <c r="D63" s="6" t="s">
        <v>1810</v>
      </c>
      <c r="E63" s="6" t="s">
        <v>1950</v>
      </c>
      <c r="F63" s="6">
        <v>4.0</v>
      </c>
      <c r="G63" s="13">
        <v>475.98</v>
      </c>
      <c r="H63" s="6">
        <v>0.19</v>
      </c>
      <c r="I63" s="6" t="s">
        <v>1967</v>
      </c>
      <c r="J63" s="13">
        <v>1542.1752</v>
      </c>
      <c r="K63" s="6" t="str">
        <f t="shared" si="1"/>
        <v>Average Earnings</v>
      </c>
    </row>
    <row r="64" ht="14.25" customHeight="1">
      <c r="A64" s="6" t="s">
        <v>2029</v>
      </c>
      <c r="B64" s="17">
        <v>45551.0</v>
      </c>
      <c r="C64" s="6" t="s">
        <v>1203</v>
      </c>
      <c r="D64" s="6" t="s">
        <v>1698</v>
      </c>
      <c r="E64" s="6" t="s">
        <v>1941</v>
      </c>
      <c r="F64" s="6">
        <v>4.0</v>
      </c>
      <c r="G64" s="13">
        <v>132.89</v>
      </c>
      <c r="H64" s="6">
        <v>0.12</v>
      </c>
      <c r="I64" s="6" t="s">
        <v>1965</v>
      </c>
      <c r="J64" s="13">
        <v>467.7728</v>
      </c>
      <c r="K64" s="6" t="str">
        <f t="shared" si="1"/>
        <v>Low Earnings</v>
      </c>
    </row>
    <row r="65" ht="14.25" customHeight="1">
      <c r="A65" s="6" t="s">
        <v>2030</v>
      </c>
      <c r="B65" s="17">
        <v>45850.0</v>
      </c>
      <c r="C65" s="6" t="s">
        <v>1371</v>
      </c>
      <c r="D65" s="6" t="s">
        <v>1688</v>
      </c>
      <c r="E65" s="6" t="s">
        <v>1934</v>
      </c>
      <c r="F65" s="6">
        <v>3.0</v>
      </c>
      <c r="G65" s="13">
        <v>471.31</v>
      </c>
      <c r="H65" s="6">
        <v>0.0</v>
      </c>
      <c r="I65" s="6" t="s">
        <v>1967</v>
      </c>
      <c r="J65" s="13">
        <v>1413.93</v>
      </c>
      <c r="K65" s="6" t="str">
        <f t="shared" si="1"/>
        <v>Average Earnings</v>
      </c>
    </row>
    <row r="66" ht="14.25" customHeight="1">
      <c r="A66" s="6" t="s">
        <v>2031</v>
      </c>
      <c r="B66" s="17">
        <v>45441.0</v>
      </c>
      <c r="C66" s="6" t="s">
        <v>1447</v>
      </c>
      <c r="D66" s="6" t="s">
        <v>1816</v>
      </c>
      <c r="E66" s="6" t="s">
        <v>1939</v>
      </c>
      <c r="F66" s="6">
        <v>2.0</v>
      </c>
      <c r="G66" s="13">
        <v>720.32</v>
      </c>
      <c r="H66" s="6">
        <v>0.26</v>
      </c>
      <c r="I66" s="6" t="s">
        <v>1965</v>
      </c>
      <c r="J66" s="13">
        <v>1066.0736</v>
      </c>
      <c r="K66" s="6" t="str">
        <f t="shared" si="1"/>
        <v>Average Earnings</v>
      </c>
    </row>
    <row r="67" ht="14.25" customHeight="1">
      <c r="A67" s="6" t="s">
        <v>2032</v>
      </c>
      <c r="B67" s="17">
        <v>45431.0</v>
      </c>
      <c r="C67" s="6" t="s">
        <v>283</v>
      </c>
      <c r="D67" s="6" t="s">
        <v>1785</v>
      </c>
      <c r="E67" s="6" t="s">
        <v>1950</v>
      </c>
      <c r="F67" s="6">
        <v>4.0</v>
      </c>
      <c r="G67" s="13">
        <v>99.92</v>
      </c>
      <c r="H67" s="6">
        <v>0.11</v>
      </c>
      <c r="I67" s="6" t="s">
        <v>1973</v>
      </c>
      <c r="J67" s="13">
        <v>355.7152</v>
      </c>
      <c r="K67" s="6" t="str">
        <f t="shared" si="1"/>
        <v>Low Earnings</v>
      </c>
    </row>
    <row r="68" ht="14.25" customHeight="1">
      <c r="A68" s="6" t="s">
        <v>2033</v>
      </c>
      <c r="B68" s="17">
        <v>45873.0</v>
      </c>
      <c r="C68" s="6" t="s">
        <v>255</v>
      </c>
      <c r="D68" s="6" t="s">
        <v>1604</v>
      </c>
      <c r="E68" s="6" t="s">
        <v>1906</v>
      </c>
      <c r="F68" s="6">
        <v>3.0</v>
      </c>
      <c r="G68" s="13">
        <v>900.63</v>
      </c>
      <c r="H68" s="6">
        <v>0.11</v>
      </c>
      <c r="I68" s="6" t="s">
        <v>1973</v>
      </c>
      <c r="J68" s="13">
        <v>2404.6821</v>
      </c>
      <c r="K68" s="6" t="str">
        <f t="shared" si="1"/>
        <v>Average Earnings</v>
      </c>
    </row>
    <row r="69" ht="14.25" customHeight="1">
      <c r="A69" s="6" t="s">
        <v>2034</v>
      </c>
      <c r="B69" s="17">
        <v>45629.0</v>
      </c>
      <c r="C69" s="6" t="s">
        <v>1384</v>
      </c>
      <c r="D69" s="6" t="s">
        <v>1723</v>
      </c>
      <c r="E69" s="6" t="s">
        <v>1922</v>
      </c>
      <c r="F69" s="6">
        <v>1.0</v>
      </c>
      <c r="G69" s="13">
        <v>681.72</v>
      </c>
      <c r="H69" s="6">
        <v>0.11</v>
      </c>
      <c r="I69" s="6" t="s">
        <v>1967</v>
      </c>
      <c r="J69" s="13">
        <v>606.7308</v>
      </c>
      <c r="K69" s="6" t="str">
        <f t="shared" si="1"/>
        <v>Low Earnings</v>
      </c>
    </row>
    <row r="70" ht="14.25" customHeight="1">
      <c r="A70" s="6" t="s">
        <v>2035</v>
      </c>
      <c r="B70" s="17">
        <v>45222.0</v>
      </c>
      <c r="C70" s="6" t="s">
        <v>55</v>
      </c>
      <c r="D70" s="6" t="s">
        <v>1822</v>
      </c>
      <c r="E70" s="6" t="s">
        <v>1937</v>
      </c>
      <c r="F70" s="6">
        <v>2.0</v>
      </c>
      <c r="G70" s="13">
        <v>838.22</v>
      </c>
      <c r="H70" s="6">
        <v>0.3</v>
      </c>
      <c r="I70" s="6" t="s">
        <v>1965</v>
      </c>
      <c r="J70" s="13">
        <v>1173.508</v>
      </c>
      <c r="K70" s="6" t="str">
        <f t="shared" si="1"/>
        <v>Average Earnings</v>
      </c>
    </row>
    <row r="71" ht="14.25" customHeight="1">
      <c r="A71" s="6" t="s">
        <v>2036</v>
      </c>
      <c r="B71" s="17">
        <v>45891.0</v>
      </c>
      <c r="C71" s="6" t="s">
        <v>872</v>
      </c>
      <c r="D71" s="6" t="s">
        <v>1636</v>
      </c>
      <c r="E71" s="6" t="s">
        <v>1950</v>
      </c>
      <c r="F71" s="6">
        <v>3.0</v>
      </c>
      <c r="G71" s="13">
        <v>551.72</v>
      </c>
      <c r="H71" s="6">
        <v>0.03</v>
      </c>
      <c r="I71" s="6" t="s">
        <v>1973</v>
      </c>
      <c r="J71" s="13">
        <v>1605.5052</v>
      </c>
      <c r="K71" s="6" t="str">
        <f t="shared" si="1"/>
        <v>Average Earnings</v>
      </c>
    </row>
    <row r="72" ht="14.25" customHeight="1">
      <c r="A72" s="6" t="s">
        <v>2037</v>
      </c>
      <c r="B72" s="17">
        <v>45797.0</v>
      </c>
      <c r="C72" s="6" t="s">
        <v>649</v>
      </c>
      <c r="D72" s="6" t="s">
        <v>1849</v>
      </c>
      <c r="E72" s="6" t="s">
        <v>1934</v>
      </c>
      <c r="F72" s="6">
        <v>2.0</v>
      </c>
      <c r="G72" s="13">
        <v>816.22</v>
      </c>
      <c r="H72" s="6">
        <v>0.27</v>
      </c>
      <c r="I72" s="6" t="s">
        <v>1965</v>
      </c>
      <c r="J72" s="13">
        <v>1191.6812</v>
      </c>
      <c r="K72" s="6" t="str">
        <f t="shared" si="1"/>
        <v>Average Earnings</v>
      </c>
    </row>
    <row r="73" ht="14.25" customHeight="1">
      <c r="A73" s="6" t="s">
        <v>2038</v>
      </c>
      <c r="B73" s="17">
        <v>45554.0</v>
      </c>
      <c r="C73" s="6" t="s">
        <v>1203</v>
      </c>
      <c r="D73" s="6" t="s">
        <v>1770</v>
      </c>
      <c r="E73" s="6" t="s">
        <v>1919</v>
      </c>
      <c r="F73" s="6">
        <v>2.0</v>
      </c>
      <c r="G73" s="13">
        <v>654.12</v>
      </c>
      <c r="H73" s="6">
        <v>0.27</v>
      </c>
      <c r="I73" s="6" t="s">
        <v>1967</v>
      </c>
      <c r="J73" s="13">
        <v>955.0151999999999</v>
      </c>
      <c r="K73" s="6" t="str">
        <f t="shared" si="1"/>
        <v>Low Earnings</v>
      </c>
    </row>
    <row r="74" ht="14.25" customHeight="1">
      <c r="A74" s="6" t="s">
        <v>2039</v>
      </c>
      <c r="B74" s="17">
        <v>45385.0</v>
      </c>
      <c r="C74" s="6" t="s">
        <v>380</v>
      </c>
      <c r="D74" s="6" t="s">
        <v>1807</v>
      </c>
      <c r="E74" s="6" t="s">
        <v>1937</v>
      </c>
      <c r="F74" s="6">
        <v>4.0</v>
      </c>
      <c r="G74" s="13">
        <v>528.22</v>
      </c>
      <c r="H74" s="6">
        <v>0.2</v>
      </c>
      <c r="I74" s="6" t="s">
        <v>1967</v>
      </c>
      <c r="J74" s="13">
        <v>1690.304</v>
      </c>
      <c r="K74" s="6" t="str">
        <f t="shared" si="1"/>
        <v>Average Earnings</v>
      </c>
    </row>
    <row r="75" ht="14.25" customHeight="1">
      <c r="A75" s="6" t="s">
        <v>2040</v>
      </c>
      <c r="B75" s="17">
        <v>45704.0</v>
      </c>
      <c r="C75" s="6" t="s">
        <v>730</v>
      </c>
      <c r="D75" s="6" t="s">
        <v>1685</v>
      </c>
      <c r="E75" s="6" t="s">
        <v>1919</v>
      </c>
      <c r="F75" s="6">
        <v>4.0</v>
      </c>
      <c r="G75" s="13">
        <v>36.72</v>
      </c>
      <c r="H75" s="6">
        <v>0.07</v>
      </c>
      <c r="I75" s="6" t="s">
        <v>1973</v>
      </c>
      <c r="J75" s="13">
        <v>136.5984</v>
      </c>
      <c r="K75" s="6" t="str">
        <f t="shared" si="1"/>
        <v>Low Earnings</v>
      </c>
    </row>
    <row r="76" ht="14.25" customHeight="1">
      <c r="A76" s="6" t="s">
        <v>2041</v>
      </c>
      <c r="B76" s="17">
        <v>45545.0</v>
      </c>
      <c r="C76" s="6" t="s">
        <v>1173</v>
      </c>
      <c r="D76" s="6" t="s">
        <v>1822</v>
      </c>
      <c r="E76" s="6" t="s">
        <v>1953</v>
      </c>
      <c r="F76" s="6">
        <v>2.0</v>
      </c>
      <c r="G76" s="13">
        <v>705.97</v>
      </c>
      <c r="H76" s="6">
        <v>0.1</v>
      </c>
      <c r="I76" s="6" t="s">
        <v>1967</v>
      </c>
      <c r="J76" s="13">
        <v>1270.746</v>
      </c>
      <c r="K76" s="6" t="str">
        <f t="shared" si="1"/>
        <v>Average Earnings</v>
      </c>
    </row>
    <row r="77" ht="14.25" customHeight="1">
      <c r="A77" s="6" t="s">
        <v>2042</v>
      </c>
      <c r="B77" s="17">
        <v>45736.0</v>
      </c>
      <c r="C77" s="6" t="s">
        <v>108</v>
      </c>
      <c r="D77" s="6" t="s">
        <v>1705</v>
      </c>
      <c r="E77" s="6" t="s">
        <v>1897</v>
      </c>
      <c r="F77" s="6">
        <v>2.0</v>
      </c>
      <c r="G77" s="13">
        <v>994.29</v>
      </c>
      <c r="H77" s="6">
        <v>0.01</v>
      </c>
      <c r="I77" s="6" t="s">
        <v>1967</v>
      </c>
      <c r="J77" s="13">
        <v>1968.6942</v>
      </c>
      <c r="K77" s="6" t="str">
        <f t="shared" si="1"/>
        <v>Average Earnings</v>
      </c>
    </row>
    <row r="78" ht="14.25" customHeight="1">
      <c r="A78" s="6" t="s">
        <v>2043</v>
      </c>
      <c r="B78" s="17">
        <v>45608.0</v>
      </c>
      <c r="C78" s="6" t="s">
        <v>1323</v>
      </c>
      <c r="D78" s="6" t="s">
        <v>1864</v>
      </c>
      <c r="E78" s="6" t="s">
        <v>1950</v>
      </c>
      <c r="F78" s="6">
        <v>1.0</v>
      </c>
      <c r="G78" s="13">
        <v>909.04</v>
      </c>
      <c r="H78" s="6">
        <v>0.11</v>
      </c>
      <c r="I78" s="6" t="s">
        <v>1965</v>
      </c>
      <c r="J78" s="13">
        <v>809.0456</v>
      </c>
      <c r="K78" s="6" t="str">
        <f t="shared" si="1"/>
        <v>Low Earnings</v>
      </c>
    </row>
    <row r="79" ht="14.25" customHeight="1">
      <c r="A79" s="6" t="s">
        <v>2044</v>
      </c>
      <c r="B79" s="17">
        <v>45334.0</v>
      </c>
      <c r="C79" s="6" t="s">
        <v>1110</v>
      </c>
      <c r="D79" s="6" t="s">
        <v>1685</v>
      </c>
      <c r="E79" s="6" t="s">
        <v>1932</v>
      </c>
      <c r="F79" s="6">
        <v>1.0</v>
      </c>
      <c r="G79" s="13">
        <v>164.73</v>
      </c>
      <c r="H79" s="6">
        <v>0.12</v>
      </c>
      <c r="I79" s="6" t="s">
        <v>1967</v>
      </c>
      <c r="J79" s="13">
        <v>144.9624</v>
      </c>
      <c r="K79" s="6" t="str">
        <f t="shared" si="1"/>
        <v>Low Earnings</v>
      </c>
    </row>
    <row r="80" ht="14.25" customHeight="1">
      <c r="A80" s="6" t="s">
        <v>2045</v>
      </c>
      <c r="B80" s="17">
        <v>45690.0</v>
      </c>
      <c r="C80" s="6" t="s">
        <v>238</v>
      </c>
      <c r="D80" s="6" t="s">
        <v>1694</v>
      </c>
      <c r="E80" s="6" t="s">
        <v>1919</v>
      </c>
      <c r="F80" s="6">
        <v>2.0</v>
      </c>
      <c r="G80" s="13">
        <v>606.35</v>
      </c>
      <c r="H80" s="6">
        <v>0.16</v>
      </c>
      <c r="I80" s="6" t="s">
        <v>1973</v>
      </c>
      <c r="J80" s="13">
        <v>1018.668</v>
      </c>
      <c r="K80" s="6" t="str">
        <f t="shared" si="1"/>
        <v>Average Earnings</v>
      </c>
    </row>
    <row r="81" ht="14.25" customHeight="1">
      <c r="A81" s="6" t="s">
        <v>2046</v>
      </c>
      <c r="B81" s="17">
        <v>45481.0</v>
      </c>
      <c r="C81" s="6" t="s">
        <v>555</v>
      </c>
      <c r="D81" s="6" t="s">
        <v>1882</v>
      </c>
      <c r="E81" s="6" t="s">
        <v>1909</v>
      </c>
      <c r="F81" s="6">
        <v>3.0</v>
      </c>
      <c r="G81" s="13">
        <v>904.19</v>
      </c>
      <c r="H81" s="6">
        <v>0.09</v>
      </c>
      <c r="I81" s="6" t="s">
        <v>1965</v>
      </c>
      <c r="J81" s="13">
        <v>2468.4387</v>
      </c>
      <c r="K81" s="6" t="str">
        <f t="shared" si="1"/>
        <v>Average Earnings</v>
      </c>
    </row>
    <row r="82" ht="14.25" customHeight="1">
      <c r="A82" s="6" t="s">
        <v>2047</v>
      </c>
      <c r="B82" s="17">
        <v>45323.0</v>
      </c>
      <c r="C82" s="6" t="s">
        <v>1077</v>
      </c>
      <c r="D82" s="6" t="s">
        <v>1846</v>
      </c>
      <c r="E82" s="6" t="s">
        <v>1919</v>
      </c>
      <c r="F82" s="6">
        <v>4.0</v>
      </c>
      <c r="G82" s="13">
        <v>525.61</v>
      </c>
      <c r="H82" s="6">
        <v>0.02</v>
      </c>
      <c r="I82" s="6" t="s">
        <v>1967</v>
      </c>
      <c r="J82" s="13">
        <v>2060.3912</v>
      </c>
      <c r="K82" s="6" t="str">
        <f t="shared" si="1"/>
        <v>Average Earnings</v>
      </c>
    </row>
    <row r="83" ht="14.25" customHeight="1">
      <c r="A83" s="6" t="s">
        <v>2048</v>
      </c>
      <c r="B83" s="17">
        <v>45576.0</v>
      </c>
      <c r="C83" s="6" t="s">
        <v>519</v>
      </c>
      <c r="D83" s="6" t="s">
        <v>1737</v>
      </c>
      <c r="E83" s="6" t="s">
        <v>1901</v>
      </c>
      <c r="F83" s="6">
        <v>4.0</v>
      </c>
      <c r="G83" s="13">
        <v>694.61</v>
      </c>
      <c r="H83" s="6">
        <v>0.18</v>
      </c>
      <c r="I83" s="6" t="s">
        <v>1973</v>
      </c>
      <c r="J83" s="13">
        <v>2278.3208</v>
      </c>
      <c r="K83" s="6" t="str">
        <f t="shared" si="1"/>
        <v>Average Earnings</v>
      </c>
    </row>
    <row r="84" ht="14.25" customHeight="1">
      <c r="A84" s="6" t="s">
        <v>2049</v>
      </c>
      <c r="B84" s="17">
        <v>45215.0</v>
      </c>
      <c r="C84" s="6" t="s">
        <v>742</v>
      </c>
      <c r="D84" s="6" t="s">
        <v>1855</v>
      </c>
      <c r="E84" s="6" t="s">
        <v>1901</v>
      </c>
      <c r="F84" s="6">
        <v>4.0</v>
      </c>
      <c r="G84" s="13">
        <v>753.83</v>
      </c>
      <c r="H84" s="6">
        <v>0.24</v>
      </c>
      <c r="I84" s="6" t="s">
        <v>1965</v>
      </c>
      <c r="J84" s="13">
        <v>2291.6432</v>
      </c>
      <c r="K84" s="6" t="str">
        <f t="shared" si="1"/>
        <v>Average Earnings</v>
      </c>
    </row>
    <row r="85" ht="14.25" customHeight="1">
      <c r="A85" s="6" t="s">
        <v>2050</v>
      </c>
      <c r="B85" s="17">
        <v>45653.0</v>
      </c>
      <c r="C85" s="6" t="s">
        <v>658</v>
      </c>
      <c r="D85" s="6" t="s">
        <v>1643</v>
      </c>
      <c r="E85" s="6" t="s">
        <v>1922</v>
      </c>
      <c r="F85" s="6">
        <v>1.0</v>
      </c>
      <c r="G85" s="13">
        <v>66.22</v>
      </c>
      <c r="H85" s="6">
        <v>0.02</v>
      </c>
      <c r="I85" s="6" t="s">
        <v>1965</v>
      </c>
      <c r="J85" s="13">
        <v>64.8956</v>
      </c>
      <c r="K85" s="6" t="str">
        <f t="shared" si="1"/>
        <v>Low Earnings</v>
      </c>
    </row>
    <row r="86" ht="14.25" customHeight="1">
      <c r="A86" s="6" t="s">
        <v>2051</v>
      </c>
      <c r="B86" s="17">
        <v>45241.0</v>
      </c>
      <c r="C86" s="6" t="s">
        <v>1074</v>
      </c>
      <c r="D86" s="6" t="s">
        <v>1779</v>
      </c>
      <c r="E86" s="6" t="s">
        <v>1939</v>
      </c>
      <c r="F86" s="6">
        <v>2.0</v>
      </c>
      <c r="G86" s="13">
        <v>891.8</v>
      </c>
      <c r="H86" s="6">
        <v>0.29</v>
      </c>
      <c r="I86" s="6" t="s">
        <v>1973</v>
      </c>
      <c r="J86" s="13">
        <v>1266.356</v>
      </c>
      <c r="K86" s="6" t="str">
        <f t="shared" si="1"/>
        <v>Average Earnings</v>
      </c>
    </row>
    <row r="87" ht="14.25" customHeight="1">
      <c r="A87" s="6" t="s">
        <v>2052</v>
      </c>
      <c r="B87" s="17">
        <v>45428.0</v>
      </c>
      <c r="C87" s="6" t="s">
        <v>1152</v>
      </c>
      <c r="D87" s="6" t="s">
        <v>1813</v>
      </c>
      <c r="E87" s="6" t="s">
        <v>1926</v>
      </c>
      <c r="F87" s="6">
        <v>4.0</v>
      </c>
      <c r="G87" s="13">
        <v>255.48</v>
      </c>
      <c r="H87" s="6">
        <v>0.03</v>
      </c>
      <c r="I87" s="6" t="s">
        <v>1973</v>
      </c>
      <c r="J87" s="13">
        <v>991.2624</v>
      </c>
      <c r="K87" s="6" t="str">
        <f t="shared" si="1"/>
        <v>Low Earnings</v>
      </c>
    </row>
    <row r="88" ht="14.25" customHeight="1">
      <c r="A88" s="6" t="s">
        <v>2053</v>
      </c>
      <c r="B88" s="17">
        <v>45593.0</v>
      </c>
      <c r="C88" s="6" t="s">
        <v>966</v>
      </c>
      <c r="D88" s="6" t="s">
        <v>1840</v>
      </c>
      <c r="E88" s="6" t="s">
        <v>1947</v>
      </c>
      <c r="F88" s="6">
        <v>4.0</v>
      </c>
      <c r="G88" s="13">
        <v>604.87</v>
      </c>
      <c r="H88" s="6">
        <v>0.28</v>
      </c>
      <c r="I88" s="6" t="s">
        <v>1967</v>
      </c>
      <c r="J88" s="13">
        <v>1742.0256</v>
      </c>
      <c r="K88" s="6" t="str">
        <f t="shared" si="1"/>
        <v>Average Earnings</v>
      </c>
    </row>
    <row r="89" ht="14.25" customHeight="1">
      <c r="A89" s="6" t="s">
        <v>2054</v>
      </c>
      <c r="B89" s="17">
        <v>45370.0</v>
      </c>
      <c r="C89" s="6" t="s">
        <v>183</v>
      </c>
      <c r="D89" s="6" t="s">
        <v>1682</v>
      </c>
      <c r="E89" s="6" t="s">
        <v>1947</v>
      </c>
      <c r="F89" s="6">
        <v>3.0</v>
      </c>
      <c r="G89" s="13">
        <v>623.82</v>
      </c>
      <c r="H89" s="6">
        <v>0.13</v>
      </c>
      <c r="I89" s="6" t="s">
        <v>1973</v>
      </c>
      <c r="J89" s="13">
        <v>1628.1702</v>
      </c>
      <c r="K89" s="6" t="str">
        <f t="shared" si="1"/>
        <v>Average Earnings</v>
      </c>
    </row>
    <row r="90" ht="14.25" customHeight="1">
      <c r="A90" s="6" t="s">
        <v>2055</v>
      </c>
      <c r="B90" s="17">
        <v>45882.0</v>
      </c>
      <c r="C90" s="6" t="s">
        <v>481</v>
      </c>
      <c r="D90" s="6" t="s">
        <v>1801</v>
      </c>
      <c r="E90" s="6" t="s">
        <v>1944</v>
      </c>
      <c r="F90" s="6">
        <v>3.0</v>
      </c>
      <c r="G90" s="13">
        <v>575.24</v>
      </c>
      <c r="H90" s="6">
        <v>0.12</v>
      </c>
      <c r="I90" s="6" t="s">
        <v>1973</v>
      </c>
      <c r="J90" s="13">
        <v>1518.6336</v>
      </c>
      <c r="K90" s="6" t="str">
        <f t="shared" si="1"/>
        <v>Average Earnings</v>
      </c>
    </row>
    <row r="91" ht="14.25" customHeight="1">
      <c r="A91" s="6" t="s">
        <v>2056</v>
      </c>
      <c r="B91" s="17">
        <v>45878.0</v>
      </c>
      <c r="C91" s="6" t="s">
        <v>1302</v>
      </c>
      <c r="D91" s="6" t="s">
        <v>1577</v>
      </c>
      <c r="E91" s="6" t="s">
        <v>1932</v>
      </c>
      <c r="F91" s="6">
        <v>1.0</v>
      </c>
      <c r="G91" s="13">
        <v>769.4</v>
      </c>
      <c r="H91" s="6">
        <v>0.16</v>
      </c>
      <c r="I91" s="6" t="s">
        <v>1965</v>
      </c>
      <c r="J91" s="13">
        <v>646.2959999999999</v>
      </c>
      <c r="K91" s="6" t="str">
        <f t="shared" si="1"/>
        <v>Low Earnings</v>
      </c>
    </row>
    <row r="92" ht="14.25" customHeight="1">
      <c r="A92" s="6" t="s">
        <v>2057</v>
      </c>
      <c r="B92" s="17">
        <v>45420.0</v>
      </c>
      <c r="C92" s="6" t="s">
        <v>1050</v>
      </c>
      <c r="D92" s="6" t="s">
        <v>1577</v>
      </c>
      <c r="E92" s="6" t="s">
        <v>1947</v>
      </c>
      <c r="F92" s="6">
        <v>1.0</v>
      </c>
      <c r="G92" s="13">
        <v>227.28</v>
      </c>
      <c r="H92" s="6">
        <v>0.13</v>
      </c>
      <c r="I92" s="6" t="s">
        <v>1973</v>
      </c>
      <c r="J92" s="13">
        <v>197.7336</v>
      </c>
      <c r="K92" s="6" t="str">
        <f t="shared" si="1"/>
        <v>Low Earnings</v>
      </c>
    </row>
    <row r="93" ht="14.25" customHeight="1">
      <c r="A93" s="6" t="s">
        <v>2058</v>
      </c>
      <c r="B93" s="17">
        <v>45785.0</v>
      </c>
      <c r="C93" s="6" t="s">
        <v>168</v>
      </c>
      <c r="D93" s="6" t="s">
        <v>1647</v>
      </c>
      <c r="E93" s="6" t="s">
        <v>1937</v>
      </c>
      <c r="F93" s="6">
        <v>3.0</v>
      </c>
      <c r="G93" s="13">
        <v>815.3</v>
      </c>
      <c r="H93" s="6">
        <v>0.03</v>
      </c>
      <c r="I93" s="6" t="s">
        <v>1965</v>
      </c>
      <c r="J93" s="13">
        <v>2372.523</v>
      </c>
      <c r="K93" s="6" t="str">
        <f t="shared" si="1"/>
        <v>Average Earnings</v>
      </c>
    </row>
    <row r="94" ht="14.25" customHeight="1">
      <c r="A94" s="6" t="s">
        <v>2059</v>
      </c>
      <c r="B94" s="17">
        <v>45361.0</v>
      </c>
      <c r="C94" s="6" t="s">
        <v>203</v>
      </c>
      <c r="D94" s="6" t="s">
        <v>1570</v>
      </c>
      <c r="E94" s="6" t="s">
        <v>1947</v>
      </c>
      <c r="F94" s="6">
        <v>4.0</v>
      </c>
      <c r="G94" s="13">
        <v>127.58</v>
      </c>
      <c r="H94" s="6">
        <v>0.15</v>
      </c>
      <c r="I94" s="6" t="s">
        <v>1965</v>
      </c>
      <c r="J94" s="13">
        <v>433.772</v>
      </c>
      <c r="K94" s="6" t="str">
        <f t="shared" si="1"/>
        <v>Low Earnings</v>
      </c>
    </row>
    <row r="95" ht="14.25" customHeight="1">
      <c r="A95" s="6" t="s">
        <v>2060</v>
      </c>
      <c r="B95" s="17">
        <v>45702.0</v>
      </c>
      <c r="C95" s="6" t="s">
        <v>1314</v>
      </c>
      <c r="D95" s="6" t="s">
        <v>1717</v>
      </c>
      <c r="E95" s="6" t="s">
        <v>1906</v>
      </c>
      <c r="F95" s="6">
        <v>1.0</v>
      </c>
      <c r="G95" s="13">
        <v>793.21</v>
      </c>
      <c r="H95" s="6">
        <v>0.09</v>
      </c>
      <c r="I95" s="6" t="s">
        <v>1965</v>
      </c>
      <c r="J95" s="13">
        <v>721.8211</v>
      </c>
      <c r="K95" s="6" t="str">
        <f t="shared" si="1"/>
        <v>Low Earnings</v>
      </c>
    </row>
    <row r="96" ht="14.25" customHeight="1">
      <c r="A96" s="6" t="s">
        <v>2061</v>
      </c>
      <c r="B96" s="17">
        <v>45871.0</v>
      </c>
      <c r="C96" s="6" t="s">
        <v>966</v>
      </c>
      <c r="D96" s="6" t="s">
        <v>1837</v>
      </c>
      <c r="E96" s="6" t="s">
        <v>1934</v>
      </c>
      <c r="F96" s="6">
        <v>3.0</v>
      </c>
      <c r="G96" s="13">
        <v>435.61</v>
      </c>
      <c r="H96" s="6">
        <v>0.03</v>
      </c>
      <c r="I96" s="6" t="s">
        <v>1967</v>
      </c>
      <c r="J96" s="13">
        <v>1267.6251</v>
      </c>
      <c r="K96" s="6" t="str">
        <f t="shared" si="1"/>
        <v>Average Earnings</v>
      </c>
    </row>
    <row r="97" ht="14.25" customHeight="1">
      <c r="A97" s="6" t="s">
        <v>2062</v>
      </c>
      <c r="B97" s="17">
        <v>45531.0</v>
      </c>
      <c r="C97" s="6" t="s">
        <v>1218</v>
      </c>
      <c r="D97" s="6" t="s">
        <v>1669</v>
      </c>
      <c r="E97" s="6" t="s">
        <v>1944</v>
      </c>
      <c r="F97" s="6">
        <v>1.0</v>
      </c>
      <c r="G97" s="13">
        <v>850.06</v>
      </c>
      <c r="H97" s="6">
        <v>0.29</v>
      </c>
      <c r="I97" s="6" t="s">
        <v>1967</v>
      </c>
      <c r="J97" s="13">
        <v>603.5425999999999</v>
      </c>
      <c r="K97" s="6" t="str">
        <f t="shared" si="1"/>
        <v>Low Earnings</v>
      </c>
    </row>
    <row r="98" ht="14.25" customHeight="1">
      <c r="A98" s="6" t="s">
        <v>2063</v>
      </c>
      <c r="B98" s="17">
        <v>45330.0</v>
      </c>
      <c r="C98" s="6" t="s">
        <v>1104</v>
      </c>
      <c r="D98" s="6" t="s">
        <v>1626</v>
      </c>
      <c r="E98" s="6" t="s">
        <v>1944</v>
      </c>
      <c r="F98" s="6">
        <v>2.0</v>
      </c>
      <c r="G98" s="13">
        <v>753.92</v>
      </c>
      <c r="H98" s="6">
        <v>0.17</v>
      </c>
      <c r="I98" s="6" t="s">
        <v>1967</v>
      </c>
      <c r="J98" s="13">
        <v>1251.5072</v>
      </c>
      <c r="K98" s="6" t="str">
        <f t="shared" si="1"/>
        <v>Average Earnings</v>
      </c>
    </row>
    <row r="99" ht="14.25" customHeight="1">
      <c r="A99" s="6" t="s">
        <v>2064</v>
      </c>
      <c r="B99" s="17">
        <v>45311.0</v>
      </c>
      <c r="C99" s="6" t="s">
        <v>1517</v>
      </c>
      <c r="D99" s="6" t="s">
        <v>1577</v>
      </c>
      <c r="E99" s="6" t="s">
        <v>1937</v>
      </c>
      <c r="F99" s="6">
        <v>3.0</v>
      </c>
      <c r="G99" s="13">
        <v>408.99</v>
      </c>
      <c r="H99" s="6">
        <v>0.27</v>
      </c>
      <c r="I99" s="6" t="s">
        <v>1967</v>
      </c>
      <c r="J99" s="13">
        <v>895.6881</v>
      </c>
      <c r="K99" s="6" t="str">
        <f t="shared" si="1"/>
        <v>Low Earnings</v>
      </c>
    </row>
    <row r="100" ht="14.25" customHeight="1">
      <c r="A100" s="6" t="s">
        <v>2065</v>
      </c>
      <c r="B100" s="17">
        <v>45567.0</v>
      </c>
      <c r="C100" s="6" t="s">
        <v>920</v>
      </c>
      <c r="D100" s="6" t="s">
        <v>1758</v>
      </c>
      <c r="E100" s="6" t="s">
        <v>1913</v>
      </c>
      <c r="F100" s="6">
        <v>3.0</v>
      </c>
      <c r="G100" s="13">
        <v>404.5</v>
      </c>
      <c r="H100" s="6">
        <v>0.22</v>
      </c>
      <c r="I100" s="6" t="s">
        <v>1967</v>
      </c>
      <c r="J100" s="13">
        <v>946.5300000000001</v>
      </c>
      <c r="K100" s="6" t="str">
        <f t="shared" si="1"/>
        <v>Low Earnings</v>
      </c>
    </row>
    <row r="101" ht="14.25" customHeight="1">
      <c r="A101" s="6" t="s">
        <v>2066</v>
      </c>
      <c r="B101" s="17">
        <v>45239.0</v>
      </c>
      <c r="C101" s="6" t="s">
        <v>1203</v>
      </c>
      <c r="D101" s="6" t="s">
        <v>1701</v>
      </c>
      <c r="E101" s="6" t="s">
        <v>1906</v>
      </c>
      <c r="F101" s="6">
        <v>3.0</v>
      </c>
      <c r="G101" s="13">
        <v>717.81</v>
      </c>
      <c r="H101" s="6">
        <v>0.17</v>
      </c>
      <c r="I101" s="6" t="s">
        <v>1973</v>
      </c>
      <c r="J101" s="13">
        <v>1787.3469</v>
      </c>
      <c r="K101" s="6" t="str">
        <f t="shared" si="1"/>
        <v>Average Earnings</v>
      </c>
    </row>
    <row r="102" ht="14.25" customHeight="1">
      <c r="A102" s="6" t="s">
        <v>2067</v>
      </c>
      <c r="B102" s="17">
        <v>45284.0</v>
      </c>
      <c r="C102" s="6" t="s">
        <v>818</v>
      </c>
      <c r="D102" s="6" t="s">
        <v>1840</v>
      </c>
      <c r="E102" s="6" t="s">
        <v>1897</v>
      </c>
      <c r="F102" s="6">
        <v>3.0</v>
      </c>
      <c r="G102" s="13">
        <v>204.77</v>
      </c>
      <c r="H102" s="6">
        <v>0.14</v>
      </c>
      <c r="I102" s="6" t="s">
        <v>1965</v>
      </c>
      <c r="J102" s="13">
        <v>528.3066</v>
      </c>
      <c r="K102" s="6" t="str">
        <f t="shared" si="1"/>
        <v>Low Earnings</v>
      </c>
    </row>
    <row r="103" ht="14.25" customHeight="1">
      <c r="A103" s="6" t="s">
        <v>2068</v>
      </c>
      <c r="B103" s="17">
        <v>45686.0</v>
      </c>
      <c r="C103" s="6" t="s">
        <v>161</v>
      </c>
      <c r="D103" s="6" t="s">
        <v>1730</v>
      </c>
      <c r="E103" s="6" t="s">
        <v>1950</v>
      </c>
      <c r="F103" s="6">
        <v>4.0</v>
      </c>
      <c r="G103" s="13">
        <v>106.23</v>
      </c>
      <c r="H103" s="6">
        <v>0.28</v>
      </c>
      <c r="I103" s="6" t="s">
        <v>1973</v>
      </c>
      <c r="J103" s="13">
        <v>305.9424</v>
      </c>
      <c r="K103" s="6" t="str">
        <f t="shared" si="1"/>
        <v>Low Earnings</v>
      </c>
    </row>
    <row r="104" ht="14.25" customHeight="1">
      <c r="A104" s="6" t="s">
        <v>2069</v>
      </c>
      <c r="B104" s="17">
        <v>45738.0</v>
      </c>
      <c r="C104" s="6" t="s">
        <v>708</v>
      </c>
      <c r="D104" s="6" t="s">
        <v>1861</v>
      </c>
      <c r="E104" s="6" t="s">
        <v>1892</v>
      </c>
      <c r="F104" s="6">
        <v>3.0</v>
      </c>
      <c r="G104" s="13">
        <v>376.46</v>
      </c>
      <c r="H104" s="6">
        <v>0.09</v>
      </c>
      <c r="I104" s="6" t="s">
        <v>1973</v>
      </c>
      <c r="J104" s="13">
        <v>1027.7358</v>
      </c>
      <c r="K104" s="6" t="str">
        <f t="shared" si="1"/>
        <v>Average Earnings</v>
      </c>
    </row>
    <row r="105" ht="14.25" customHeight="1">
      <c r="A105" s="6" t="s">
        <v>2070</v>
      </c>
      <c r="B105" s="17">
        <v>45824.0</v>
      </c>
      <c r="C105" s="6" t="s">
        <v>1038</v>
      </c>
      <c r="D105" s="6" t="s">
        <v>1785</v>
      </c>
      <c r="E105" s="6" t="s">
        <v>1913</v>
      </c>
      <c r="F105" s="6">
        <v>2.0</v>
      </c>
      <c r="G105" s="13">
        <v>769.48</v>
      </c>
      <c r="H105" s="6">
        <v>0.11</v>
      </c>
      <c r="I105" s="6" t="s">
        <v>1967</v>
      </c>
      <c r="J105" s="13">
        <v>1369.6744</v>
      </c>
      <c r="K105" s="6" t="str">
        <f t="shared" si="1"/>
        <v>Average Earnings</v>
      </c>
    </row>
    <row r="106" ht="14.25" customHeight="1">
      <c r="A106" s="6" t="s">
        <v>2071</v>
      </c>
      <c r="B106" s="17">
        <v>45867.0</v>
      </c>
      <c r="C106" s="6" t="s">
        <v>830</v>
      </c>
      <c r="D106" s="6" t="s">
        <v>1758</v>
      </c>
      <c r="E106" s="6" t="s">
        <v>1937</v>
      </c>
      <c r="F106" s="6">
        <v>2.0</v>
      </c>
      <c r="G106" s="13">
        <v>714.21</v>
      </c>
      <c r="H106" s="6">
        <v>0.14</v>
      </c>
      <c r="I106" s="6" t="s">
        <v>1965</v>
      </c>
      <c r="J106" s="13">
        <v>1228.4412</v>
      </c>
      <c r="K106" s="6" t="str">
        <f t="shared" si="1"/>
        <v>Average Earnings</v>
      </c>
    </row>
    <row r="107" ht="14.25" customHeight="1">
      <c r="A107" s="6" t="s">
        <v>2072</v>
      </c>
      <c r="B107" s="17">
        <v>45578.0</v>
      </c>
      <c r="C107" s="6" t="s">
        <v>878</v>
      </c>
      <c r="D107" s="6" t="s">
        <v>1608</v>
      </c>
      <c r="E107" s="6" t="s">
        <v>1941</v>
      </c>
      <c r="F107" s="6">
        <v>4.0</v>
      </c>
      <c r="G107" s="13">
        <v>632.24</v>
      </c>
      <c r="H107" s="6">
        <v>0.25</v>
      </c>
      <c r="I107" s="6" t="s">
        <v>1967</v>
      </c>
      <c r="J107" s="13">
        <v>1896.72</v>
      </c>
      <c r="K107" s="6" t="str">
        <f t="shared" si="1"/>
        <v>Average Earnings</v>
      </c>
    </row>
    <row r="108" ht="14.25" customHeight="1">
      <c r="A108" s="6" t="s">
        <v>2073</v>
      </c>
      <c r="B108" s="17">
        <v>45575.0</v>
      </c>
      <c r="C108" s="6" t="s">
        <v>549</v>
      </c>
      <c r="D108" s="6" t="s">
        <v>1822</v>
      </c>
      <c r="E108" s="6" t="s">
        <v>1906</v>
      </c>
      <c r="F108" s="6">
        <v>2.0</v>
      </c>
      <c r="G108" s="13">
        <v>845.27</v>
      </c>
      <c r="H108" s="6">
        <v>0.18</v>
      </c>
      <c r="I108" s="6" t="s">
        <v>1967</v>
      </c>
      <c r="J108" s="13">
        <v>1386.2428</v>
      </c>
      <c r="K108" s="6" t="str">
        <f t="shared" si="1"/>
        <v>Average Earnings</v>
      </c>
    </row>
    <row r="109" ht="14.25" customHeight="1">
      <c r="A109" s="6" t="s">
        <v>2074</v>
      </c>
      <c r="B109" s="17">
        <v>45816.0</v>
      </c>
      <c r="C109" s="6" t="s">
        <v>1543</v>
      </c>
      <c r="D109" s="6" t="s">
        <v>1849</v>
      </c>
      <c r="E109" s="6" t="s">
        <v>1937</v>
      </c>
      <c r="F109" s="6">
        <v>1.0</v>
      </c>
      <c r="G109" s="13">
        <v>575.94</v>
      </c>
      <c r="H109" s="6">
        <v>0.17</v>
      </c>
      <c r="I109" s="6" t="s">
        <v>1965</v>
      </c>
      <c r="J109" s="13">
        <v>478.0302</v>
      </c>
      <c r="K109" s="6" t="str">
        <f t="shared" si="1"/>
        <v>Low Earnings</v>
      </c>
    </row>
    <row r="110" ht="14.25" customHeight="1">
      <c r="A110" s="6" t="s">
        <v>2075</v>
      </c>
      <c r="B110" s="17">
        <v>45620.0</v>
      </c>
      <c r="C110" s="6" t="s">
        <v>818</v>
      </c>
      <c r="D110" s="6" t="s">
        <v>1840</v>
      </c>
      <c r="E110" s="6" t="s">
        <v>1941</v>
      </c>
      <c r="F110" s="6">
        <v>1.0</v>
      </c>
      <c r="G110" s="13">
        <v>907.97</v>
      </c>
      <c r="H110" s="6">
        <v>0.26</v>
      </c>
      <c r="I110" s="6" t="s">
        <v>1973</v>
      </c>
      <c r="J110" s="13">
        <v>671.8978</v>
      </c>
      <c r="K110" s="6" t="str">
        <f t="shared" si="1"/>
        <v>Low Earnings</v>
      </c>
    </row>
    <row r="111" ht="14.25" customHeight="1">
      <c r="A111" s="6" t="s">
        <v>2076</v>
      </c>
      <c r="B111" s="17">
        <v>45695.0</v>
      </c>
      <c r="C111" s="6" t="s">
        <v>864</v>
      </c>
      <c r="D111" s="6" t="s">
        <v>1640</v>
      </c>
      <c r="E111" s="6" t="s">
        <v>1934</v>
      </c>
      <c r="F111" s="6">
        <v>1.0</v>
      </c>
      <c r="G111" s="13">
        <v>99.35</v>
      </c>
      <c r="H111" s="6">
        <v>0.08</v>
      </c>
      <c r="I111" s="6" t="s">
        <v>1973</v>
      </c>
      <c r="J111" s="13">
        <v>91.402</v>
      </c>
      <c r="K111" s="6" t="str">
        <f t="shared" si="1"/>
        <v>Low Earnings</v>
      </c>
    </row>
    <row r="112" ht="14.25" customHeight="1">
      <c r="A112" s="6" t="s">
        <v>2077</v>
      </c>
      <c r="B112" s="17">
        <v>45596.0</v>
      </c>
      <c r="C112" s="6" t="s">
        <v>269</v>
      </c>
      <c r="D112" s="6" t="s">
        <v>1560</v>
      </c>
      <c r="E112" s="6" t="s">
        <v>1906</v>
      </c>
      <c r="F112" s="6">
        <v>2.0</v>
      </c>
      <c r="G112" s="13">
        <v>374.42</v>
      </c>
      <c r="H112" s="6">
        <v>0.21</v>
      </c>
      <c r="I112" s="6" t="s">
        <v>1973</v>
      </c>
      <c r="J112" s="13">
        <v>591.5836</v>
      </c>
      <c r="K112" s="6" t="str">
        <f t="shared" si="1"/>
        <v>Low Earnings</v>
      </c>
    </row>
    <row r="113" ht="14.25" customHeight="1">
      <c r="A113" s="6" t="s">
        <v>2078</v>
      </c>
      <c r="B113" s="17">
        <v>45869.0</v>
      </c>
      <c r="C113" s="6" t="s">
        <v>1497</v>
      </c>
      <c r="D113" s="6" t="s">
        <v>1622</v>
      </c>
      <c r="E113" s="6" t="s">
        <v>1941</v>
      </c>
      <c r="F113" s="6">
        <v>3.0</v>
      </c>
      <c r="G113" s="13">
        <v>248.43</v>
      </c>
      <c r="H113" s="6">
        <v>0.24</v>
      </c>
      <c r="I113" s="6" t="s">
        <v>1973</v>
      </c>
      <c r="J113" s="13">
        <v>566.4204</v>
      </c>
      <c r="K113" s="6" t="str">
        <f t="shared" si="1"/>
        <v>Low Earnings</v>
      </c>
    </row>
    <row r="114" ht="14.25" customHeight="1">
      <c r="A114" s="6" t="s">
        <v>2079</v>
      </c>
      <c r="B114" s="17">
        <v>45631.0</v>
      </c>
      <c r="C114" s="6" t="s">
        <v>1459</v>
      </c>
      <c r="D114" s="6" t="s">
        <v>1843</v>
      </c>
      <c r="E114" s="6" t="s">
        <v>1897</v>
      </c>
      <c r="F114" s="6">
        <v>1.0</v>
      </c>
      <c r="G114" s="13">
        <v>784.46</v>
      </c>
      <c r="H114" s="6">
        <v>0.14</v>
      </c>
      <c r="I114" s="6" t="s">
        <v>1973</v>
      </c>
      <c r="J114" s="13">
        <v>674.6356000000001</v>
      </c>
      <c r="K114" s="6" t="str">
        <f t="shared" si="1"/>
        <v>Low Earnings</v>
      </c>
    </row>
    <row r="115" ht="14.25" customHeight="1">
      <c r="A115" s="6" t="s">
        <v>2080</v>
      </c>
      <c r="B115" s="17">
        <v>45801.0</v>
      </c>
      <c r="C115" s="6" t="s">
        <v>1023</v>
      </c>
      <c r="D115" s="6" t="s">
        <v>1701</v>
      </c>
      <c r="E115" s="6" t="s">
        <v>1897</v>
      </c>
      <c r="F115" s="6">
        <v>4.0</v>
      </c>
      <c r="G115" s="13">
        <v>286.92</v>
      </c>
      <c r="H115" s="6">
        <v>0.17</v>
      </c>
      <c r="I115" s="6" t="s">
        <v>1965</v>
      </c>
      <c r="J115" s="13">
        <v>952.5744</v>
      </c>
      <c r="K115" s="6" t="str">
        <f t="shared" si="1"/>
        <v>Low Earnings</v>
      </c>
    </row>
    <row r="116" ht="14.25" customHeight="1">
      <c r="A116" s="6" t="s">
        <v>2081</v>
      </c>
      <c r="B116" s="17">
        <v>45851.0</v>
      </c>
      <c r="C116" s="6" t="s">
        <v>47</v>
      </c>
      <c r="D116" s="6" t="s">
        <v>1711</v>
      </c>
      <c r="E116" s="6" t="s">
        <v>1922</v>
      </c>
      <c r="F116" s="6">
        <v>4.0</v>
      </c>
      <c r="G116" s="13">
        <v>239.83</v>
      </c>
      <c r="H116" s="6">
        <v>0.08</v>
      </c>
      <c r="I116" s="6" t="s">
        <v>1965</v>
      </c>
      <c r="J116" s="13">
        <v>882.5744000000001</v>
      </c>
      <c r="K116" s="6" t="str">
        <f t="shared" si="1"/>
        <v>Low Earnings</v>
      </c>
    </row>
    <row r="117" ht="14.25" customHeight="1">
      <c r="A117" s="6" t="s">
        <v>2082</v>
      </c>
      <c r="B117" s="17">
        <v>45379.0</v>
      </c>
      <c r="C117" s="6" t="s">
        <v>842</v>
      </c>
      <c r="D117" s="6" t="s">
        <v>1743</v>
      </c>
      <c r="E117" s="6" t="s">
        <v>1929</v>
      </c>
      <c r="F117" s="6">
        <v>3.0</v>
      </c>
      <c r="G117" s="13">
        <v>70.88</v>
      </c>
      <c r="H117" s="6">
        <v>0.27</v>
      </c>
      <c r="I117" s="6" t="s">
        <v>1973</v>
      </c>
      <c r="J117" s="13">
        <v>155.2272</v>
      </c>
      <c r="K117" s="6" t="str">
        <f t="shared" si="1"/>
        <v>Low Earnings</v>
      </c>
    </row>
    <row r="118" ht="14.25" customHeight="1">
      <c r="A118" s="6" t="s">
        <v>2083</v>
      </c>
      <c r="B118" s="17">
        <v>45641.0</v>
      </c>
      <c r="C118" s="6" t="s">
        <v>395</v>
      </c>
      <c r="D118" s="6" t="s">
        <v>1595</v>
      </c>
      <c r="E118" s="6" t="s">
        <v>1897</v>
      </c>
      <c r="F118" s="6">
        <v>3.0</v>
      </c>
      <c r="G118" s="13">
        <v>324.29</v>
      </c>
      <c r="H118" s="6">
        <v>0.16</v>
      </c>
      <c r="I118" s="6" t="s">
        <v>1973</v>
      </c>
      <c r="J118" s="13">
        <v>817.2108000000001</v>
      </c>
      <c r="K118" s="6" t="str">
        <f t="shared" si="1"/>
        <v>Low Earnings</v>
      </c>
    </row>
    <row r="119" ht="14.25" customHeight="1">
      <c r="A119" s="6" t="s">
        <v>2084</v>
      </c>
      <c r="B119" s="17">
        <v>45842.0</v>
      </c>
      <c r="C119" s="6" t="s">
        <v>489</v>
      </c>
      <c r="D119" s="6" t="s">
        <v>1622</v>
      </c>
      <c r="E119" s="6" t="s">
        <v>1906</v>
      </c>
      <c r="F119" s="6">
        <v>4.0</v>
      </c>
      <c r="G119" s="13">
        <v>243.92</v>
      </c>
      <c r="H119" s="6">
        <v>0.02</v>
      </c>
      <c r="I119" s="6" t="s">
        <v>1967</v>
      </c>
      <c r="J119" s="13">
        <v>956.1664</v>
      </c>
      <c r="K119" s="6" t="str">
        <f t="shared" si="1"/>
        <v>Low Earnings</v>
      </c>
    </row>
    <row r="120" ht="14.25" customHeight="1">
      <c r="A120" s="6" t="s">
        <v>2085</v>
      </c>
      <c r="B120" s="17">
        <v>45257.0</v>
      </c>
      <c r="C120" s="6" t="s">
        <v>1188</v>
      </c>
      <c r="D120" s="6" t="s">
        <v>1666</v>
      </c>
      <c r="E120" s="6" t="s">
        <v>1937</v>
      </c>
      <c r="F120" s="6">
        <v>1.0</v>
      </c>
      <c r="G120" s="13">
        <v>664.35</v>
      </c>
      <c r="H120" s="6">
        <v>0.0</v>
      </c>
      <c r="I120" s="6" t="s">
        <v>1965</v>
      </c>
      <c r="J120" s="13">
        <v>664.35</v>
      </c>
      <c r="K120" s="6" t="str">
        <f t="shared" si="1"/>
        <v>Low Earnings</v>
      </c>
    </row>
    <row r="121" ht="14.25" customHeight="1">
      <c r="A121" s="6" t="s">
        <v>2086</v>
      </c>
      <c r="B121" s="17">
        <v>45468.0</v>
      </c>
      <c r="C121" s="6" t="s">
        <v>1215</v>
      </c>
      <c r="D121" s="6" t="s">
        <v>1643</v>
      </c>
      <c r="E121" s="6" t="s">
        <v>1929</v>
      </c>
      <c r="F121" s="6">
        <v>2.0</v>
      </c>
      <c r="G121" s="13">
        <v>218.07</v>
      </c>
      <c r="H121" s="6">
        <v>0.19</v>
      </c>
      <c r="I121" s="6" t="s">
        <v>1967</v>
      </c>
      <c r="J121" s="13">
        <v>353.2734</v>
      </c>
      <c r="K121" s="6" t="str">
        <f t="shared" si="1"/>
        <v>Low Earnings</v>
      </c>
    </row>
    <row r="122" ht="14.25" customHeight="1">
      <c r="A122" s="6" t="s">
        <v>2087</v>
      </c>
      <c r="B122" s="17">
        <v>45228.0</v>
      </c>
      <c r="C122" s="6" t="s">
        <v>1212</v>
      </c>
      <c r="D122" s="6" t="s">
        <v>1622</v>
      </c>
      <c r="E122" s="6" t="s">
        <v>1906</v>
      </c>
      <c r="F122" s="6">
        <v>4.0</v>
      </c>
      <c r="G122" s="13">
        <v>921.83</v>
      </c>
      <c r="H122" s="6">
        <v>0.27</v>
      </c>
      <c r="I122" s="6" t="s">
        <v>1965</v>
      </c>
      <c r="J122" s="13">
        <v>2691.7436</v>
      </c>
      <c r="K122" s="6" t="str">
        <f t="shared" si="1"/>
        <v>High Earnings</v>
      </c>
    </row>
    <row r="123" ht="14.25" customHeight="1">
      <c r="A123" s="6" t="s">
        <v>2088</v>
      </c>
      <c r="B123" s="17">
        <v>45661.0</v>
      </c>
      <c r="C123" s="6" t="s">
        <v>570</v>
      </c>
      <c r="D123" s="6" t="s">
        <v>1737</v>
      </c>
      <c r="E123" s="6" t="s">
        <v>1897</v>
      </c>
      <c r="F123" s="6">
        <v>3.0</v>
      </c>
      <c r="G123" s="13">
        <v>326.2</v>
      </c>
      <c r="H123" s="6">
        <v>0.22</v>
      </c>
      <c r="I123" s="6" t="s">
        <v>1973</v>
      </c>
      <c r="J123" s="13">
        <v>763.308</v>
      </c>
      <c r="K123" s="6" t="str">
        <f t="shared" si="1"/>
        <v>Low Earnings</v>
      </c>
    </row>
    <row r="124" ht="14.25" customHeight="1">
      <c r="A124" s="6" t="s">
        <v>2089</v>
      </c>
      <c r="B124" s="17">
        <v>45701.0</v>
      </c>
      <c r="C124" s="6" t="s">
        <v>1430</v>
      </c>
      <c r="D124" s="6" t="s">
        <v>1630</v>
      </c>
      <c r="E124" s="6" t="s">
        <v>1953</v>
      </c>
      <c r="F124" s="6">
        <v>1.0</v>
      </c>
      <c r="G124" s="13">
        <v>244.25</v>
      </c>
      <c r="H124" s="6">
        <v>0.09</v>
      </c>
      <c r="I124" s="6" t="s">
        <v>1967</v>
      </c>
      <c r="J124" s="13">
        <v>222.2675</v>
      </c>
      <c r="K124" s="6" t="str">
        <f t="shared" si="1"/>
        <v>Low Earnings</v>
      </c>
    </row>
    <row r="125" ht="14.25" customHeight="1">
      <c r="A125" s="6" t="s">
        <v>2090</v>
      </c>
      <c r="B125" s="17">
        <v>45448.0</v>
      </c>
      <c r="C125" s="6" t="s">
        <v>1170</v>
      </c>
      <c r="D125" s="6" t="s">
        <v>1770</v>
      </c>
      <c r="E125" s="6" t="s">
        <v>1929</v>
      </c>
      <c r="F125" s="6">
        <v>3.0</v>
      </c>
      <c r="G125" s="13">
        <v>808.87</v>
      </c>
      <c r="H125" s="6">
        <v>0.12</v>
      </c>
      <c r="I125" s="6" t="s">
        <v>1973</v>
      </c>
      <c r="J125" s="13">
        <v>2135.4168</v>
      </c>
      <c r="K125" s="6" t="str">
        <f t="shared" si="1"/>
        <v>Average Earnings</v>
      </c>
    </row>
    <row r="126" ht="14.25" customHeight="1">
      <c r="A126" s="6" t="s">
        <v>2091</v>
      </c>
      <c r="B126" s="17">
        <v>45387.0</v>
      </c>
      <c r="C126" s="6" t="s">
        <v>1077</v>
      </c>
      <c r="D126" s="6" t="s">
        <v>1675</v>
      </c>
      <c r="E126" s="6" t="s">
        <v>1901</v>
      </c>
      <c r="F126" s="6">
        <v>3.0</v>
      </c>
      <c r="G126" s="13">
        <v>826.15</v>
      </c>
      <c r="H126" s="6">
        <v>0.0</v>
      </c>
      <c r="I126" s="6" t="s">
        <v>1967</v>
      </c>
      <c r="J126" s="13">
        <v>2478.45</v>
      </c>
      <c r="K126" s="6" t="str">
        <f t="shared" si="1"/>
        <v>Average Earnings</v>
      </c>
    </row>
    <row r="127" ht="14.25" customHeight="1">
      <c r="A127" s="6" t="s">
        <v>2092</v>
      </c>
      <c r="B127" s="17">
        <v>45798.0</v>
      </c>
      <c r="C127" s="6" t="s">
        <v>422</v>
      </c>
      <c r="D127" s="6" t="s">
        <v>1858</v>
      </c>
      <c r="E127" s="6" t="s">
        <v>1906</v>
      </c>
      <c r="F127" s="6">
        <v>2.0</v>
      </c>
      <c r="G127" s="13">
        <v>845.71</v>
      </c>
      <c r="H127" s="6">
        <v>0.01</v>
      </c>
      <c r="I127" s="6" t="s">
        <v>1967</v>
      </c>
      <c r="J127" s="13">
        <v>1674.5058</v>
      </c>
      <c r="K127" s="6" t="str">
        <f t="shared" si="1"/>
        <v>Average Earnings</v>
      </c>
    </row>
    <row r="128" ht="14.25" customHeight="1">
      <c r="A128" s="6" t="s">
        <v>2093</v>
      </c>
      <c r="B128" s="17">
        <v>45652.0</v>
      </c>
      <c r="C128" s="6" t="s">
        <v>628</v>
      </c>
      <c r="D128" s="6" t="s">
        <v>1653</v>
      </c>
      <c r="E128" s="6" t="s">
        <v>1953</v>
      </c>
      <c r="F128" s="6">
        <v>3.0</v>
      </c>
      <c r="G128" s="13">
        <v>631.2</v>
      </c>
      <c r="H128" s="6">
        <v>0.24</v>
      </c>
      <c r="I128" s="6" t="s">
        <v>1965</v>
      </c>
      <c r="J128" s="13">
        <v>1439.136</v>
      </c>
      <c r="K128" s="6" t="str">
        <f t="shared" si="1"/>
        <v>Average Earnings</v>
      </c>
    </row>
    <row r="129" ht="14.25" customHeight="1">
      <c r="A129" s="6" t="s">
        <v>2094</v>
      </c>
      <c r="B129" s="17">
        <v>45316.0</v>
      </c>
      <c r="C129" s="6" t="s">
        <v>887</v>
      </c>
      <c r="D129" s="6" t="s">
        <v>1761</v>
      </c>
      <c r="E129" s="6" t="s">
        <v>1929</v>
      </c>
      <c r="F129" s="6">
        <v>1.0</v>
      </c>
      <c r="G129" s="13">
        <v>937.01</v>
      </c>
      <c r="H129" s="6">
        <v>0.07</v>
      </c>
      <c r="I129" s="6" t="s">
        <v>1965</v>
      </c>
      <c r="J129" s="13">
        <v>871.4192999999999</v>
      </c>
      <c r="K129" s="6" t="str">
        <f t="shared" si="1"/>
        <v>Low Earnings</v>
      </c>
    </row>
    <row r="130" ht="14.25" customHeight="1">
      <c r="A130" s="6" t="s">
        <v>2095</v>
      </c>
      <c r="B130" s="17">
        <v>45316.0</v>
      </c>
      <c r="C130" s="6" t="s">
        <v>519</v>
      </c>
      <c r="D130" s="6" t="s">
        <v>1807</v>
      </c>
      <c r="E130" s="6" t="s">
        <v>1913</v>
      </c>
      <c r="F130" s="6">
        <v>2.0</v>
      </c>
      <c r="G130" s="13">
        <v>644.0</v>
      </c>
      <c r="H130" s="6">
        <v>0.04</v>
      </c>
      <c r="I130" s="6" t="s">
        <v>1967</v>
      </c>
      <c r="J130" s="13">
        <v>1236.48</v>
      </c>
      <c r="K130" s="6" t="str">
        <f t="shared" si="1"/>
        <v>Average Earnings</v>
      </c>
    </row>
    <row r="131" ht="14.25" customHeight="1">
      <c r="A131" s="6" t="s">
        <v>2096</v>
      </c>
      <c r="B131" s="17">
        <v>45888.0</v>
      </c>
      <c r="C131" s="6" t="s">
        <v>346</v>
      </c>
      <c r="D131" s="6" t="s">
        <v>1861</v>
      </c>
      <c r="E131" s="6" t="s">
        <v>1913</v>
      </c>
      <c r="F131" s="6">
        <v>3.0</v>
      </c>
      <c r="G131" s="13">
        <v>629.58</v>
      </c>
      <c r="H131" s="6">
        <v>0.05</v>
      </c>
      <c r="I131" s="6" t="s">
        <v>1965</v>
      </c>
      <c r="J131" s="13">
        <v>1794.303</v>
      </c>
      <c r="K131" s="6" t="str">
        <f t="shared" si="1"/>
        <v>Average Earnings</v>
      </c>
    </row>
    <row r="132" ht="14.25" customHeight="1">
      <c r="A132" s="6" t="s">
        <v>2097</v>
      </c>
      <c r="B132" s="17">
        <v>45791.0</v>
      </c>
      <c r="C132" s="6" t="s">
        <v>1453</v>
      </c>
      <c r="D132" s="6" t="s">
        <v>1849</v>
      </c>
      <c r="E132" s="6" t="s">
        <v>1901</v>
      </c>
      <c r="F132" s="6">
        <v>2.0</v>
      </c>
      <c r="G132" s="13">
        <v>121.52</v>
      </c>
      <c r="H132" s="6">
        <v>0.18</v>
      </c>
      <c r="I132" s="6" t="s">
        <v>1973</v>
      </c>
      <c r="J132" s="13">
        <v>199.2928</v>
      </c>
      <c r="K132" s="6" t="str">
        <f t="shared" si="1"/>
        <v>Low Earnings</v>
      </c>
    </row>
    <row r="133" ht="14.25" customHeight="1">
      <c r="A133" s="6" t="s">
        <v>2098</v>
      </c>
      <c r="B133" s="17">
        <v>45420.0</v>
      </c>
      <c r="C133" s="6" t="s">
        <v>1265</v>
      </c>
      <c r="D133" s="6" t="s">
        <v>1782</v>
      </c>
      <c r="E133" s="6" t="s">
        <v>1953</v>
      </c>
      <c r="F133" s="6">
        <v>2.0</v>
      </c>
      <c r="G133" s="13">
        <v>549.83</v>
      </c>
      <c r="H133" s="6">
        <v>0.07</v>
      </c>
      <c r="I133" s="6" t="s">
        <v>1967</v>
      </c>
      <c r="J133" s="13">
        <v>1022.6838</v>
      </c>
      <c r="K133" s="6" t="str">
        <f t="shared" si="1"/>
        <v>Average Earnings</v>
      </c>
    </row>
    <row r="134" ht="14.25" customHeight="1">
      <c r="A134" s="6" t="s">
        <v>2099</v>
      </c>
      <c r="B134" s="17">
        <v>45219.0</v>
      </c>
      <c r="C134" s="6" t="s">
        <v>486</v>
      </c>
      <c r="D134" s="6" t="s">
        <v>1615</v>
      </c>
      <c r="E134" s="6" t="s">
        <v>1922</v>
      </c>
      <c r="F134" s="6">
        <v>3.0</v>
      </c>
      <c r="G134" s="13">
        <v>278.38</v>
      </c>
      <c r="H134" s="6">
        <v>0.03</v>
      </c>
      <c r="I134" s="6" t="s">
        <v>1965</v>
      </c>
      <c r="J134" s="13">
        <v>810.0858</v>
      </c>
      <c r="K134" s="6" t="str">
        <f t="shared" si="1"/>
        <v>Low Earnings</v>
      </c>
    </row>
    <row r="135" ht="14.25" customHeight="1">
      <c r="A135" s="6" t="s">
        <v>2100</v>
      </c>
      <c r="B135" s="17">
        <v>45510.0</v>
      </c>
      <c r="C135" s="6" t="s">
        <v>1371</v>
      </c>
      <c r="D135" s="6" t="s">
        <v>1876</v>
      </c>
      <c r="E135" s="6" t="s">
        <v>1906</v>
      </c>
      <c r="F135" s="6">
        <v>4.0</v>
      </c>
      <c r="G135" s="13">
        <v>723.66</v>
      </c>
      <c r="H135" s="6">
        <v>0.03</v>
      </c>
      <c r="I135" s="6" t="s">
        <v>1967</v>
      </c>
      <c r="J135" s="13">
        <v>2807.8008</v>
      </c>
      <c r="K135" s="6" t="str">
        <f t="shared" si="1"/>
        <v>High Earnings</v>
      </c>
    </row>
    <row r="136" ht="14.25" customHeight="1">
      <c r="A136" s="6" t="s">
        <v>2101</v>
      </c>
      <c r="B136" s="17">
        <v>45687.0</v>
      </c>
      <c r="C136" s="6" t="s">
        <v>681</v>
      </c>
      <c r="D136" s="6" t="s">
        <v>1804</v>
      </c>
      <c r="E136" s="6" t="s">
        <v>1926</v>
      </c>
      <c r="F136" s="6">
        <v>1.0</v>
      </c>
      <c r="G136" s="13">
        <v>724.74</v>
      </c>
      <c r="H136" s="6">
        <v>0.15</v>
      </c>
      <c r="I136" s="6" t="s">
        <v>1967</v>
      </c>
      <c r="J136" s="13">
        <v>616.029</v>
      </c>
      <c r="K136" s="6" t="str">
        <f t="shared" si="1"/>
        <v>Low Earnings</v>
      </c>
    </row>
    <row r="137" ht="14.25" customHeight="1">
      <c r="A137" s="6" t="s">
        <v>2102</v>
      </c>
      <c r="B137" s="17">
        <v>45271.0</v>
      </c>
      <c r="C137" s="6" t="s">
        <v>1421</v>
      </c>
      <c r="D137" s="6" t="s">
        <v>1643</v>
      </c>
      <c r="E137" s="6" t="s">
        <v>1909</v>
      </c>
      <c r="F137" s="6">
        <v>2.0</v>
      </c>
      <c r="G137" s="13">
        <v>961.84</v>
      </c>
      <c r="H137" s="6">
        <v>0.25</v>
      </c>
      <c r="I137" s="6" t="s">
        <v>1967</v>
      </c>
      <c r="J137" s="13">
        <v>1442.76</v>
      </c>
      <c r="K137" s="6" t="str">
        <f t="shared" si="1"/>
        <v>Average Earnings</v>
      </c>
    </row>
    <row r="138" ht="14.25" customHeight="1">
      <c r="A138" s="6" t="s">
        <v>2103</v>
      </c>
      <c r="B138" s="17">
        <v>45705.0</v>
      </c>
      <c r="C138" s="6" t="s">
        <v>322</v>
      </c>
      <c r="D138" s="6" t="s">
        <v>1816</v>
      </c>
      <c r="E138" s="6" t="s">
        <v>1937</v>
      </c>
      <c r="F138" s="6">
        <v>3.0</v>
      </c>
      <c r="G138" s="13">
        <v>948.69</v>
      </c>
      <c r="H138" s="6">
        <v>0.29</v>
      </c>
      <c r="I138" s="6" t="s">
        <v>1965</v>
      </c>
      <c r="J138" s="13">
        <v>2020.7097</v>
      </c>
      <c r="K138" s="6" t="str">
        <f t="shared" si="1"/>
        <v>Average Earnings</v>
      </c>
    </row>
    <row r="139" ht="14.25" customHeight="1">
      <c r="A139" s="6" t="s">
        <v>2104</v>
      </c>
      <c r="B139" s="17">
        <v>45446.0</v>
      </c>
      <c r="C139" s="6" t="s">
        <v>96</v>
      </c>
      <c r="D139" s="6" t="s">
        <v>1694</v>
      </c>
      <c r="E139" s="6" t="s">
        <v>1944</v>
      </c>
      <c r="F139" s="6">
        <v>4.0</v>
      </c>
      <c r="G139" s="13">
        <v>21.12</v>
      </c>
      <c r="H139" s="6">
        <v>0.18</v>
      </c>
      <c r="I139" s="6" t="s">
        <v>1973</v>
      </c>
      <c r="J139" s="13">
        <v>69.2736</v>
      </c>
      <c r="K139" s="6" t="str">
        <f t="shared" si="1"/>
        <v>Low Earnings</v>
      </c>
    </row>
    <row r="140" ht="14.25" customHeight="1">
      <c r="A140" s="6" t="s">
        <v>2105</v>
      </c>
      <c r="B140" s="17">
        <v>45579.0</v>
      </c>
      <c r="C140" s="6" t="s">
        <v>1020</v>
      </c>
      <c r="D140" s="6" t="s">
        <v>1560</v>
      </c>
      <c r="E140" s="6" t="s">
        <v>1909</v>
      </c>
      <c r="F140" s="6">
        <v>3.0</v>
      </c>
      <c r="G140" s="13">
        <v>819.93</v>
      </c>
      <c r="H140" s="6">
        <v>0.08</v>
      </c>
      <c r="I140" s="6" t="s">
        <v>1967</v>
      </c>
      <c r="J140" s="13">
        <v>2263.0068</v>
      </c>
      <c r="K140" s="6" t="str">
        <f t="shared" si="1"/>
        <v>Average Earnings</v>
      </c>
    </row>
    <row r="141" ht="14.25" customHeight="1">
      <c r="A141" s="6" t="s">
        <v>2106</v>
      </c>
      <c r="B141" s="17">
        <v>45725.0</v>
      </c>
      <c r="C141" s="6" t="s">
        <v>947</v>
      </c>
      <c r="D141" s="6" t="s">
        <v>1711</v>
      </c>
      <c r="E141" s="6" t="s">
        <v>1892</v>
      </c>
      <c r="F141" s="6">
        <v>2.0</v>
      </c>
      <c r="G141" s="13">
        <v>700.95</v>
      </c>
      <c r="H141" s="6">
        <v>0.18</v>
      </c>
      <c r="I141" s="6" t="s">
        <v>1965</v>
      </c>
      <c r="J141" s="13">
        <v>1149.558</v>
      </c>
      <c r="K141" s="6" t="str">
        <f t="shared" si="1"/>
        <v>Average Earnings</v>
      </c>
    </row>
    <row r="142" ht="14.25" customHeight="1">
      <c r="A142" s="6" t="s">
        <v>2107</v>
      </c>
      <c r="B142" s="17">
        <v>45910.0</v>
      </c>
      <c r="C142" s="6" t="s">
        <v>489</v>
      </c>
      <c r="D142" s="6" t="s">
        <v>1630</v>
      </c>
      <c r="E142" s="6" t="s">
        <v>1939</v>
      </c>
      <c r="F142" s="6">
        <v>2.0</v>
      </c>
      <c r="G142" s="13">
        <v>456.38</v>
      </c>
      <c r="H142" s="6">
        <v>0.12</v>
      </c>
      <c r="I142" s="6" t="s">
        <v>1965</v>
      </c>
      <c r="J142" s="13">
        <v>803.2288</v>
      </c>
      <c r="K142" s="6" t="str">
        <f t="shared" si="1"/>
        <v>Low Earnings</v>
      </c>
    </row>
    <row r="143" ht="14.25" customHeight="1">
      <c r="A143" s="6" t="s">
        <v>2108</v>
      </c>
      <c r="B143" s="17">
        <v>45447.0</v>
      </c>
      <c r="C143" s="6" t="s">
        <v>1146</v>
      </c>
      <c r="D143" s="6" t="s">
        <v>1816</v>
      </c>
      <c r="E143" s="6" t="s">
        <v>1939</v>
      </c>
      <c r="F143" s="6">
        <v>3.0</v>
      </c>
      <c r="G143" s="13">
        <v>291.05</v>
      </c>
      <c r="H143" s="6">
        <v>0.3</v>
      </c>
      <c r="I143" s="6" t="s">
        <v>1965</v>
      </c>
      <c r="J143" s="13">
        <v>611.205</v>
      </c>
      <c r="K143" s="6" t="str">
        <f t="shared" si="1"/>
        <v>Low Earnings</v>
      </c>
    </row>
    <row r="144" ht="14.25" customHeight="1">
      <c r="A144" s="6" t="s">
        <v>2109</v>
      </c>
      <c r="B144" s="17">
        <v>45307.0</v>
      </c>
      <c r="C144" s="6" t="s">
        <v>764</v>
      </c>
      <c r="D144" s="6" t="s">
        <v>1873</v>
      </c>
      <c r="E144" s="6" t="s">
        <v>1941</v>
      </c>
      <c r="F144" s="6">
        <v>2.0</v>
      </c>
      <c r="G144" s="13">
        <v>463.52</v>
      </c>
      <c r="H144" s="6">
        <v>0.27</v>
      </c>
      <c r="I144" s="6" t="s">
        <v>1967</v>
      </c>
      <c r="J144" s="13">
        <v>676.7392</v>
      </c>
      <c r="K144" s="6" t="str">
        <f t="shared" si="1"/>
        <v>Low Earnings</v>
      </c>
    </row>
    <row r="145" ht="14.25" customHeight="1">
      <c r="A145" s="6" t="s">
        <v>2110</v>
      </c>
      <c r="B145" s="17">
        <v>45653.0</v>
      </c>
      <c r="C145" s="6" t="s">
        <v>1200</v>
      </c>
      <c r="D145" s="6" t="s">
        <v>1560</v>
      </c>
      <c r="E145" s="6" t="s">
        <v>1947</v>
      </c>
      <c r="F145" s="6">
        <v>3.0</v>
      </c>
      <c r="G145" s="13">
        <v>241.64</v>
      </c>
      <c r="H145" s="6">
        <v>0.29</v>
      </c>
      <c r="I145" s="6" t="s">
        <v>1967</v>
      </c>
      <c r="J145" s="13">
        <v>514.6931999999999</v>
      </c>
      <c r="K145" s="6" t="str">
        <f t="shared" si="1"/>
        <v>Low Earnings</v>
      </c>
    </row>
    <row r="146" ht="14.25" customHeight="1">
      <c r="A146" s="6" t="s">
        <v>2111</v>
      </c>
      <c r="B146" s="17">
        <v>45817.0</v>
      </c>
      <c r="C146" s="6" t="s">
        <v>1503</v>
      </c>
      <c r="D146" s="6" t="s">
        <v>1672</v>
      </c>
      <c r="E146" s="6" t="s">
        <v>1929</v>
      </c>
      <c r="F146" s="6">
        <v>2.0</v>
      </c>
      <c r="G146" s="13">
        <v>47.86</v>
      </c>
      <c r="H146" s="6">
        <v>0.03</v>
      </c>
      <c r="I146" s="6" t="s">
        <v>1967</v>
      </c>
      <c r="J146" s="13">
        <v>92.8484</v>
      </c>
      <c r="K146" s="6" t="str">
        <f t="shared" si="1"/>
        <v>Low Earnings</v>
      </c>
    </row>
    <row r="147" ht="14.25" customHeight="1">
      <c r="A147" s="6" t="s">
        <v>2112</v>
      </c>
      <c r="B147" s="17">
        <v>45509.0</v>
      </c>
      <c r="C147" s="6" t="s">
        <v>1095</v>
      </c>
      <c r="D147" s="6" t="s">
        <v>1864</v>
      </c>
      <c r="E147" s="6" t="s">
        <v>1906</v>
      </c>
      <c r="F147" s="6">
        <v>1.0</v>
      </c>
      <c r="G147" s="13">
        <v>805.07</v>
      </c>
      <c r="H147" s="6">
        <v>0.06</v>
      </c>
      <c r="I147" s="6" t="s">
        <v>1973</v>
      </c>
      <c r="J147" s="13">
        <v>756.7658</v>
      </c>
      <c r="K147" s="6" t="str">
        <f t="shared" si="1"/>
        <v>Low Earnings</v>
      </c>
    </row>
    <row r="148" ht="14.25" customHeight="1">
      <c r="A148" s="6" t="s">
        <v>2113</v>
      </c>
      <c r="B148" s="17">
        <v>45753.0</v>
      </c>
      <c r="C148" s="6" t="s">
        <v>1182</v>
      </c>
      <c r="D148" s="6" t="s">
        <v>1685</v>
      </c>
      <c r="E148" s="6" t="s">
        <v>1897</v>
      </c>
      <c r="F148" s="6">
        <v>3.0</v>
      </c>
      <c r="G148" s="13">
        <v>848.48</v>
      </c>
      <c r="H148" s="6">
        <v>0.0</v>
      </c>
      <c r="I148" s="6" t="s">
        <v>1973</v>
      </c>
      <c r="J148" s="13">
        <v>2545.44</v>
      </c>
      <c r="K148" s="6" t="str">
        <f t="shared" si="1"/>
        <v>High Earnings</v>
      </c>
    </row>
    <row r="149" ht="14.25" customHeight="1">
      <c r="A149" s="6" t="s">
        <v>2114</v>
      </c>
      <c r="B149" s="17">
        <v>45413.0</v>
      </c>
      <c r="C149" s="6" t="s">
        <v>1456</v>
      </c>
      <c r="D149" s="6" t="s">
        <v>1663</v>
      </c>
      <c r="E149" s="6" t="s">
        <v>1929</v>
      </c>
      <c r="F149" s="6">
        <v>1.0</v>
      </c>
      <c r="G149" s="13">
        <v>281.97</v>
      </c>
      <c r="H149" s="6">
        <v>0.2</v>
      </c>
      <c r="I149" s="6" t="s">
        <v>1967</v>
      </c>
      <c r="J149" s="13">
        <v>225.576</v>
      </c>
      <c r="K149" s="6" t="str">
        <f t="shared" si="1"/>
        <v>Low Earnings</v>
      </c>
    </row>
    <row r="150" ht="14.25" customHeight="1">
      <c r="A150" s="6" t="s">
        <v>2115</v>
      </c>
      <c r="B150" s="17">
        <v>45512.0</v>
      </c>
      <c r="C150" s="6" t="s">
        <v>797</v>
      </c>
      <c r="D150" s="6" t="s">
        <v>1746</v>
      </c>
      <c r="E150" s="6" t="s">
        <v>1922</v>
      </c>
      <c r="F150" s="6">
        <v>2.0</v>
      </c>
      <c r="G150" s="13">
        <v>568.95</v>
      </c>
      <c r="H150" s="6">
        <v>0.22</v>
      </c>
      <c r="I150" s="6" t="s">
        <v>1965</v>
      </c>
      <c r="J150" s="13">
        <v>887.5620000000001</v>
      </c>
      <c r="K150" s="6" t="str">
        <f t="shared" si="1"/>
        <v>Low Earnings</v>
      </c>
    </row>
    <row r="151" ht="14.25" customHeight="1">
      <c r="A151" s="6" t="s">
        <v>2116</v>
      </c>
      <c r="B151" s="17">
        <v>45764.0</v>
      </c>
      <c r="C151" s="6" t="s">
        <v>552</v>
      </c>
      <c r="D151" s="6" t="s">
        <v>1746</v>
      </c>
      <c r="E151" s="6" t="s">
        <v>1932</v>
      </c>
      <c r="F151" s="6">
        <v>3.0</v>
      </c>
      <c r="G151" s="13">
        <v>269.84</v>
      </c>
      <c r="H151" s="6">
        <v>0.05</v>
      </c>
      <c r="I151" s="6" t="s">
        <v>1967</v>
      </c>
      <c r="J151" s="13">
        <v>769.044</v>
      </c>
      <c r="K151" s="6" t="str">
        <f t="shared" si="1"/>
        <v>Low Earnings</v>
      </c>
    </row>
    <row r="152" ht="14.25" customHeight="1">
      <c r="A152" s="6" t="s">
        <v>2117</v>
      </c>
      <c r="B152" s="17">
        <v>45746.0</v>
      </c>
      <c r="C152" s="6" t="s">
        <v>990</v>
      </c>
      <c r="D152" s="6" t="s">
        <v>1773</v>
      </c>
      <c r="E152" s="6" t="s">
        <v>1937</v>
      </c>
      <c r="F152" s="6">
        <v>4.0</v>
      </c>
      <c r="G152" s="13">
        <v>267.36</v>
      </c>
      <c r="H152" s="6">
        <v>0.27</v>
      </c>
      <c r="I152" s="6" t="s">
        <v>1967</v>
      </c>
      <c r="J152" s="13">
        <v>780.6912</v>
      </c>
      <c r="K152" s="6" t="str">
        <f t="shared" si="1"/>
        <v>Low Earnings</v>
      </c>
    </row>
    <row r="153" ht="14.25" customHeight="1">
      <c r="A153" s="6" t="s">
        <v>2118</v>
      </c>
      <c r="B153" s="17">
        <v>45647.0</v>
      </c>
      <c r="C153" s="6" t="s">
        <v>407</v>
      </c>
      <c r="D153" s="6" t="s">
        <v>1694</v>
      </c>
      <c r="E153" s="6" t="s">
        <v>1897</v>
      </c>
      <c r="F153" s="6">
        <v>1.0</v>
      </c>
      <c r="G153" s="13">
        <v>438.41</v>
      </c>
      <c r="H153" s="6">
        <v>0.09</v>
      </c>
      <c r="I153" s="6" t="s">
        <v>1965</v>
      </c>
      <c r="J153" s="13">
        <v>398.9531000000001</v>
      </c>
      <c r="K153" s="6" t="str">
        <f t="shared" si="1"/>
        <v>Low Earnings</v>
      </c>
    </row>
    <row r="154" ht="14.25" customHeight="1">
      <c r="A154" s="6" t="s">
        <v>2119</v>
      </c>
      <c r="B154" s="17">
        <v>45443.0</v>
      </c>
      <c r="C154" s="6" t="s">
        <v>558</v>
      </c>
      <c r="D154" s="6" t="s">
        <v>1740</v>
      </c>
      <c r="E154" s="6" t="s">
        <v>1950</v>
      </c>
      <c r="F154" s="6">
        <v>2.0</v>
      </c>
      <c r="G154" s="13">
        <v>86.72</v>
      </c>
      <c r="H154" s="6">
        <v>0.28</v>
      </c>
      <c r="I154" s="6" t="s">
        <v>1973</v>
      </c>
      <c r="J154" s="13">
        <v>124.8768</v>
      </c>
      <c r="K154" s="6" t="str">
        <f t="shared" si="1"/>
        <v>Low Earnings</v>
      </c>
    </row>
    <row r="155" ht="14.25" customHeight="1">
      <c r="A155" s="6" t="s">
        <v>2120</v>
      </c>
      <c r="B155" s="17">
        <v>45722.0</v>
      </c>
      <c r="C155" s="6" t="s">
        <v>1335</v>
      </c>
      <c r="D155" s="6" t="s">
        <v>1855</v>
      </c>
      <c r="E155" s="6" t="s">
        <v>1916</v>
      </c>
      <c r="F155" s="6">
        <v>4.0</v>
      </c>
      <c r="G155" s="13">
        <v>630.21</v>
      </c>
      <c r="H155" s="6">
        <v>0.14</v>
      </c>
      <c r="I155" s="6" t="s">
        <v>1973</v>
      </c>
      <c r="J155" s="13">
        <v>2167.9224</v>
      </c>
      <c r="K155" s="6" t="str">
        <f t="shared" si="1"/>
        <v>Average Earnings</v>
      </c>
    </row>
    <row r="156" ht="14.25" customHeight="1">
      <c r="A156" s="6" t="s">
        <v>2121</v>
      </c>
      <c r="B156" s="17">
        <v>45575.0</v>
      </c>
      <c r="C156" s="6" t="s">
        <v>1140</v>
      </c>
      <c r="D156" s="6" t="s">
        <v>1764</v>
      </c>
      <c r="E156" s="6" t="s">
        <v>1916</v>
      </c>
      <c r="F156" s="6">
        <v>3.0</v>
      </c>
      <c r="G156" s="13">
        <v>180.84</v>
      </c>
      <c r="H156" s="6">
        <v>0.03</v>
      </c>
      <c r="I156" s="6" t="s">
        <v>1967</v>
      </c>
      <c r="J156" s="13">
        <v>526.2443999999999</v>
      </c>
      <c r="K156" s="6" t="str">
        <f t="shared" si="1"/>
        <v>Low Earnings</v>
      </c>
    </row>
    <row r="157" ht="14.25" customHeight="1">
      <c r="A157" s="6" t="s">
        <v>2122</v>
      </c>
      <c r="B157" s="17">
        <v>45441.0</v>
      </c>
      <c r="C157" s="6" t="s">
        <v>35</v>
      </c>
      <c r="D157" s="6" t="s">
        <v>1779</v>
      </c>
      <c r="E157" s="6" t="s">
        <v>1944</v>
      </c>
      <c r="F157" s="6">
        <v>1.0</v>
      </c>
      <c r="G157" s="13">
        <v>453.41</v>
      </c>
      <c r="H157" s="6">
        <v>0.04</v>
      </c>
      <c r="I157" s="6" t="s">
        <v>1973</v>
      </c>
      <c r="J157" s="13">
        <v>435.2736</v>
      </c>
      <c r="K157" s="6" t="str">
        <f t="shared" si="1"/>
        <v>Low Earnings</v>
      </c>
    </row>
    <row r="158" ht="14.25" customHeight="1">
      <c r="A158" s="6" t="s">
        <v>2123</v>
      </c>
      <c r="B158" s="17">
        <v>45940.0</v>
      </c>
      <c r="C158" s="6" t="s">
        <v>111</v>
      </c>
      <c r="D158" s="6" t="s">
        <v>1740</v>
      </c>
      <c r="E158" s="6" t="s">
        <v>1916</v>
      </c>
      <c r="F158" s="6">
        <v>1.0</v>
      </c>
      <c r="G158" s="13">
        <v>629.09</v>
      </c>
      <c r="H158" s="6">
        <v>0.02</v>
      </c>
      <c r="I158" s="6" t="s">
        <v>1965</v>
      </c>
      <c r="J158" s="13">
        <v>616.5082</v>
      </c>
      <c r="K158" s="6" t="str">
        <f t="shared" si="1"/>
        <v>Low Earnings</v>
      </c>
    </row>
    <row r="159" ht="14.25" customHeight="1">
      <c r="A159" s="6" t="s">
        <v>2124</v>
      </c>
      <c r="B159" s="17">
        <v>45518.0</v>
      </c>
      <c r="C159" s="6" t="s">
        <v>104</v>
      </c>
      <c r="D159" s="6" t="s">
        <v>1819</v>
      </c>
      <c r="E159" s="6" t="s">
        <v>1901</v>
      </c>
      <c r="F159" s="6">
        <v>2.0</v>
      </c>
      <c r="G159" s="13">
        <v>257.45</v>
      </c>
      <c r="H159" s="6">
        <v>0.0</v>
      </c>
      <c r="I159" s="6" t="s">
        <v>1973</v>
      </c>
      <c r="J159" s="13">
        <v>514.9</v>
      </c>
      <c r="K159" s="6" t="str">
        <f t="shared" si="1"/>
        <v>Low Earnings</v>
      </c>
    </row>
    <row r="160" ht="14.25" customHeight="1">
      <c r="A160" s="6" t="s">
        <v>2125</v>
      </c>
      <c r="B160" s="17">
        <v>45482.0</v>
      </c>
      <c r="C160" s="6" t="s">
        <v>522</v>
      </c>
      <c r="D160" s="6" t="s">
        <v>1861</v>
      </c>
      <c r="E160" s="6" t="s">
        <v>1909</v>
      </c>
      <c r="F160" s="6">
        <v>2.0</v>
      </c>
      <c r="G160" s="13">
        <v>731.01</v>
      </c>
      <c r="H160" s="6">
        <v>0.05</v>
      </c>
      <c r="I160" s="6" t="s">
        <v>1967</v>
      </c>
      <c r="J160" s="13">
        <v>1388.919</v>
      </c>
      <c r="K160" s="6" t="str">
        <f t="shared" si="1"/>
        <v>Average Earnings</v>
      </c>
    </row>
    <row r="161" ht="14.25" customHeight="1">
      <c r="A161" s="6" t="s">
        <v>2126</v>
      </c>
      <c r="B161" s="17">
        <v>45861.0</v>
      </c>
      <c r="C161" s="6" t="s">
        <v>604</v>
      </c>
      <c r="D161" s="6" t="s">
        <v>1685</v>
      </c>
      <c r="E161" s="6" t="s">
        <v>1941</v>
      </c>
      <c r="F161" s="6">
        <v>2.0</v>
      </c>
      <c r="G161" s="13">
        <v>696.61</v>
      </c>
      <c r="H161" s="6">
        <v>0.17</v>
      </c>
      <c r="I161" s="6" t="s">
        <v>1967</v>
      </c>
      <c r="J161" s="13">
        <v>1156.3726</v>
      </c>
      <c r="K161" s="6" t="str">
        <f t="shared" si="1"/>
        <v>Average Earnings</v>
      </c>
    </row>
    <row r="162" ht="14.25" customHeight="1">
      <c r="A162" s="6" t="s">
        <v>2127</v>
      </c>
      <c r="B162" s="17">
        <v>45416.0</v>
      </c>
      <c r="C162" s="6" t="s">
        <v>1182</v>
      </c>
      <c r="D162" s="6" t="s">
        <v>1723</v>
      </c>
      <c r="E162" s="6" t="s">
        <v>1919</v>
      </c>
      <c r="F162" s="6">
        <v>2.0</v>
      </c>
      <c r="G162" s="13">
        <v>143.79</v>
      </c>
      <c r="H162" s="6">
        <v>0.1</v>
      </c>
      <c r="I162" s="6" t="s">
        <v>1967</v>
      </c>
      <c r="J162" s="13">
        <v>258.822</v>
      </c>
      <c r="K162" s="6" t="str">
        <f t="shared" si="1"/>
        <v>Low Earnings</v>
      </c>
    </row>
    <row r="163" ht="14.25" customHeight="1">
      <c r="A163" s="6" t="s">
        <v>2128</v>
      </c>
      <c r="B163" s="17">
        <v>45608.0</v>
      </c>
      <c r="C163" s="6" t="s">
        <v>952</v>
      </c>
      <c r="D163" s="6" t="s">
        <v>1837</v>
      </c>
      <c r="E163" s="6" t="s">
        <v>1897</v>
      </c>
      <c r="F163" s="6">
        <v>3.0</v>
      </c>
      <c r="G163" s="13">
        <v>460.93</v>
      </c>
      <c r="H163" s="6">
        <v>0.19</v>
      </c>
      <c r="I163" s="6" t="s">
        <v>1973</v>
      </c>
      <c r="J163" s="13">
        <v>1120.0599</v>
      </c>
      <c r="K163" s="6" t="str">
        <f t="shared" si="1"/>
        <v>Average Earnings</v>
      </c>
    </row>
    <row r="164" ht="14.25" customHeight="1">
      <c r="A164" s="6" t="s">
        <v>2129</v>
      </c>
      <c r="B164" s="17">
        <v>45301.0</v>
      </c>
      <c r="C164" s="6" t="s">
        <v>1549</v>
      </c>
      <c r="D164" s="6" t="s">
        <v>1666</v>
      </c>
      <c r="E164" s="6" t="s">
        <v>1926</v>
      </c>
      <c r="F164" s="6">
        <v>2.0</v>
      </c>
      <c r="G164" s="13">
        <v>67.55</v>
      </c>
      <c r="H164" s="6">
        <v>0.03</v>
      </c>
      <c r="I164" s="6" t="s">
        <v>1965</v>
      </c>
      <c r="J164" s="13">
        <v>131.047</v>
      </c>
      <c r="K164" s="6" t="str">
        <f t="shared" si="1"/>
        <v>Low Earnings</v>
      </c>
    </row>
    <row r="165" ht="14.25" customHeight="1">
      <c r="A165" s="6" t="s">
        <v>2130</v>
      </c>
      <c r="B165" s="17">
        <v>45433.0</v>
      </c>
      <c r="C165" s="6" t="s">
        <v>696</v>
      </c>
      <c r="D165" s="6" t="s">
        <v>1733</v>
      </c>
      <c r="E165" s="6" t="s">
        <v>1897</v>
      </c>
      <c r="F165" s="6">
        <v>3.0</v>
      </c>
      <c r="G165" s="13">
        <v>803.31</v>
      </c>
      <c r="H165" s="6">
        <v>0.1</v>
      </c>
      <c r="I165" s="6" t="s">
        <v>1967</v>
      </c>
      <c r="J165" s="13">
        <v>2168.937</v>
      </c>
      <c r="K165" s="6" t="str">
        <f t="shared" si="1"/>
        <v>Average Earnings</v>
      </c>
    </row>
    <row r="166" ht="14.25" customHeight="1">
      <c r="A166" s="6" t="s">
        <v>2131</v>
      </c>
      <c r="B166" s="17">
        <v>45821.0</v>
      </c>
      <c r="C166" s="6" t="s">
        <v>1356</v>
      </c>
      <c r="D166" s="6" t="s">
        <v>1626</v>
      </c>
      <c r="E166" s="6" t="s">
        <v>1937</v>
      </c>
      <c r="F166" s="6">
        <v>4.0</v>
      </c>
      <c r="G166" s="13">
        <v>254.71</v>
      </c>
      <c r="H166" s="6">
        <v>0.2</v>
      </c>
      <c r="I166" s="6" t="s">
        <v>1973</v>
      </c>
      <c r="J166" s="13">
        <v>815.0720000000001</v>
      </c>
      <c r="K166" s="6" t="str">
        <f t="shared" si="1"/>
        <v>Low Earnings</v>
      </c>
    </row>
    <row r="167" ht="14.25" customHeight="1">
      <c r="A167" s="6" t="s">
        <v>2132</v>
      </c>
      <c r="B167" s="17">
        <v>45508.0</v>
      </c>
      <c r="C167" s="6" t="s">
        <v>203</v>
      </c>
      <c r="D167" s="6" t="s">
        <v>1737</v>
      </c>
      <c r="E167" s="6" t="s">
        <v>1909</v>
      </c>
      <c r="F167" s="6">
        <v>4.0</v>
      </c>
      <c r="G167" s="13">
        <v>594.89</v>
      </c>
      <c r="H167" s="6">
        <v>0.3</v>
      </c>
      <c r="I167" s="6" t="s">
        <v>1967</v>
      </c>
      <c r="J167" s="13">
        <v>1665.692</v>
      </c>
      <c r="K167" s="6" t="str">
        <f t="shared" si="1"/>
        <v>Average Earnings</v>
      </c>
    </row>
    <row r="168" ht="14.25" customHeight="1">
      <c r="A168" s="6" t="s">
        <v>2133</v>
      </c>
      <c r="B168" s="17">
        <v>45854.0</v>
      </c>
      <c r="C168" s="6" t="s">
        <v>723</v>
      </c>
      <c r="D168" s="6" t="s">
        <v>1861</v>
      </c>
      <c r="E168" s="6" t="s">
        <v>1892</v>
      </c>
      <c r="F168" s="6">
        <v>2.0</v>
      </c>
      <c r="G168" s="13">
        <v>844.31</v>
      </c>
      <c r="H168" s="6">
        <v>0.07</v>
      </c>
      <c r="I168" s="6" t="s">
        <v>1967</v>
      </c>
      <c r="J168" s="13">
        <v>1570.4166</v>
      </c>
      <c r="K168" s="6" t="str">
        <f t="shared" si="1"/>
        <v>Average Earnings</v>
      </c>
    </row>
    <row r="169" ht="14.25" customHeight="1">
      <c r="A169" s="6" t="s">
        <v>2134</v>
      </c>
      <c r="B169" s="17">
        <v>45569.0</v>
      </c>
      <c r="C169" s="6" t="s">
        <v>469</v>
      </c>
      <c r="D169" s="6" t="s">
        <v>1622</v>
      </c>
      <c r="E169" s="6" t="s">
        <v>1916</v>
      </c>
      <c r="F169" s="6">
        <v>4.0</v>
      </c>
      <c r="G169" s="13">
        <v>101.33</v>
      </c>
      <c r="H169" s="6">
        <v>0.0</v>
      </c>
      <c r="I169" s="6" t="s">
        <v>1965</v>
      </c>
      <c r="J169" s="13">
        <v>405.32</v>
      </c>
      <c r="K169" s="6" t="str">
        <f t="shared" si="1"/>
        <v>Low Earnings</v>
      </c>
    </row>
    <row r="170" ht="14.25" customHeight="1">
      <c r="A170" s="6" t="s">
        <v>2135</v>
      </c>
      <c r="B170" s="17">
        <v>45824.0</v>
      </c>
      <c r="C170" s="6" t="s">
        <v>460</v>
      </c>
      <c r="D170" s="6" t="s">
        <v>1660</v>
      </c>
      <c r="E170" s="6" t="s">
        <v>1922</v>
      </c>
      <c r="F170" s="6">
        <v>3.0</v>
      </c>
      <c r="G170" s="13">
        <v>922.56</v>
      </c>
      <c r="H170" s="6">
        <v>0.18</v>
      </c>
      <c r="I170" s="6" t="s">
        <v>1967</v>
      </c>
      <c r="J170" s="13">
        <v>2269.4976</v>
      </c>
      <c r="K170" s="6" t="str">
        <f t="shared" si="1"/>
        <v>Average Earnings</v>
      </c>
    </row>
    <row r="171" ht="14.25" customHeight="1">
      <c r="A171" s="6" t="s">
        <v>2136</v>
      </c>
      <c r="B171" s="17">
        <v>45925.0</v>
      </c>
      <c r="C171" s="6" t="s">
        <v>836</v>
      </c>
      <c r="D171" s="6" t="s">
        <v>1843</v>
      </c>
      <c r="E171" s="6" t="s">
        <v>1919</v>
      </c>
      <c r="F171" s="6">
        <v>4.0</v>
      </c>
      <c r="G171" s="13">
        <v>930.85</v>
      </c>
      <c r="H171" s="6">
        <v>0.13</v>
      </c>
      <c r="I171" s="6" t="s">
        <v>1967</v>
      </c>
      <c r="J171" s="13">
        <v>3239.358</v>
      </c>
      <c r="K171" s="6" t="str">
        <f t="shared" si="1"/>
        <v>High Earnings</v>
      </c>
    </row>
    <row r="172" ht="14.25" customHeight="1">
      <c r="A172" s="6" t="s">
        <v>2137</v>
      </c>
      <c r="B172" s="17">
        <v>45352.0</v>
      </c>
      <c r="C172" s="6" t="s">
        <v>1356</v>
      </c>
      <c r="D172" s="6" t="s">
        <v>1698</v>
      </c>
      <c r="E172" s="6" t="s">
        <v>1939</v>
      </c>
      <c r="F172" s="6">
        <v>4.0</v>
      </c>
      <c r="G172" s="13">
        <v>867.19</v>
      </c>
      <c r="H172" s="6">
        <v>0.07</v>
      </c>
      <c r="I172" s="6" t="s">
        <v>1973</v>
      </c>
      <c r="J172" s="13">
        <v>3225.9468</v>
      </c>
      <c r="K172" s="6" t="str">
        <f t="shared" si="1"/>
        <v>High Earnings</v>
      </c>
    </row>
    <row r="173" ht="14.25" customHeight="1">
      <c r="A173" s="6" t="s">
        <v>2138</v>
      </c>
      <c r="B173" s="17">
        <v>45454.0</v>
      </c>
      <c r="C173" s="6" t="s">
        <v>43</v>
      </c>
      <c r="D173" s="6" t="s">
        <v>1837</v>
      </c>
      <c r="E173" s="6" t="s">
        <v>1947</v>
      </c>
      <c r="F173" s="6">
        <v>3.0</v>
      </c>
      <c r="G173" s="13">
        <v>816.87</v>
      </c>
      <c r="H173" s="6">
        <v>0.14</v>
      </c>
      <c r="I173" s="6" t="s">
        <v>1967</v>
      </c>
      <c r="J173" s="13">
        <v>2107.5246</v>
      </c>
      <c r="K173" s="6" t="str">
        <f t="shared" si="1"/>
        <v>Average Earnings</v>
      </c>
    </row>
    <row r="174" ht="14.25" customHeight="1">
      <c r="A174" s="6" t="s">
        <v>2139</v>
      </c>
      <c r="B174" s="17">
        <v>45924.0</v>
      </c>
      <c r="C174" s="6" t="s">
        <v>1494</v>
      </c>
      <c r="D174" s="6" t="s">
        <v>1782</v>
      </c>
      <c r="E174" s="6" t="s">
        <v>1906</v>
      </c>
      <c r="F174" s="6">
        <v>3.0</v>
      </c>
      <c r="G174" s="13">
        <v>258.06</v>
      </c>
      <c r="H174" s="6">
        <v>0.0</v>
      </c>
      <c r="I174" s="6" t="s">
        <v>1967</v>
      </c>
      <c r="J174" s="13">
        <v>774.1800000000001</v>
      </c>
      <c r="K174" s="6" t="str">
        <f t="shared" si="1"/>
        <v>Low Earnings</v>
      </c>
    </row>
    <row r="175" ht="14.25" customHeight="1">
      <c r="A175" s="6" t="s">
        <v>2140</v>
      </c>
      <c r="B175" s="17">
        <v>45694.0</v>
      </c>
      <c r="C175" s="6" t="s">
        <v>999</v>
      </c>
      <c r="D175" s="6" t="s">
        <v>1698</v>
      </c>
      <c r="E175" s="6" t="s">
        <v>1939</v>
      </c>
      <c r="F175" s="6">
        <v>2.0</v>
      </c>
      <c r="G175" s="13">
        <v>574.58</v>
      </c>
      <c r="H175" s="6">
        <v>0.06</v>
      </c>
      <c r="I175" s="6" t="s">
        <v>1965</v>
      </c>
      <c r="J175" s="13">
        <v>1080.2104</v>
      </c>
      <c r="K175" s="6" t="str">
        <f t="shared" si="1"/>
        <v>Average Earnings</v>
      </c>
    </row>
    <row r="176" ht="14.25" customHeight="1">
      <c r="A176" s="6" t="s">
        <v>2141</v>
      </c>
      <c r="B176" s="17">
        <v>45587.0</v>
      </c>
      <c r="C176" s="6" t="s">
        <v>104</v>
      </c>
      <c r="D176" s="6" t="s">
        <v>1837</v>
      </c>
      <c r="E176" s="6" t="s">
        <v>1916</v>
      </c>
      <c r="F176" s="6">
        <v>2.0</v>
      </c>
      <c r="G176" s="13">
        <v>472.18</v>
      </c>
      <c r="H176" s="6">
        <v>0.27</v>
      </c>
      <c r="I176" s="6" t="s">
        <v>1967</v>
      </c>
      <c r="J176" s="13">
        <v>689.3828</v>
      </c>
      <c r="K176" s="6" t="str">
        <f t="shared" si="1"/>
        <v>Low Earnings</v>
      </c>
    </row>
    <row r="177" ht="14.25" customHeight="1">
      <c r="A177" s="6" t="s">
        <v>2142</v>
      </c>
      <c r="B177" s="17">
        <v>45556.0</v>
      </c>
      <c r="C177" s="6" t="s">
        <v>1083</v>
      </c>
      <c r="D177" s="6" t="s">
        <v>1708</v>
      </c>
      <c r="E177" s="6" t="s">
        <v>1913</v>
      </c>
      <c r="F177" s="6">
        <v>2.0</v>
      </c>
      <c r="G177" s="13">
        <v>20.47</v>
      </c>
      <c r="H177" s="6">
        <v>0.12</v>
      </c>
      <c r="I177" s="6" t="s">
        <v>1973</v>
      </c>
      <c r="J177" s="13">
        <v>36.0272</v>
      </c>
      <c r="K177" s="6" t="str">
        <f t="shared" si="1"/>
        <v>Low Earnings</v>
      </c>
    </row>
    <row r="178" ht="14.25" customHeight="1">
      <c r="A178" s="6" t="s">
        <v>2143</v>
      </c>
      <c r="B178" s="17">
        <v>45923.0</v>
      </c>
      <c r="C178" s="6" t="s">
        <v>108</v>
      </c>
      <c r="D178" s="6" t="s">
        <v>1647</v>
      </c>
      <c r="E178" s="6" t="s">
        <v>1919</v>
      </c>
      <c r="F178" s="6">
        <v>3.0</v>
      </c>
      <c r="G178" s="13">
        <v>235.41</v>
      </c>
      <c r="H178" s="6">
        <v>0.15</v>
      </c>
      <c r="I178" s="6" t="s">
        <v>1967</v>
      </c>
      <c r="J178" s="13">
        <v>600.2955</v>
      </c>
      <c r="K178" s="6" t="str">
        <f t="shared" si="1"/>
        <v>Low Earnings</v>
      </c>
    </row>
    <row r="179" ht="14.25" customHeight="1">
      <c r="A179" s="6" t="s">
        <v>2144</v>
      </c>
      <c r="B179" s="17">
        <v>45811.0</v>
      </c>
      <c r="C179" s="6" t="s">
        <v>755</v>
      </c>
      <c r="D179" s="6" t="s">
        <v>1822</v>
      </c>
      <c r="E179" s="6" t="s">
        <v>1919</v>
      </c>
      <c r="F179" s="6">
        <v>3.0</v>
      </c>
      <c r="G179" s="13">
        <v>744.9</v>
      </c>
      <c r="H179" s="6">
        <v>0.27</v>
      </c>
      <c r="I179" s="6" t="s">
        <v>1967</v>
      </c>
      <c r="J179" s="13">
        <v>1631.331</v>
      </c>
      <c r="K179" s="6" t="str">
        <f t="shared" si="1"/>
        <v>Average Earnings</v>
      </c>
    </row>
    <row r="180" ht="14.25" customHeight="1">
      <c r="A180" s="6" t="s">
        <v>2145</v>
      </c>
      <c r="B180" s="17">
        <v>45559.0</v>
      </c>
      <c r="C180" s="6" t="s">
        <v>189</v>
      </c>
      <c r="D180" s="6" t="s">
        <v>1633</v>
      </c>
      <c r="E180" s="6" t="s">
        <v>1906</v>
      </c>
      <c r="F180" s="6">
        <v>2.0</v>
      </c>
      <c r="G180" s="13">
        <v>382.2</v>
      </c>
      <c r="H180" s="6">
        <v>0.15</v>
      </c>
      <c r="I180" s="6" t="s">
        <v>1965</v>
      </c>
      <c r="J180" s="13">
        <v>649.74</v>
      </c>
      <c r="K180" s="6" t="str">
        <f t="shared" si="1"/>
        <v>Low Earnings</v>
      </c>
    </row>
    <row r="181" ht="14.25" customHeight="1">
      <c r="A181" s="6" t="s">
        <v>2146</v>
      </c>
      <c r="B181" s="17">
        <v>45881.0</v>
      </c>
      <c r="C181" s="6" t="s">
        <v>1101</v>
      </c>
      <c r="D181" s="6" t="s">
        <v>1858</v>
      </c>
      <c r="E181" s="6" t="s">
        <v>1944</v>
      </c>
      <c r="F181" s="6">
        <v>1.0</v>
      </c>
      <c r="G181" s="13">
        <v>269.25</v>
      </c>
      <c r="H181" s="6">
        <v>0.14</v>
      </c>
      <c r="I181" s="6" t="s">
        <v>1967</v>
      </c>
      <c r="J181" s="13">
        <v>231.555</v>
      </c>
      <c r="K181" s="6" t="str">
        <f t="shared" si="1"/>
        <v>Low Earnings</v>
      </c>
    </row>
    <row r="182" ht="14.25" customHeight="1">
      <c r="A182" s="6" t="s">
        <v>2147</v>
      </c>
      <c r="B182" s="17">
        <v>45420.0</v>
      </c>
      <c r="C182" s="6" t="s">
        <v>1317</v>
      </c>
      <c r="D182" s="6" t="s">
        <v>1574</v>
      </c>
      <c r="E182" s="6" t="s">
        <v>1922</v>
      </c>
      <c r="F182" s="6">
        <v>4.0</v>
      </c>
      <c r="G182" s="13">
        <v>770.77</v>
      </c>
      <c r="H182" s="6">
        <v>0.22</v>
      </c>
      <c r="I182" s="6" t="s">
        <v>1965</v>
      </c>
      <c r="J182" s="13">
        <v>2404.8024</v>
      </c>
      <c r="K182" s="6" t="str">
        <f t="shared" si="1"/>
        <v>Average Earnings</v>
      </c>
    </row>
    <row r="183" ht="14.25" customHeight="1">
      <c r="A183" s="6" t="s">
        <v>2148</v>
      </c>
      <c r="B183" s="17">
        <v>45367.0</v>
      </c>
      <c r="C183" s="6" t="s">
        <v>1158</v>
      </c>
      <c r="D183" s="6" t="s">
        <v>1672</v>
      </c>
      <c r="E183" s="6" t="s">
        <v>1932</v>
      </c>
      <c r="F183" s="6">
        <v>2.0</v>
      </c>
      <c r="G183" s="13">
        <v>723.75</v>
      </c>
      <c r="H183" s="6">
        <v>0.03</v>
      </c>
      <c r="I183" s="6" t="s">
        <v>1967</v>
      </c>
      <c r="J183" s="13">
        <v>1404.075</v>
      </c>
      <c r="K183" s="6" t="str">
        <f t="shared" si="1"/>
        <v>Average Earnings</v>
      </c>
    </row>
    <row r="184" ht="14.25" customHeight="1">
      <c r="A184" s="6" t="s">
        <v>2149</v>
      </c>
      <c r="B184" s="17">
        <v>45832.0</v>
      </c>
      <c r="C184" s="6" t="s">
        <v>908</v>
      </c>
      <c r="D184" s="6" t="s">
        <v>1636</v>
      </c>
      <c r="E184" s="6" t="s">
        <v>1953</v>
      </c>
      <c r="F184" s="6">
        <v>4.0</v>
      </c>
      <c r="G184" s="13">
        <v>58.92</v>
      </c>
      <c r="H184" s="6">
        <v>0.18</v>
      </c>
      <c r="I184" s="6" t="s">
        <v>1965</v>
      </c>
      <c r="J184" s="13">
        <v>193.2576</v>
      </c>
      <c r="K184" s="6" t="str">
        <f t="shared" si="1"/>
        <v>Low Earnings</v>
      </c>
    </row>
    <row r="185" ht="14.25" customHeight="1">
      <c r="A185" s="6" t="s">
        <v>2150</v>
      </c>
      <c r="B185" s="17">
        <v>45438.0</v>
      </c>
      <c r="C185" s="6" t="s">
        <v>631</v>
      </c>
      <c r="D185" s="6" t="s">
        <v>1801</v>
      </c>
      <c r="E185" s="6" t="s">
        <v>1929</v>
      </c>
      <c r="F185" s="6">
        <v>2.0</v>
      </c>
      <c r="G185" s="13">
        <v>913.08</v>
      </c>
      <c r="H185" s="6">
        <v>0.26</v>
      </c>
      <c r="I185" s="6" t="s">
        <v>1965</v>
      </c>
      <c r="J185" s="13">
        <v>1351.3584</v>
      </c>
      <c r="K185" s="6" t="str">
        <f t="shared" si="1"/>
        <v>Average Earnings</v>
      </c>
    </row>
    <row r="186" ht="14.25" customHeight="1">
      <c r="A186" s="6" t="s">
        <v>2151</v>
      </c>
      <c r="B186" s="17">
        <v>45691.0</v>
      </c>
      <c r="C186" s="6" t="s">
        <v>791</v>
      </c>
      <c r="D186" s="6" t="s">
        <v>1831</v>
      </c>
      <c r="E186" s="6" t="s">
        <v>1897</v>
      </c>
      <c r="F186" s="6">
        <v>1.0</v>
      </c>
      <c r="G186" s="13">
        <v>791.83</v>
      </c>
      <c r="H186" s="6">
        <v>0.28</v>
      </c>
      <c r="I186" s="6" t="s">
        <v>1967</v>
      </c>
      <c r="J186" s="13">
        <v>570.1176</v>
      </c>
      <c r="K186" s="6" t="str">
        <f t="shared" si="1"/>
        <v>Low Earnings</v>
      </c>
    </row>
    <row r="187" ht="14.25" customHeight="1">
      <c r="A187" s="6" t="s">
        <v>2152</v>
      </c>
      <c r="B187" s="17">
        <v>45506.0</v>
      </c>
      <c r="C187" s="6" t="s">
        <v>1468</v>
      </c>
      <c r="D187" s="6" t="s">
        <v>1574</v>
      </c>
      <c r="E187" s="6" t="s">
        <v>1941</v>
      </c>
      <c r="F187" s="6">
        <v>1.0</v>
      </c>
      <c r="G187" s="13">
        <v>74.29</v>
      </c>
      <c r="H187" s="6">
        <v>0.3</v>
      </c>
      <c r="I187" s="6" t="s">
        <v>1973</v>
      </c>
      <c r="J187" s="13">
        <v>52.003</v>
      </c>
      <c r="K187" s="6" t="str">
        <f t="shared" si="1"/>
        <v>Low Earnings</v>
      </c>
    </row>
    <row r="188" ht="14.25" customHeight="1">
      <c r="A188" s="6" t="s">
        <v>2153</v>
      </c>
      <c r="B188" s="17">
        <v>45251.0</v>
      </c>
      <c r="C188" s="6" t="s">
        <v>794</v>
      </c>
      <c r="D188" s="6" t="s">
        <v>1688</v>
      </c>
      <c r="E188" s="6" t="s">
        <v>1892</v>
      </c>
      <c r="F188" s="6">
        <v>2.0</v>
      </c>
      <c r="G188" s="13">
        <v>961.68</v>
      </c>
      <c r="H188" s="6">
        <v>0.27</v>
      </c>
      <c r="I188" s="6" t="s">
        <v>1967</v>
      </c>
      <c r="J188" s="13">
        <v>1404.0528</v>
      </c>
      <c r="K188" s="6" t="str">
        <f t="shared" si="1"/>
        <v>Average Earnings</v>
      </c>
    </row>
    <row r="189" ht="14.25" customHeight="1">
      <c r="A189" s="6" t="s">
        <v>2154</v>
      </c>
      <c r="B189" s="17">
        <v>45722.0</v>
      </c>
      <c r="C189" s="6" t="s">
        <v>1534</v>
      </c>
      <c r="D189" s="6" t="s">
        <v>1636</v>
      </c>
      <c r="E189" s="6" t="s">
        <v>1939</v>
      </c>
      <c r="F189" s="6">
        <v>1.0</v>
      </c>
      <c r="G189" s="13">
        <v>90.72</v>
      </c>
      <c r="H189" s="6">
        <v>0.1</v>
      </c>
      <c r="I189" s="6" t="s">
        <v>1967</v>
      </c>
      <c r="J189" s="13">
        <v>81.648</v>
      </c>
      <c r="K189" s="6" t="str">
        <f t="shared" si="1"/>
        <v>Low Earnings</v>
      </c>
    </row>
    <row r="190" ht="14.25" customHeight="1">
      <c r="A190" s="6" t="s">
        <v>2155</v>
      </c>
      <c r="B190" s="17">
        <v>45689.0</v>
      </c>
      <c r="C190" s="6" t="s">
        <v>232</v>
      </c>
      <c r="D190" s="6" t="s">
        <v>1761</v>
      </c>
      <c r="E190" s="6" t="s">
        <v>1919</v>
      </c>
      <c r="F190" s="6">
        <v>1.0</v>
      </c>
      <c r="G190" s="13">
        <v>458.69</v>
      </c>
      <c r="H190" s="6">
        <v>0.16</v>
      </c>
      <c r="I190" s="6" t="s">
        <v>1967</v>
      </c>
      <c r="J190" s="13">
        <v>385.2996</v>
      </c>
      <c r="K190" s="6" t="str">
        <f t="shared" si="1"/>
        <v>Low Earnings</v>
      </c>
    </row>
    <row r="191" ht="14.25" customHeight="1">
      <c r="A191" s="6" t="s">
        <v>2156</v>
      </c>
      <c r="B191" s="17">
        <v>45346.0</v>
      </c>
      <c r="C191" s="6" t="s">
        <v>758</v>
      </c>
      <c r="D191" s="6" t="s">
        <v>1685</v>
      </c>
      <c r="E191" s="6" t="s">
        <v>1919</v>
      </c>
      <c r="F191" s="6">
        <v>1.0</v>
      </c>
      <c r="G191" s="13">
        <v>168.29</v>
      </c>
      <c r="H191" s="6">
        <v>0.05</v>
      </c>
      <c r="I191" s="6" t="s">
        <v>1967</v>
      </c>
      <c r="J191" s="13">
        <v>159.8755</v>
      </c>
      <c r="K191" s="6" t="str">
        <f t="shared" si="1"/>
        <v>Low Earnings</v>
      </c>
    </row>
    <row r="192" ht="14.25" customHeight="1">
      <c r="A192" s="6" t="s">
        <v>2157</v>
      </c>
      <c r="B192" s="17">
        <v>45549.0</v>
      </c>
      <c r="C192" s="6" t="s">
        <v>699</v>
      </c>
      <c r="D192" s="6" t="s">
        <v>1630</v>
      </c>
      <c r="E192" s="6" t="s">
        <v>1947</v>
      </c>
      <c r="F192" s="6">
        <v>1.0</v>
      </c>
      <c r="G192" s="13">
        <v>391.77</v>
      </c>
      <c r="H192" s="6">
        <v>0.1</v>
      </c>
      <c r="I192" s="6" t="s">
        <v>1967</v>
      </c>
      <c r="J192" s="13">
        <v>352.593</v>
      </c>
      <c r="K192" s="6" t="str">
        <f t="shared" si="1"/>
        <v>Low Earnings</v>
      </c>
    </row>
    <row r="193" ht="14.25" customHeight="1">
      <c r="A193" s="6" t="s">
        <v>2158</v>
      </c>
      <c r="B193" s="17">
        <v>45554.0</v>
      </c>
      <c r="C193" s="6" t="s">
        <v>255</v>
      </c>
      <c r="D193" s="6" t="s">
        <v>1723</v>
      </c>
      <c r="E193" s="6" t="s">
        <v>1909</v>
      </c>
      <c r="F193" s="6">
        <v>3.0</v>
      </c>
      <c r="G193" s="13">
        <v>479.63</v>
      </c>
      <c r="H193" s="6">
        <v>0.3</v>
      </c>
      <c r="I193" s="6" t="s">
        <v>1967</v>
      </c>
      <c r="J193" s="13">
        <v>1007.223</v>
      </c>
      <c r="K193" s="6" t="str">
        <f t="shared" si="1"/>
        <v>Average Earnings</v>
      </c>
    </row>
    <row r="194" ht="14.25" customHeight="1">
      <c r="A194" s="6" t="s">
        <v>2159</v>
      </c>
      <c r="B194" s="17">
        <v>45900.0</v>
      </c>
      <c r="C194" s="6" t="s">
        <v>1092</v>
      </c>
      <c r="D194" s="6" t="s">
        <v>1611</v>
      </c>
      <c r="E194" s="6" t="s">
        <v>1939</v>
      </c>
      <c r="F194" s="6">
        <v>1.0</v>
      </c>
      <c r="G194" s="13">
        <v>424.83</v>
      </c>
      <c r="H194" s="6">
        <v>0.05</v>
      </c>
      <c r="I194" s="6" t="s">
        <v>1973</v>
      </c>
      <c r="J194" s="13">
        <v>403.5885</v>
      </c>
      <c r="K194" s="6" t="str">
        <f t="shared" si="1"/>
        <v>Low Earnings</v>
      </c>
    </row>
    <row r="195" ht="14.25" customHeight="1">
      <c r="A195" s="6" t="s">
        <v>2160</v>
      </c>
      <c r="B195" s="17">
        <v>45308.0</v>
      </c>
      <c r="C195" s="6" t="s">
        <v>210</v>
      </c>
      <c r="D195" s="6" t="s">
        <v>1608</v>
      </c>
      <c r="E195" s="6" t="s">
        <v>1906</v>
      </c>
      <c r="F195" s="6">
        <v>1.0</v>
      </c>
      <c r="G195" s="13">
        <v>499.46</v>
      </c>
      <c r="H195" s="6">
        <v>0.1</v>
      </c>
      <c r="I195" s="6" t="s">
        <v>1965</v>
      </c>
      <c r="J195" s="13">
        <v>449.514</v>
      </c>
      <c r="K195" s="6" t="str">
        <f t="shared" si="1"/>
        <v>Low Earnings</v>
      </c>
    </row>
    <row r="196" ht="14.25" customHeight="1">
      <c r="A196" s="6" t="s">
        <v>2161</v>
      </c>
      <c r="B196" s="17">
        <v>45336.0</v>
      </c>
      <c r="C196" s="6" t="s">
        <v>92</v>
      </c>
      <c r="D196" s="6" t="s">
        <v>1885</v>
      </c>
      <c r="E196" s="6" t="s">
        <v>1897</v>
      </c>
      <c r="F196" s="6">
        <v>2.0</v>
      </c>
      <c r="G196" s="13">
        <v>698.34</v>
      </c>
      <c r="H196" s="6">
        <v>0.15</v>
      </c>
      <c r="I196" s="6" t="s">
        <v>1967</v>
      </c>
      <c r="J196" s="13">
        <v>1187.178</v>
      </c>
      <c r="K196" s="6" t="str">
        <f t="shared" si="1"/>
        <v>Average Earnings</v>
      </c>
    </row>
    <row r="197" ht="14.25" customHeight="1">
      <c r="A197" s="6" t="s">
        <v>2162</v>
      </c>
      <c r="B197" s="17">
        <v>45213.0</v>
      </c>
      <c r="C197" s="6" t="s">
        <v>914</v>
      </c>
      <c r="D197" s="6" t="s">
        <v>1755</v>
      </c>
      <c r="E197" s="6" t="s">
        <v>1944</v>
      </c>
      <c r="F197" s="6">
        <v>2.0</v>
      </c>
      <c r="G197" s="13">
        <v>805.08</v>
      </c>
      <c r="H197" s="6">
        <v>0.27</v>
      </c>
      <c r="I197" s="6" t="s">
        <v>1967</v>
      </c>
      <c r="J197" s="13">
        <v>1175.4168</v>
      </c>
      <c r="K197" s="6" t="str">
        <f t="shared" si="1"/>
        <v>Average Earnings</v>
      </c>
    </row>
    <row r="198" ht="14.25" customHeight="1">
      <c r="A198" s="6" t="s">
        <v>2163</v>
      </c>
      <c r="B198" s="17">
        <v>45742.0</v>
      </c>
      <c r="C198" s="6" t="s">
        <v>1453</v>
      </c>
      <c r="D198" s="6" t="s">
        <v>1816</v>
      </c>
      <c r="E198" s="6" t="s">
        <v>1901</v>
      </c>
      <c r="F198" s="6">
        <v>4.0</v>
      </c>
      <c r="G198" s="13">
        <v>934.79</v>
      </c>
      <c r="H198" s="6">
        <v>0.08</v>
      </c>
      <c r="I198" s="6" t="s">
        <v>1967</v>
      </c>
      <c r="J198" s="13">
        <v>3440.0272</v>
      </c>
      <c r="K198" s="6" t="str">
        <f t="shared" si="1"/>
        <v>High Earnings</v>
      </c>
    </row>
    <row r="199" ht="14.25" customHeight="1">
      <c r="A199" s="6" t="s">
        <v>2164</v>
      </c>
      <c r="B199" s="17">
        <v>45932.0</v>
      </c>
      <c r="C199" s="6" t="s">
        <v>92</v>
      </c>
      <c r="D199" s="6" t="s">
        <v>1767</v>
      </c>
      <c r="E199" s="6" t="s">
        <v>1897</v>
      </c>
      <c r="F199" s="6">
        <v>2.0</v>
      </c>
      <c r="G199" s="13">
        <v>424.54</v>
      </c>
      <c r="H199" s="6">
        <v>0.24</v>
      </c>
      <c r="I199" s="6" t="s">
        <v>1967</v>
      </c>
      <c r="J199" s="13">
        <v>645.3008000000001</v>
      </c>
      <c r="K199" s="6" t="str">
        <f t="shared" si="1"/>
        <v>Low Earnings</v>
      </c>
    </row>
    <row r="200" ht="14.25" customHeight="1">
      <c r="A200" s="6" t="s">
        <v>2165</v>
      </c>
      <c r="B200" s="17">
        <v>45462.0</v>
      </c>
      <c r="C200" s="6" t="s">
        <v>1044</v>
      </c>
      <c r="D200" s="6" t="s">
        <v>1840</v>
      </c>
      <c r="E200" s="6" t="s">
        <v>1947</v>
      </c>
      <c r="F200" s="6">
        <v>1.0</v>
      </c>
      <c r="G200" s="13">
        <v>235.44</v>
      </c>
      <c r="H200" s="6">
        <v>0.19</v>
      </c>
      <c r="I200" s="6" t="s">
        <v>1973</v>
      </c>
      <c r="J200" s="13">
        <v>190.7064</v>
      </c>
      <c r="K200" s="6" t="str">
        <f t="shared" si="1"/>
        <v>Low Earnings</v>
      </c>
    </row>
    <row r="201" ht="14.25" customHeight="1">
      <c r="A201" s="6" t="s">
        <v>2166</v>
      </c>
      <c r="B201" s="17">
        <v>45568.0</v>
      </c>
      <c r="C201" s="6" t="s">
        <v>878</v>
      </c>
      <c r="D201" s="6" t="s">
        <v>1733</v>
      </c>
      <c r="E201" s="6" t="s">
        <v>1937</v>
      </c>
      <c r="F201" s="6">
        <v>2.0</v>
      </c>
      <c r="G201" s="13">
        <v>620.71</v>
      </c>
      <c r="H201" s="6">
        <v>0.27</v>
      </c>
      <c r="I201" s="6" t="s">
        <v>1965</v>
      </c>
      <c r="J201" s="13">
        <v>906.2366000000001</v>
      </c>
      <c r="K201" s="6" t="str">
        <f t="shared" si="1"/>
        <v>Low Earnings</v>
      </c>
    </row>
    <row r="202" ht="14.25" customHeight="1">
      <c r="A202" s="6" t="s">
        <v>2167</v>
      </c>
      <c r="B202" s="17">
        <v>45397.0</v>
      </c>
      <c r="C202" s="6" t="s">
        <v>410</v>
      </c>
      <c r="D202" s="6" t="s">
        <v>1626</v>
      </c>
      <c r="E202" s="6" t="s">
        <v>1932</v>
      </c>
      <c r="F202" s="6">
        <v>2.0</v>
      </c>
      <c r="G202" s="13">
        <v>851.77</v>
      </c>
      <c r="H202" s="6">
        <v>0.13</v>
      </c>
      <c r="I202" s="6" t="s">
        <v>1967</v>
      </c>
      <c r="J202" s="13">
        <v>1482.0798</v>
      </c>
      <c r="K202" s="6" t="str">
        <f t="shared" si="1"/>
        <v>Average Earnings</v>
      </c>
    </row>
    <row r="203" ht="14.25" customHeight="1">
      <c r="A203" s="6" t="s">
        <v>2168</v>
      </c>
      <c r="B203" s="17">
        <v>45569.0</v>
      </c>
      <c r="C203" s="6" t="s">
        <v>570</v>
      </c>
      <c r="D203" s="6" t="s">
        <v>1720</v>
      </c>
      <c r="E203" s="6" t="s">
        <v>1897</v>
      </c>
      <c r="F203" s="6">
        <v>3.0</v>
      </c>
      <c r="G203" s="13">
        <v>876.01</v>
      </c>
      <c r="H203" s="6">
        <v>0.2</v>
      </c>
      <c r="I203" s="6" t="s">
        <v>1965</v>
      </c>
      <c r="J203" s="13">
        <v>2102.424</v>
      </c>
      <c r="K203" s="6" t="str">
        <f t="shared" si="1"/>
        <v>Average Earnings</v>
      </c>
    </row>
    <row r="204" ht="14.25" customHeight="1">
      <c r="A204" s="6" t="s">
        <v>2169</v>
      </c>
      <c r="B204" s="17">
        <v>45405.0</v>
      </c>
      <c r="C204" s="6" t="s">
        <v>380</v>
      </c>
      <c r="D204" s="6" t="s">
        <v>1701</v>
      </c>
      <c r="E204" s="6" t="s">
        <v>1932</v>
      </c>
      <c r="F204" s="6">
        <v>1.0</v>
      </c>
      <c r="G204" s="13">
        <v>165.0</v>
      </c>
      <c r="H204" s="6">
        <v>0.3</v>
      </c>
      <c r="I204" s="6" t="s">
        <v>1973</v>
      </c>
      <c r="J204" s="13">
        <v>115.5</v>
      </c>
      <c r="K204" s="6" t="str">
        <f t="shared" si="1"/>
        <v>Low Earnings</v>
      </c>
    </row>
    <row r="205" ht="14.25" customHeight="1">
      <c r="A205" s="6" t="s">
        <v>2170</v>
      </c>
      <c r="B205" s="17">
        <v>45353.0</v>
      </c>
      <c r="C205" s="6" t="s">
        <v>893</v>
      </c>
      <c r="D205" s="6" t="s">
        <v>1663</v>
      </c>
      <c r="E205" s="6" t="s">
        <v>1926</v>
      </c>
      <c r="F205" s="6">
        <v>2.0</v>
      </c>
      <c r="G205" s="13">
        <v>717.21</v>
      </c>
      <c r="H205" s="6">
        <v>0.15</v>
      </c>
      <c r="I205" s="6" t="s">
        <v>1973</v>
      </c>
      <c r="J205" s="13">
        <v>1219.257</v>
      </c>
      <c r="K205" s="6" t="str">
        <f t="shared" si="1"/>
        <v>Average Earnings</v>
      </c>
    </row>
    <row r="206" ht="14.25" customHeight="1">
      <c r="A206" s="6" t="s">
        <v>2171</v>
      </c>
      <c r="B206" s="17">
        <v>45343.0</v>
      </c>
      <c r="C206" s="6" t="s">
        <v>219</v>
      </c>
      <c r="D206" s="6" t="s">
        <v>1708</v>
      </c>
      <c r="E206" s="6" t="s">
        <v>1922</v>
      </c>
      <c r="F206" s="6">
        <v>2.0</v>
      </c>
      <c r="G206" s="13">
        <v>871.43</v>
      </c>
      <c r="H206" s="6">
        <v>0.05</v>
      </c>
      <c r="I206" s="6" t="s">
        <v>1965</v>
      </c>
      <c r="J206" s="13">
        <v>1655.717</v>
      </c>
      <c r="K206" s="6" t="str">
        <f t="shared" si="1"/>
        <v>Average Earnings</v>
      </c>
    </row>
    <row r="207" ht="14.25" customHeight="1">
      <c r="A207" s="6" t="s">
        <v>2172</v>
      </c>
      <c r="B207" s="17">
        <v>45321.0</v>
      </c>
      <c r="C207" s="6" t="s">
        <v>1416</v>
      </c>
      <c r="D207" s="6" t="s">
        <v>1691</v>
      </c>
      <c r="E207" s="6" t="s">
        <v>1919</v>
      </c>
      <c r="F207" s="6">
        <v>1.0</v>
      </c>
      <c r="G207" s="13">
        <v>514.65</v>
      </c>
      <c r="H207" s="6">
        <v>0.18</v>
      </c>
      <c r="I207" s="6" t="s">
        <v>1965</v>
      </c>
      <c r="J207" s="13">
        <v>422.013</v>
      </c>
      <c r="K207" s="6" t="str">
        <f t="shared" si="1"/>
        <v>Low Earnings</v>
      </c>
    </row>
    <row r="208" ht="14.25" customHeight="1">
      <c r="A208" s="6" t="s">
        <v>2173</v>
      </c>
      <c r="B208" s="17">
        <v>45650.0</v>
      </c>
      <c r="C208" s="6" t="s">
        <v>1433</v>
      </c>
      <c r="D208" s="6" t="s">
        <v>1773</v>
      </c>
      <c r="E208" s="6" t="s">
        <v>1944</v>
      </c>
      <c r="F208" s="6">
        <v>3.0</v>
      </c>
      <c r="G208" s="13">
        <v>198.76</v>
      </c>
      <c r="H208" s="6">
        <v>0.28</v>
      </c>
      <c r="I208" s="6" t="s">
        <v>1973</v>
      </c>
      <c r="J208" s="13">
        <v>429.3216</v>
      </c>
      <c r="K208" s="6" t="str">
        <f t="shared" si="1"/>
        <v>Low Earnings</v>
      </c>
    </row>
    <row r="209" ht="14.25" customHeight="1">
      <c r="A209" s="6" t="s">
        <v>2174</v>
      </c>
      <c r="B209" s="17">
        <v>45811.0</v>
      </c>
      <c r="C209" s="6" t="s">
        <v>742</v>
      </c>
      <c r="D209" s="6" t="s">
        <v>1776</v>
      </c>
      <c r="E209" s="6" t="s">
        <v>1906</v>
      </c>
      <c r="F209" s="6">
        <v>2.0</v>
      </c>
      <c r="G209" s="13">
        <v>975.72</v>
      </c>
      <c r="H209" s="6">
        <v>0.16</v>
      </c>
      <c r="I209" s="6" t="s">
        <v>1973</v>
      </c>
      <c r="J209" s="13">
        <v>1639.2096</v>
      </c>
      <c r="K209" s="6" t="str">
        <f t="shared" si="1"/>
        <v>Average Earnings</v>
      </c>
    </row>
    <row r="210" ht="14.25" customHeight="1">
      <c r="A210" s="6" t="s">
        <v>2175</v>
      </c>
      <c r="B210" s="17">
        <v>45505.0</v>
      </c>
      <c r="C210" s="6" t="s">
        <v>1320</v>
      </c>
      <c r="D210" s="6" t="s">
        <v>1622</v>
      </c>
      <c r="E210" s="6" t="s">
        <v>1897</v>
      </c>
      <c r="F210" s="6">
        <v>1.0</v>
      </c>
      <c r="G210" s="13">
        <v>86.03</v>
      </c>
      <c r="H210" s="6">
        <v>0.01</v>
      </c>
      <c r="I210" s="6" t="s">
        <v>1965</v>
      </c>
      <c r="J210" s="13">
        <v>85.1697</v>
      </c>
      <c r="K210" s="6" t="str">
        <f t="shared" si="1"/>
        <v>Low Earnings</v>
      </c>
    </row>
    <row r="211" ht="14.25" customHeight="1">
      <c r="A211" s="6" t="s">
        <v>2176</v>
      </c>
      <c r="B211" s="17">
        <v>45897.0</v>
      </c>
      <c r="C211" s="6" t="s">
        <v>322</v>
      </c>
      <c r="D211" s="6" t="s">
        <v>1749</v>
      </c>
      <c r="E211" s="6" t="s">
        <v>1934</v>
      </c>
      <c r="F211" s="6">
        <v>4.0</v>
      </c>
      <c r="G211" s="13">
        <v>705.12</v>
      </c>
      <c r="H211" s="6">
        <v>0.15</v>
      </c>
      <c r="I211" s="6" t="s">
        <v>1967</v>
      </c>
      <c r="J211" s="13">
        <v>2397.408</v>
      </c>
      <c r="K211" s="6" t="str">
        <f t="shared" si="1"/>
        <v>Average Earnings</v>
      </c>
    </row>
    <row r="212" ht="14.25" customHeight="1">
      <c r="A212" s="6" t="s">
        <v>2177</v>
      </c>
      <c r="B212" s="17">
        <v>45602.0</v>
      </c>
      <c r="C212" s="6" t="s">
        <v>1176</v>
      </c>
      <c r="D212" s="6" t="s">
        <v>1633</v>
      </c>
      <c r="E212" s="6" t="s">
        <v>1934</v>
      </c>
      <c r="F212" s="6">
        <v>3.0</v>
      </c>
      <c r="G212" s="13">
        <v>99.77</v>
      </c>
      <c r="H212" s="6">
        <v>0.01</v>
      </c>
      <c r="I212" s="6" t="s">
        <v>1967</v>
      </c>
      <c r="J212" s="13">
        <v>296.3169</v>
      </c>
      <c r="K212" s="6" t="str">
        <f t="shared" si="1"/>
        <v>Low Earnings</v>
      </c>
    </row>
    <row r="213" ht="14.25" customHeight="1">
      <c r="A213" s="6" t="s">
        <v>2178</v>
      </c>
      <c r="B213" s="17">
        <v>45530.0</v>
      </c>
      <c r="C213" s="6" t="s">
        <v>693</v>
      </c>
      <c r="D213" s="6" t="s">
        <v>1685</v>
      </c>
      <c r="E213" s="6" t="s">
        <v>1926</v>
      </c>
      <c r="F213" s="6">
        <v>2.0</v>
      </c>
      <c r="G213" s="13">
        <v>166.26</v>
      </c>
      <c r="H213" s="6">
        <v>0.14</v>
      </c>
      <c r="I213" s="6" t="s">
        <v>1967</v>
      </c>
      <c r="J213" s="13">
        <v>285.9672</v>
      </c>
      <c r="K213" s="6" t="str">
        <f t="shared" si="1"/>
        <v>Low Earnings</v>
      </c>
    </row>
    <row r="214" ht="14.25" customHeight="1">
      <c r="A214" s="6" t="s">
        <v>2179</v>
      </c>
      <c r="B214" s="17">
        <v>45729.0</v>
      </c>
      <c r="C214" s="6" t="s">
        <v>1433</v>
      </c>
      <c r="D214" s="6" t="s">
        <v>1660</v>
      </c>
      <c r="E214" s="6" t="s">
        <v>1913</v>
      </c>
      <c r="F214" s="6">
        <v>1.0</v>
      </c>
      <c r="G214" s="13">
        <v>429.25</v>
      </c>
      <c r="H214" s="6">
        <v>0.29</v>
      </c>
      <c r="I214" s="6" t="s">
        <v>1965</v>
      </c>
      <c r="J214" s="13">
        <v>304.7675</v>
      </c>
      <c r="K214" s="6" t="str">
        <f t="shared" si="1"/>
        <v>Low Earnings</v>
      </c>
    </row>
    <row r="215" ht="14.25" customHeight="1">
      <c r="A215" s="6" t="s">
        <v>2180</v>
      </c>
      <c r="B215" s="17">
        <v>45503.0</v>
      </c>
      <c r="C215" s="6" t="s">
        <v>540</v>
      </c>
      <c r="D215" s="6" t="s">
        <v>1636</v>
      </c>
      <c r="E215" s="6" t="s">
        <v>1922</v>
      </c>
      <c r="F215" s="6">
        <v>2.0</v>
      </c>
      <c r="G215" s="13">
        <v>151.51</v>
      </c>
      <c r="H215" s="6">
        <v>0.29</v>
      </c>
      <c r="I215" s="6" t="s">
        <v>1973</v>
      </c>
      <c r="J215" s="13">
        <v>215.1442</v>
      </c>
      <c r="K215" s="6" t="str">
        <f t="shared" si="1"/>
        <v>Low Earnings</v>
      </c>
    </row>
    <row r="216" ht="14.25" customHeight="1">
      <c r="A216" s="6" t="s">
        <v>2181</v>
      </c>
      <c r="B216" s="17">
        <v>45468.0</v>
      </c>
      <c r="C216" s="6" t="s">
        <v>1387</v>
      </c>
      <c r="D216" s="6" t="s">
        <v>1560</v>
      </c>
      <c r="E216" s="6" t="s">
        <v>1926</v>
      </c>
      <c r="F216" s="6">
        <v>2.0</v>
      </c>
      <c r="G216" s="13">
        <v>540.48</v>
      </c>
      <c r="H216" s="6">
        <v>0.29</v>
      </c>
      <c r="I216" s="6" t="s">
        <v>1965</v>
      </c>
      <c r="J216" s="13">
        <v>767.4816</v>
      </c>
      <c r="K216" s="6" t="str">
        <f t="shared" si="1"/>
        <v>Low Earnings</v>
      </c>
    </row>
    <row r="217" ht="14.25" customHeight="1">
      <c r="A217" s="6" t="s">
        <v>2182</v>
      </c>
      <c r="B217" s="17">
        <v>45936.0</v>
      </c>
      <c r="C217" s="6" t="s">
        <v>872</v>
      </c>
      <c r="D217" s="6" t="s">
        <v>1764</v>
      </c>
      <c r="E217" s="6" t="s">
        <v>1939</v>
      </c>
      <c r="F217" s="6">
        <v>2.0</v>
      </c>
      <c r="G217" s="13">
        <v>579.52</v>
      </c>
      <c r="H217" s="6">
        <v>0.01</v>
      </c>
      <c r="I217" s="6" t="s">
        <v>1967</v>
      </c>
      <c r="J217" s="13">
        <v>1147.4496</v>
      </c>
      <c r="K217" s="6" t="str">
        <f t="shared" si="1"/>
        <v>Average Earnings</v>
      </c>
    </row>
    <row r="218" ht="14.25" customHeight="1">
      <c r="A218" s="6" t="s">
        <v>2183</v>
      </c>
      <c r="B218" s="17">
        <v>45622.0</v>
      </c>
      <c r="C218" s="6" t="s">
        <v>118</v>
      </c>
      <c r="D218" s="6" t="s">
        <v>1795</v>
      </c>
      <c r="E218" s="6" t="s">
        <v>1947</v>
      </c>
      <c r="F218" s="6">
        <v>4.0</v>
      </c>
      <c r="G218" s="13">
        <v>477.52</v>
      </c>
      <c r="H218" s="6">
        <v>0.07</v>
      </c>
      <c r="I218" s="6" t="s">
        <v>1967</v>
      </c>
      <c r="J218" s="13">
        <v>1776.3744</v>
      </c>
      <c r="K218" s="6" t="str">
        <f t="shared" si="1"/>
        <v>Average Earnings</v>
      </c>
    </row>
    <row r="219" ht="14.25" customHeight="1">
      <c r="A219" s="6" t="s">
        <v>2184</v>
      </c>
      <c r="B219" s="17">
        <v>45705.0</v>
      </c>
      <c r="C219" s="6" t="s">
        <v>842</v>
      </c>
      <c r="D219" s="6" t="s">
        <v>1861</v>
      </c>
      <c r="E219" s="6" t="s">
        <v>1916</v>
      </c>
      <c r="F219" s="6">
        <v>3.0</v>
      </c>
      <c r="G219" s="13">
        <v>242.58</v>
      </c>
      <c r="H219" s="6">
        <v>0.25</v>
      </c>
      <c r="I219" s="6" t="s">
        <v>1965</v>
      </c>
      <c r="J219" s="13">
        <v>545.8050000000001</v>
      </c>
      <c r="K219" s="6" t="str">
        <f t="shared" si="1"/>
        <v>Low Earnings</v>
      </c>
    </row>
    <row r="220" ht="14.25" customHeight="1">
      <c r="A220" s="6" t="s">
        <v>2185</v>
      </c>
      <c r="B220" s="17">
        <v>45250.0</v>
      </c>
      <c r="C220" s="6" t="s">
        <v>1164</v>
      </c>
      <c r="D220" s="6" t="s">
        <v>1660</v>
      </c>
      <c r="E220" s="6" t="s">
        <v>1947</v>
      </c>
      <c r="F220" s="6">
        <v>2.0</v>
      </c>
      <c r="G220" s="13">
        <v>519.3</v>
      </c>
      <c r="H220" s="6">
        <v>0.09</v>
      </c>
      <c r="I220" s="6" t="s">
        <v>1967</v>
      </c>
      <c r="J220" s="13">
        <v>945.126</v>
      </c>
      <c r="K220" s="6" t="str">
        <f t="shared" si="1"/>
        <v>Low Earnings</v>
      </c>
    </row>
    <row r="221" ht="14.25" customHeight="1">
      <c r="A221" s="6" t="s">
        <v>2186</v>
      </c>
      <c r="B221" s="17">
        <v>45684.0</v>
      </c>
      <c r="C221" s="6" t="s">
        <v>1526</v>
      </c>
      <c r="D221" s="6" t="s">
        <v>1870</v>
      </c>
      <c r="E221" s="6" t="s">
        <v>1932</v>
      </c>
      <c r="F221" s="6">
        <v>3.0</v>
      </c>
      <c r="G221" s="13">
        <v>845.67</v>
      </c>
      <c r="H221" s="6">
        <v>0.12</v>
      </c>
      <c r="I221" s="6" t="s">
        <v>1973</v>
      </c>
      <c r="J221" s="13">
        <v>2232.5688</v>
      </c>
      <c r="K221" s="6" t="str">
        <f t="shared" si="1"/>
        <v>Average Earnings</v>
      </c>
    </row>
    <row r="222" ht="14.25" customHeight="1">
      <c r="A222" s="6" t="s">
        <v>2187</v>
      </c>
      <c r="B222" s="17">
        <v>45395.0</v>
      </c>
      <c r="C222" s="6" t="s">
        <v>978</v>
      </c>
      <c r="D222" s="6" t="s">
        <v>1752</v>
      </c>
      <c r="E222" s="6" t="s">
        <v>1944</v>
      </c>
      <c r="F222" s="6">
        <v>4.0</v>
      </c>
      <c r="G222" s="13">
        <v>750.26</v>
      </c>
      <c r="H222" s="6">
        <v>0.01</v>
      </c>
      <c r="I222" s="6" t="s">
        <v>1967</v>
      </c>
      <c r="J222" s="13">
        <v>2971.0296</v>
      </c>
      <c r="K222" s="6" t="str">
        <f t="shared" si="1"/>
        <v>High Earnings</v>
      </c>
    </row>
    <row r="223" ht="14.25" customHeight="1">
      <c r="A223" s="6" t="s">
        <v>2188</v>
      </c>
      <c r="B223" s="17">
        <v>45382.0</v>
      </c>
      <c r="C223" s="6" t="s">
        <v>1059</v>
      </c>
      <c r="D223" s="6" t="s">
        <v>1864</v>
      </c>
      <c r="E223" s="6" t="s">
        <v>1934</v>
      </c>
      <c r="F223" s="6">
        <v>4.0</v>
      </c>
      <c r="G223" s="13">
        <v>294.38</v>
      </c>
      <c r="H223" s="6">
        <v>0.2</v>
      </c>
      <c r="I223" s="6" t="s">
        <v>1965</v>
      </c>
      <c r="J223" s="13">
        <v>942.0160000000001</v>
      </c>
      <c r="K223" s="6" t="str">
        <f t="shared" si="1"/>
        <v>Low Earnings</v>
      </c>
    </row>
    <row r="224" ht="14.25" customHeight="1">
      <c r="A224" s="6" t="s">
        <v>2189</v>
      </c>
      <c r="B224" s="17">
        <v>45919.0</v>
      </c>
      <c r="C224" s="6" t="s">
        <v>355</v>
      </c>
      <c r="D224" s="6" t="s">
        <v>1876</v>
      </c>
      <c r="E224" s="6" t="s">
        <v>1901</v>
      </c>
      <c r="F224" s="6">
        <v>3.0</v>
      </c>
      <c r="G224" s="13">
        <v>583.52</v>
      </c>
      <c r="H224" s="6">
        <v>0.07</v>
      </c>
      <c r="I224" s="6" t="s">
        <v>1967</v>
      </c>
      <c r="J224" s="13">
        <v>1628.0208</v>
      </c>
      <c r="K224" s="6" t="str">
        <f t="shared" si="1"/>
        <v>Average Earnings</v>
      </c>
    </row>
    <row r="225" ht="14.25" customHeight="1">
      <c r="A225" s="6" t="s">
        <v>2190</v>
      </c>
      <c r="B225" s="17">
        <v>45453.0</v>
      </c>
      <c r="C225" s="6" t="s">
        <v>1465</v>
      </c>
      <c r="D225" s="6" t="s">
        <v>1855</v>
      </c>
      <c r="E225" s="6" t="s">
        <v>1944</v>
      </c>
      <c r="F225" s="6">
        <v>2.0</v>
      </c>
      <c r="G225" s="13">
        <v>635.22</v>
      </c>
      <c r="H225" s="6">
        <v>0.3</v>
      </c>
      <c r="I225" s="6" t="s">
        <v>1973</v>
      </c>
      <c r="J225" s="13">
        <v>889.308</v>
      </c>
      <c r="K225" s="6" t="str">
        <f t="shared" si="1"/>
        <v>Low Earnings</v>
      </c>
    </row>
    <row r="226" ht="14.25" customHeight="1">
      <c r="A226" s="6" t="s">
        <v>2191</v>
      </c>
      <c r="B226" s="17">
        <v>45528.0</v>
      </c>
      <c r="C226" s="6" t="s">
        <v>776</v>
      </c>
      <c r="D226" s="6" t="s">
        <v>1852</v>
      </c>
      <c r="E226" s="6" t="s">
        <v>1909</v>
      </c>
      <c r="F226" s="6">
        <v>4.0</v>
      </c>
      <c r="G226" s="13">
        <v>644.58</v>
      </c>
      <c r="H226" s="6">
        <v>0.01</v>
      </c>
      <c r="I226" s="6" t="s">
        <v>1965</v>
      </c>
      <c r="J226" s="13">
        <v>2552.5368</v>
      </c>
      <c r="K226" s="6" t="str">
        <f t="shared" si="1"/>
        <v>High Earnings</v>
      </c>
    </row>
    <row r="227" ht="14.25" customHeight="1">
      <c r="A227" s="6" t="s">
        <v>2192</v>
      </c>
      <c r="B227" s="17">
        <v>45274.0</v>
      </c>
      <c r="C227" s="6" t="s">
        <v>758</v>
      </c>
      <c r="D227" s="6" t="s">
        <v>1675</v>
      </c>
      <c r="E227" s="6" t="s">
        <v>1947</v>
      </c>
      <c r="F227" s="6">
        <v>2.0</v>
      </c>
      <c r="G227" s="13">
        <v>872.93</v>
      </c>
      <c r="H227" s="6">
        <v>0.29</v>
      </c>
      <c r="I227" s="6" t="s">
        <v>1973</v>
      </c>
      <c r="J227" s="13">
        <v>1239.5606</v>
      </c>
      <c r="K227" s="6" t="str">
        <f t="shared" si="1"/>
        <v>Average Earnings</v>
      </c>
    </row>
    <row r="228" ht="14.25" customHeight="1">
      <c r="A228" s="6" t="s">
        <v>2193</v>
      </c>
      <c r="B228" s="17">
        <v>45313.0</v>
      </c>
      <c r="C228" s="6" t="s">
        <v>1344</v>
      </c>
      <c r="D228" s="6" t="s">
        <v>1785</v>
      </c>
      <c r="E228" s="6" t="s">
        <v>1901</v>
      </c>
      <c r="F228" s="6">
        <v>1.0</v>
      </c>
      <c r="G228" s="13">
        <v>743.55</v>
      </c>
      <c r="H228" s="6">
        <v>0.11</v>
      </c>
      <c r="I228" s="6" t="s">
        <v>1973</v>
      </c>
      <c r="J228" s="13">
        <v>661.7595</v>
      </c>
      <c r="K228" s="6" t="str">
        <f t="shared" si="1"/>
        <v>Low Earnings</v>
      </c>
    </row>
    <row r="229" ht="14.25" customHeight="1">
      <c r="A229" s="6" t="s">
        <v>2194</v>
      </c>
      <c r="B229" s="17">
        <v>45377.0</v>
      </c>
      <c r="C229" s="6" t="s">
        <v>368</v>
      </c>
      <c r="D229" s="6" t="s">
        <v>1717</v>
      </c>
      <c r="E229" s="6" t="s">
        <v>1906</v>
      </c>
      <c r="F229" s="6">
        <v>4.0</v>
      </c>
      <c r="G229" s="13">
        <v>530.45</v>
      </c>
      <c r="H229" s="6">
        <v>0.13</v>
      </c>
      <c r="I229" s="6" t="s">
        <v>1965</v>
      </c>
      <c r="J229" s="13">
        <v>1845.966</v>
      </c>
      <c r="K229" s="6" t="str">
        <f t="shared" si="1"/>
        <v>Average Earnings</v>
      </c>
    </row>
    <row r="230" ht="14.25" customHeight="1">
      <c r="A230" s="6" t="s">
        <v>2195</v>
      </c>
      <c r="B230" s="17">
        <v>45371.0</v>
      </c>
      <c r="C230" s="6" t="s">
        <v>857</v>
      </c>
      <c r="D230" s="6" t="s">
        <v>1785</v>
      </c>
      <c r="E230" s="6" t="s">
        <v>1926</v>
      </c>
      <c r="F230" s="6">
        <v>2.0</v>
      </c>
      <c r="G230" s="13">
        <v>972.4</v>
      </c>
      <c r="H230" s="6">
        <v>0.06</v>
      </c>
      <c r="I230" s="6" t="s">
        <v>1973</v>
      </c>
      <c r="J230" s="13">
        <v>1828.112</v>
      </c>
      <c r="K230" s="6" t="str">
        <f t="shared" si="1"/>
        <v>Average Earnings</v>
      </c>
    </row>
    <row r="231" ht="14.25" customHeight="1">
      <c r="A231" s="6" t="s">
        <v>2196</v>
      </c>
      <c r="B231" s="17">
        <v>45797.0</v>
      </c>
      <c r="C231" s="6" t="s">
        <v>1197</v>
      </c>
      <c r="D231" s="6" t="s">
        <v>1622</v>
      </c>
      <c r="E231" s="6" t="s">
        <v>1950</v>
      </c>
      <c r="F231" s="6">
        <v>3.0</v>
      </c>
      <c r="G231" s="13">
        <v>197.93</v>
      </c>
      <c r="H231" s="6">
        <v>0.0</v>
      </c>
      <c r="I231" s="6" t="s">
        <v>1973</v>
      </c>
      <c r="J231" s="13">
        <v>593.79</v>
      </c>
      <c r="K231" s="6" t="str">
        <f t="shared" si="1"/>
        <v>Low Earnings</v>
      </c>
    </row>
    <row r="232" ht="14.25" customHeight="1">
      <c r="A232" s="6" t="s">
        <v>2197</v>
      </c>
      <c r="B232" s="17">
        <v>45575.0</v>
      </c>
      <c r="C232" s="6" t="s">
        <v>1089</v>
      </c>
      <c r="D232" s="6" t="s">
        <v>1849</v>
      </c>
      <c r="E232" s="6" t="s">
        <v>1932</v>
      </c>
      <c r="F232" s="6">
        <v>4.0</v>
      </c>
      <c r="G232" s="13">
        <v>565.51</v>
      </c>
      <c r="H232" s="6">
        <v>0.16</v>
      </c>
      <c r="I232" s="6" t="s">
        <v>1967</v>
      </c>
      <c r="J232" s="13">
        <v>1900.1136</v>
      </c>
      <c r="K232" s="6" t="str">
        <f t="shared" si="1"/>
        <v>Average Earnings</v>
      </c>
    </row>
    <row r="233" ht="14.25" customHeight="1">
      <c r="A233" s="6" t="s">
        <v>2198</v>
      </c>
      <c r="B233" s="17">
        <v>45566.0</v>
      </c>
      <c r="C233" s="6" t="s">
        <v>1262</v>
      </c>
      <c r="D233" s="6" t="s">
        <v>1701</v>
      </c>
      <c r="E233" s="6" t="s">
        <v>1909</v>
      </c>
      <c r="F233" s="6">
        <v>4.0</v>
      </c>
      <c r="G233" s="13">
        <v>983.38</v>
      </c>
      <c r="H233" s="6">
        <v>0.25</v>
      </c>
      <c r="I233" s="6" t="s">
        <v>1973</v>
      </c>
      <c r="J233" s="13">
        <v>2950.14</v>
      </c>
      <c r="K233" s="6" t="str">
        <f t="shared" si="1"/>
        <v>High Earnings</v>
      </c>
    </row>
    <row r="234" ht="14.25" customHeight="1">
      <c r="A234" s="6" t="s">
        <v>2199</v>
      </c>
      <c r="B234" s="17">
        <v>45252.0</v>
      </c>
      <c r="C234" s="6" t="s">
        <v>767</v>
      </c>
      <c r="D234" s="6" t="s">
        <v>1885</v>
      </c>
      <c r="E234" s="6" t="s">
        <v>1926</v>
      </c>
      <c r="F234" s="6">
        <v>1.0</v>
      </c>
      <c r="G234" s="13">
        <v>955.06</v>
      </c>
      <c r="H234" s="6">
        <v>0.14</v>
      </c>
      <c r="I234" s="6" t="s">
        <v>1965</v>
      </c>
      <c r="J234" s="13">
        <v>821.3516</v>
      </c>
      <c r="K234" s="6" t="str">
        <f t="shared" si="1"/>
        <v>Low Earnings</v>
      </c>
    </row>
    <row r="235" ht="14.25" customHeight="1">
      <c r="A235" s="6" t="s">
        <v>2200</v>
      </c>
      <c r="B235" s="17">
        <v>45693.0</v>
      </c>
      <c r="C235" s="6" t="s">
        <v>1119</v>
      </c>
      <c r="D235" s="6" t="s">
        <v>1764</v>
      </c>
      <c r="E235" s="6" t="s">
        <v>1941</v>
      </c>
      <c r="F235" s="6">
        <v>3.0</v>
      </c>
      <c r="G235" s="13">
        <v>597.46</v>
      </c>
      <c r="H235" s="6">
        <v>0.02</v>
      </c>
      <c r="I235" s="6" t="s">
        <v>1967</v>
      </c>
      <c r="J235" s="13">
        <v>1756.5324</v>
      </c>
      <c r="K235" s="6" t="str">
        <f t="shared" si="1"/>
        <v>Average Earnings</v>
      </c>
    </row>
    <row r="236" ht="14.25" customHeight="1">
      <c r="A236" s="6" t="s">
        <v>2201</v>
      </c>
      <c r="B236" s="17">
        <v>45446.0</v>
      </c>
      <c r="C236" s="6" t="s">
        <v>1014</v>
      </c>
      <c r="D236" s="6" t="s">
        <v>1595</v>
      </c>
      <c r="E236" s="6" t="s">
        <v>1944</v>
      </c>
      <c r="F236" s="6">
        <v>3.0</v>
      </c>
      <c r="G236" s="13">
        <v>581.09</v>
      </c>
      <c r="H236" s="6">
        <v>0.1</v>
      </c>
      <c r="I236" s="6" t="s">
        <v>1973</v>
      </c>
      <c r="J236" s="13">
        <v>1568.943</v>
      </c>
      <c r="K236" s="6" t="str">
        <f t="shared" si="1"/>
        <v>Average Earnings</v>
      </c>
    </row>
    <row r="237" ht="14.25" customHeight="1">
      <c r="A237" s="6" t="s">
        <v>2202</v>
      </c>
      <c r="B237" s="17">
        <v>45862.0</v>
      </c>
      <c r="C237" s="6" t="s">
        <v>213</v>
      </c>
      <c r="D237" s="6" t="s">
        <v>1672</v>
      </c>
      <c r="E237" s="6" t="s">
        <v>1909</v>
      </c>
      <c r="F237" s="6">
        <v>4.0</v>
      </c>
      <c r="G237" s="13">
        <v>153.95</v>
      </c>
      <c r="H237" s="6">
        <v>0.11</v>
      </c>
      <c r="I237" s="6" t="s">
        <v>1967</v>
      </c>
      <c r="J237" s="13">
        <v>548.062</v>
      </c>
      <c r="K237" s="6" t="str">
        <f t="shared" si="1"/>
        <v>Low Earnings</v>
      </c>
    </row>
    <row r="238" ht="14.25" customHeight="1">
      <c r="A238" s="6" t="s">
        <v>2203</v>
      </c>
      <c r="B238" s="17">
        <v>45558.0</v>
      </c>
      <c r="C238" s="6" t="s">
        <v>857</v>
      </c>
      <c r="D238" s="6" t="s">
        <v>1647</v>
      </c>
      <c r="E238" s="6" t="s">
        <v>1929</v>
      </c>
      <c r="F238" s="6">
        <v>3.0</v>
      </c>
      <c r="G238" s="13">
        <v>432.4</v>
      </c>
      <c r="H238" s="6">
        <v>0.04</v>
      </c>
      <c r="I238" s="6" t="s">
        <v>1965</v>
      </c>
      <c r="J238" s="13">
        <v>1245.312</v>
      </c>
      <c r="K238" s="6" t="str">
        <f t="shared" si="1"/>
        <v>Average Earnings</v>
      </c>
    </row>
    <row r="239" ht="14.25" customHeight="1">
      <c r="A239" s="6" t="s">
        <v>2204</v>
      </c>
      <c r="B239" s="17">
        <v>45530.0</v>
      </c>
      <c r="C239" s="6" t="s">
        <v>303</v>
      </c>
      <c r="D239" s="6" t="s">
        <v>1691</v>
      </c>
      <c r="E239" s="6" t="s">
        <v>1922</v>
      </c>
      <c r="F239" s="6">
        <v>4.0</v>
      </c>
      <c r="G239" s="13">
        <v>271.04</v>
      </c>
      <c r="H239" s="6">
        <v>0.12</v>
      </c>
      <c r="I239" s="6" t="s">
        <v>1973</v>
      </c>
      <c r="J239" s="13">
        <v>954.0608000000001</v>
      </c>
      <c r="K239" s="6" t="str">
        <f t="shared" si="1"/>
        <v>Low Earnings</v>
      </c>
    </row>
    <row r="240" ht="14.25" customHeight="1">
      <c r="A240" s="6" t="s">
        <v>2205</v>
      </c>
      <c r="B240" s="17">
        <v>45558.0</v>
      </c>
      <c r="C240" s="6" t="s">
        <v>78</v>
      </c>
      <c r="D240" s="6" t="s">
        <v>1688</v>
      </c>
      <c r="E240" s="6" t="s">
        <v>1916</v>
      </c>
      <c r="F240" s="6">
        <v>4.0</v>
      </c>
      <c r="G240" s="13">
        <v>328.27</v>
      </c>
      <c r="H240" s="6">
        <v>0.09</v>
      </c>
      <c r="I240" s="6" t="s">
        <v>1967</v>
      </c>
      <c r="J240" s="13">
        <v>1194.9028</v>
      </c>
      <c r="K240" s="6" t="str">
        <f t="shared" si="1"/>
        <v>Average Earnings</v>
      </c>
    </row>
    <row r="241" ht="14.25" customHeight="1">
      <c r="A241" s="6" t="s">
        <v>2206</v>
      </c>
      <c r="B241" s="17">
        <v>45472.0</v>
      </c>
      <c r="C241" s="6" t="s">
        <v>1534</v>
      </c>
      <c r="D241" s="6" t="s">
        <v>1630</v>
      </c>
      <c r="E241" s="6" t="s">
        <v>1939</v>
      </c>
      <c r="F241" s="6">
        <v>4.0</v>
      </c>
      <c r="G241" s="13">
        <v>884.71</v>
      </c>
      <c r="H241" s="6">
        <v>0.09</v>
      </c>
      <c r="I241" s="6" t="s">
        <v>1967</v>
      </c>
      <c r="J241" s="13">
        <v>3220.3444</v>
      </c>
      <c r="K241" s="6" t="str">
        <f t="shared" si="1"/>
        <v>High Earnings</v>
      </c>
    </row>
    <row r="242" ht="14.25" customHeight="1">
      <c r="A242" s="6" t="s">
        <v>2207</v>
      </c>
      <c r="B242" s="17">
        <v>45809.0</v>
      </c>
      <c r="C242" s="6" t="s">
        <v>812</v>
      </c>
      <c r="D242" s="6" t="s">
        <v>1804</v>
      </c>
      <c r="E242" s="6" t="s">
        <v>1909</v>
      </c>
      <c r="F242" s="6">
        <v>1.0</v>
      </c>
      <c r="G242" s="13">
        <v>41.39</v>
      </c>
      <c r="H242" s="6">
        <v>0.01</v>
      </c>
      <c r="I242" s="6" t="s">
        <v>1965</v>
      </c>
      <c r="J242" s="13">
        <v>40.9761</v>
      </c>
      <c r="K242" s="6" t="str">
        <f t="shared" si="1"/>
        <v>Low Earnings</v>
      </c>
    </row>
    <row r="243" ht="14.25" customHeight="1">
      <c r="A243" s="6" t="s">
        <v>2208</v>
      </c>
      <c r="B243" s="17">
        <v>45783.0</v>
      </c>
      <c r="C243" s="6" t="s">
        <v>561</v>
      </c>
      <c r="D243" s="6" t="s">
        <v>1758</v>
      </c>
      <c r="E243" s="6" t="s">
        <v>1926</v>
      </c>
      <c r="F243" s="6">
        <v>4.0</v>
      </c>
      <c r="G243" s="13">
        <v>64.06</v>
      </c>
      <c r="H243" s="6">
        <v>0.26</v>
      </c>
      <c r="I243" s="6" t="s">
        <v>1965</v>
      </c>
      <c r="J243" s="13">
        <v>189.6176</v>
      </c>
      <c r="K243" s="6" t="str">
        <f t="shared" si="1"/>
        <v>Low Earnings</v>
      </c>
    </row>
    <row r="244" ht="14.25" customHeight="1">
      <c r="A244" s="6" t="s">
        <v>2209</v>
      </c>
      <c r="B244" s="17">
        <v>45849.0</v>
      </c>
      <c r="C244" s="6" t="s">
        <v>1101</v>
      </c>
      <c r="D244" s="6" t="s">
        <v>1723</v>
      </c>
      <c r="E244" s="6" t="s">
        <v>1926</v>
      </c>
      <c r="F244" s="6">
        <v>2.0</v>
      </c>
      <c r="G244" s="13">
        <v>152.25</v>
      </c>
      <c r="H244" s="6">
        <v>0.13</v>
      </c>
      <c r="I244" s="6" t="s">
        <v>1965</v>
      </c>
      <c r="J244" s="13">
        <v>264.915</v>
      </c>
      <c r="K244" s="6" t="str">
        <f t="shared" si="1"/>
        <v>Low Earnings</v>
      </c>
    </row>
    <row r="245" ht="14.25" customHeight="1">
      <c r="A245" s="6" t="s">
        <v>2210</v>
      </c>
      <c r="B245" s="17">
        <v>45281.0</v>
      </c>
      <c r="C245" s="6" t="s">
        <v>364</v>
      </c>
      <c r="D245" s="6" t="s">
        <v>1615</v>
      </c>
      <c r="E245" s="6" t="s">
        <v>1953</v>
      </c>
      <c r="F245" s="6">
        <v>2.0</v>
      </c>
      <c r="G245" s="13">
        <v>889.04</v>
      </c>
      <c r="H245" s="6">
        <v>0.23</v>
      </c>
      <c r="I245" s="6" t="s">
        <v>1965</v>
      </c>
      <c r="J245" s="13">
        <v>1369.1216</v>
      </c>
      <c r="K245" s="6" t="str">
        <f t="shared" si="1"/>
        <v>Average Earnings</v>
      </c>
    </row>
    <row r="246" ht="14.25" customHeight="1">
      <c r="A246" s="6" t="s">
        <v>2211</v>
      </c>
      <c r="B246" s="17">
        <v>45322.0</v>
      </c>
      <c r="C246" s="6" t="s">
        <v>549</v>
      </c>
      <c r="D246" s="6" t="s">
        <v>1694</v>
      </c>
      <c r="E246" s="6" t="s">
        <v>1929</v>
      </c>
      <c r="F246" s="6">
        <v>3.0</v>
      </c>
      <c r="G246" s="13">
        <v>145.25</v>
      </c>
      <c r="H246" s="6">
        <v>0.24</v>
      </c>
      <c r="I246" s="6" t="s">
        <v>1967</v>
      </c>
      <c r="J246" s="13">
        <v>331.17</v>
      </c>
      <c r="K246" s="6" t="str">
        <f t="shared" si="1"/>
        <v>Low Earnings</v>
      </c>
    </row>
    <row r="247" ht="14.25" customHeight="1">
      <c r="A247" s="6" t="s">
        <v>2212</v>
      </c>
      <c r="B247" s="17">
        <v>45560.0</v>
      </c>
      <c r="C247" s="6" t="s">
        <v>219</v>
      </c>
      <c r="D247" s="6" t="s">
        <v>1852</v>
      </c>
      <c r="E247" s="6" t="s">
        <v>1901</v>
      </c>
      <c r="F247" s="6">
        <v>2.0</v>
      </c>
      <c r="G247" s="13">
        <v>898.45</v>
      </c>
      <c r="H247" s="6">
        <v>0.29</v>
      </c>
      <c r="I247" s="6" t="s">
        <v>1973</v>
      </c>
      <c r="J247" s="13">
        <v>1275.799</v>
      </c>
      <c r="K247" s="6" t="str">
        <f t="shared" si="1"/>
        <v>Average Earnings</v>
      </c>
    </row>
    <row r="248" ht="14.25" customHeight="1">
      <c r="A248" s="6" t="s">
        <v>2213</v>
      </c>
      <c r="B248" s="17">
        <v>45905.0</v>
      </c>
      <c r="C248" s="6" t="s">
        <v>132</v>
      </c>
      <c r="D248" s="6" t="s">
        <v>1688</v>
      </c>
      <c r="E248" s="6" t="s">
        <v>1941</v>
      </c>
      <c r="F248" s="6">
        <v>4.0</v>
      </c>
      <c r="G248" s="13">
        <v>642.05</v>
      </c>
      <c r="H248" s="6">
        <v>0.25</v>
      </c>
      <c r="I248" s="6" t="s">
        <v>1965</v>
      </c>
      <c r="J248" s="13">
        <v>1926.15</v>
      </c>
      <c r="K248" s="6" t="str">
        <f t="shared" si="1"/>
        <v>Average Earnings</v>
      </c>
    </row>
    <row r="249" ht="14.25" customHeight="1">
      <c r="A249" s="6" t="s">
        <v>2214</v>
      </c>
      <c r="B249" s="17">
        <v>45886.0</v>
      </c>
      <c r="C249" s="6" t="s">
        <v>1077</v>
      </c>
      <c r="D249" s="6" t="s">
        <v>1737</v>
      </c>
      <c r="E249" s="6" t="s">
        <v>1919</v>
      </c>
      <c r="F249" s="6">
        <v>2.0</v>
      </c>
      <c r="G249" s="13">
        <v>197.76</v>
      </c>
      <c r="H249" s="6">
        <v>0.04</v>
      </c>
      <c r="I249" s="6" t="s">
        <v>1965</v>
      </c>
      <c r="J249" s="13">
        <v>379.6992</v>
      </c>
      <c r="K249" s="6" t="str">
        <f t="shared" si="1"/>
        <v>Low Earnings</v>
      </c>
    </row>
    <row r="250" ht="14.25" customHeight="1">
      <c r="A250" s="6" t="s">
        <v>2215</v>
      </c>
      <c r="B250" s="17">
        <v>45531.0</v>
      </c>
      <c r="C250" s="6" t="s">
        <v>1002</v>
      </c>
      <c r="D250" s="6" t="s">
        <v>1840</v>
      </c>
      <c r="E250" s="6" t="s">
        <v>1919</v>
      </c>
      <c r="F250" s="6">
        <v>4.0</v>
      </c>
      <c r="G250" s="13">
        <v>450.83</v>
      </c>
      <c r="H250" s="6">
        <v>0.24</v>
      </c>
      <c r="I250" s="6" t="s">
        <v>1965</v>
      </c>
      <c r="J250" s="13">
        <v>1370.5232</v>
      </c>
      <c r="K250" s="6" t="str">
        <f t="shared" si="1"/>
        <v>Average Earnings</v>
      </c>
    </row>
    <row r="251" ht="14.25" customHeight="1">
      <c r="A251" s="6" t="s">
        <v>2216</v>
      </c>
      <c r="B251" s="17">
        <v>45216.0</v>
      </c>
      <c r="C251" s="6" t="s">
        <v>59</v>
      </c>
      <c r="D251" s="6" t="s">
        <v>1743</v>
      </c>
      <c r="E251" s="6" t="s">
        <v>1953</v>
      </c>
      <c r="F251" s="6">
        <v>2.0</v>
      </c>
      <c r="G251" s="13">
        <v>441.03</v>
      </c>
      <c r="H251" s="6">
        <v>0.23</v>
      </c>
      <c r="I251" s="6" t="s">
        <v>1973</v>
      </c>
      <c r="J251" s="13">
        <v>679.1862</v>
      </c>
      <c r="K251" s="6" t="str">
        <f t="shared" si="1"/>
        <v>Low Earnings</v>
      </c>
    </row>
    <row r="252" ht="14.25" customHeight="1">
      <c r="A252" s="6" t="s">
        <v>2217</v>
      </c>
      <c r="B252" s="17">
        <v>45384.0</v>
      </c>
      <c r="C252" s="6" t="s">
        <v>306</v>
      </c>
      <c r="D252" s="6" t="s">
        <v>1657</v>
      </c>
      <c r="E252" s="6" t="s">
        <v>1901</v>
      </c>
      <c r="F252" s="6">
        <v>3.0</v>
      </c>
      <c r="G252" s="13">
        <v>377.69</v>
      </c>
      <c r="H252" s="6">
        <v>0.07</v>
      </c>
      <c r="I252" s="6" t="s">
        <v>1967</v>
      </c>
      <c r="J252" s="13">
        <v>1053.7551</v>
      </c>
      <c r="K252" s="6" t="str">
        <f t="shared" si="1"/>
        <v>Average Earnings</v>
      </c>
    </row>
    <row r="253" ht="14.25" customHeight="1">
      <c r="A253" s="6" t="s">
        <v>2218</v>
      </c>
      <c r="B253" s="17">
        <v>45416.0</v>
      </c>
      <c r="C253" s="6" t="s">
        <v>546</v>
      </c>
      <c r="D253" s="6" t="s">
        <v>1604</v>
      </c>
      <c r="E253" s="6" t="s">
        <v>1919</v>
      </c>
      <c r="F253" s="6">
        <v>1.0</v>
      </c>
      <c r="G253" s="13">
        <v>457.33</v>
      </c>
      <c r="H253" s="6">
        <v>0.27</v>
      </c>
      <c r="I253" s="6" t="s">
        <v>1965</v>
      </c>
      <c r="J253" s="13">
        <v>333.8509</v>
      </c>
      <c r="K253" s="6" t="str">
        <f t="shared" si="1"/>
        <v>Low Earnings</v>
      </c>
    </row>
    <row r="254" ht="14.25" customHeight="1">
      <c r="A254" s="6" t="s">
        <v>2219</v>
      </c>
      <c r="B254" s="17">
        <v>45880.0</v>
      </c>
      <c r="C254" s="6" t="s">
        <v>797</v>
      </c>
      <c r="D254" s="6" t="s">
        <v>1816</v>
      </c>
      <c r="E254" s="6" t="s">
        <v>1916</v>
      </c>
      <c r="F254" s="6">
        <v>4.0</v>
      </c>
      <c r="G254" s="13">
        <v>218.01</v>
      </c>
      <c r="H254" s="6">
        <v>0.06</v>
      </c>
      <c r="I254" s="6" t="s">
        <v>1965</v>
      </c>
      <c r="J254" s="13">
        <v>819.7176</v>
      </c>
      <c r="K254" s="6" t="str">
        <f t="shared" si="1"/>
        <v>Low Earnings</v>
      </c>
    </row>
    <row r="255" ht="14.25" customHeight="1">
      <c r="A255" s="6" t="s">
        <v>2220</v>
      </c>
      <c r="B255" s="17">
        <v>45933.0</v>
      </c>
      <c r="C255" s="6" t="s">
        <v>720</v>
      </c>
      <c r="D255" s="6" t="s">
        <v>1864</v>
      </c>
      <c r="E255" s="6" t="s">
        <v>1950</v>
      </c>
      <c r="F255" s="6">
        <v>2.0</v>
      </c>
      <c r="G255" s="13">
        <v>682.7</v>
      </c>
      <c r="H255" s="6">
        <v>0.13</v>
      </c>
      <c r="I255" s="6" t="s">
        <v>1965</v>
      </c>
      <c r="J255" s="13">
        <v>1187.898</v>
      </c>
      <c r="K255" s="6" t="str">
        <f t="shared" si="1"/>
        <v>Average Earnings</v>
      </c>
    </row>
    <row r="256" ht="14.25" customHeight="1">
      <c r="A256" s="6" t="s">
        <v>2221</v>
      </c>
      <c r="B256" s="17">
        <v>45345.0</v>
      </c>
      <c r="C256" s="6" t="s">
        <v>1032</v>
      </c>
      <c r="D256" s="6" t="s">
        <v>1636</v>
      </c>
      <c r="E256" s="6" t="s">
        <v>1950</v>
      </c>
      <c r="F256" s="6">
        <v>3.0</v>
      </c>
      <c r="G256" s="13">
        <v>726.97</v>
      </c>
      <c r="H256" s="6">
        <v>0.04</v>
      </c>
      <c r="I256" s="6" t="s">
        <v>1967</v>
      </c>
      <c r="J256" s="13">
        <v>2093.6736</v>
      </c>
      <c r="K256" s="6" t="str">
        <f t="shared" si="1"/>
        <v>Average Earnings</v>
      </c>
    </row>
    <row r="257" ht="14.25" customHeight="1">
      <c r="A257" s="6" t="s">
        <v>2222</v>
      </c>
      <c r="B257" s="17">
        <v>45681.0</v>
      </c>
      <c r="C257" s="6" t="s">
        <v>1285</v>
      </c>
      <c r="D257" s="6" t="s">
        <v>1764</v>
      </c>
      <c r="E257" s="6" t="s">
        <v>1926</v>
      </c>
      <c r="F257" s="6">
        <v>2.0</v>
      </c>
      <c r="G257" s="13">
        <v>107.97</v>
      </c>
      <c r="H257" s="6">
        <v>0.06</v>
      </c>
      <c r="I257" s="6" t="s">
        <v>1965</v>
      </c>
      <c r="J257" s="13">
        <v>202.9836</v>
      </c>
      <c r="K257" s="6" t="str">
        <f t="shared" si="1"/>
        <v>Low Earnings</v>
      </c>
    </row>
    <row r="258" ht="14.25" customHeight="1">
      <c r="A258" s="6" t="s">
        <v>2223</v>
      </c>
      <c r="B258" s="17">
        <v>45785.0</v>
      </c>
      <c r="C258" s="6" t="s">
        <v>47</v>
      </c>
      <c r="D258" s="6" t="s">
        <v>1581</v>
      </c>
      <c r="E258" s="6" t="s">
        <v>1939</v>
      </c>
      <c r="F258" s="6">
        <v>1.0</v>
      </c>
      <c r="G258" s="13">
        <v>38.88</v>
      </c>
      <c r="H258" s="6">
        <v>0.16</v>
      </c>
      <c r="I258" s="6" t="s">
        <v>1973</v>
      </c>
      <c r="J258" s="13">
        <v>32.6592</v>
      </c>
      <c r="K258" s="6" t="str">
        <f t="shared" si="1"/>
        <v>Low Earnings</v>
      </c>
    </row>
    <row r="259" ht="14.25" customHeight="1">
      <c r="A259" s="6" t="s">
        <v>2224</v>
      </c>
      <c r="B259" s="17">
        <v>45823.0</v>
      </c>
      <c r="C259" s="6" t="s">
        <v>292</v>
      </c>
      <c r="D259" s="6" t="s">
        <v>1626</v>
      </c>
      <c r="E259" s="6" t="s">
        <v>1947</v>
      </c>
      <c r="F259" s="6">
        <v>3.0</v>
      </c>
      <c r="G259" s="13">
        <v>484.39</v>
      </c>
      <c r="H259" s="6">
        <v>0.29</v>
      </c>
      <c r="I259" s="6" t="s">
        <v>1973</v>
      </c>
      <c r="J259" s="13">
        <v>1031.7507</v>
      </c>
      <c r="K259" s="6" t="str">
        <f t="shared" si="1"/>
        <v>Average Earnings</v>
      </c>
    </row>
    <row r="260" ht="14.25" customHeight="1">
      <c r="A260" s="6" t="s">
        <v>2225</v>
      </c>
      <c r="B260" s="17">
        <v>45674.0</v>
      </c>
      <c r="C260" s="6" t="s">
        <v>1482</v>
      </c>
      <c r="D260" s="6" t="s">
        <v>1705</v>
      </c>
      <c r="E260" s="6" t="s">
        <v>1901</v>
      </c>
      <c r="F260" s="6">
        <v>3.0</v>
      </c>
      <c r="G260" s="13">
        <v>334.6</v>
      </c>
      <c r="H260" s="6">
        <v>0.11</v>
      </c>
      <c r="I260" s="6" t="s">
        <v>1967</v>
      </c>
      <c r="J260" s="13">
        <v>893.3820000000001</v>
      </c>
      <c r="K260" s="6" t="str">
        <f t="shared" si="1"/>
        <v>Low Earnings</v>
      </c>
    </row>
    <row r="261" ht="14.25" customHeight="1">
      <c r="A261" s="6" t="s">
        <v>2226</v>
      </c>
      <c r="B261" s="17">
        <v>45572.0</v>
      </c>
      <c r="C261" s="6" t="s">
        <v>89</v>
      </c>
      <c r="D261" s="6" t="s">
        <v>1828</v>
      </c>
      <c r="E261" s="6" t="s">
        <v>1941</v>
      </c>
      <c r="F261" s="6">
        <v>2.0</v>
      </c>
      <c r="G261" s="13">
        <v>949.3</v>
      </c>
      <c r="H261" s="6">
        <v>0.08</v>
      </c>
      <c r="I261" s="6" t="s">
        <v>1973</v>
      </c>
      <c r="J261" s="13">
        <v>1746.712</v>
      </c>
      <c r="K261" s="6" t="str">
        <f t="shared" si="1"/>
        <v>Average Earnings</v>
      </c>
    </row>
    <row r="262" ht="14.25" customHeight="1">
      <c r="A262" s="6" t="s">
        <v>2227</v>
      </c>
      <c r="B262" s="17">
        <v>45259.0</v>
      </c>
      <c r="C262" s="6" t="s">
        <v>1359</v>
      </c>
      <c r="D262" s="6" t="s">
        <v>1801</v>
      </c>
      <c r="E262" s="6" t="s">
        <v>1916</v>
      </c>
      <c r="F262" s="6">
        <v>3.0</v>
      </c>
      <c r="G262" s="13">
        <v>664.75</v>
      </c>
      <c r="H262" s="6">
        <v>0.12</v>
      </c>
      <c r="I262" s="6" t="s">
        <v>1965</v>
      </c>
      <c r="J262" s="13">
        <v>1754.94</v>
      </c>
      <c r="K262" s="6" t="str">
        <f t="shared" si="1"/>
        <v>Average Earnings</v>
      </c>
    </row>
    <row r="263" ht="14.25" customHeight="1">
      <c r="A263" s="6" t="s">
        <v>2228</v>
      </c>
      <c r="B263" s="17">
        <v>45740.0</v>
      </c>
      <c r="C263" s="6" t="s">
        <v>911</v>
      </c>
      <c r="D263" s="6" t="s">
        <v>1798</v>
      </c>
      <c r="E263" s="6" t="s">
        <v>1947</v>
      </c>
      <c r="F263" s="6">
        <v>3.0</v>
      </c>
      <c r="G263" s="13">
        <v>190.04</v>
      </c>
      <c r="H263" s="6">
        <v>0.07</v>
      </c>
      <c r="I263" s="6" t="s">
        <v>1967</v>
      </c>
      <c r="J263" s="13">
        <v>530.2116</v>
      </c>
      <c r="K263" s="6" t="str">
        <f t="shared" si="1"/>
        <v>Low Earnings</v>
      </c>
    </row>
    <row r="264" ht="14.25" customHeight="1">
      <c r="A264" s="6" t="s">
        <v>2229</v>
      </c>
      <c r="B264" s="17">
        <v>45869.0</v>
      </c>
      <c r="C264" s="6" t="s">
        <v>896</v>
      </c>
      <c r="D264" s="6" t="s">
        <v>1590</v>
      </c>
      <c r="E264" s="6" t="s">
        <v>1941</v>
      </c>
      <c r="F264" s="6">
        <v>3.0</v>
      </c>
      <c r="G264" s="13">
        <v>754.02</v>
      </c>
      <c r="H264" s="6">
        <v>0.1</v>
      </c>
      <c r="I264" s="6" t="s">
        <v>1973</v>
      </c>
      <c r="J264" s="13">
        <v>2035.854</v>
      </c>
      <c r="K264" s="6" t="str">
        <f t="shared" si="1"/>
        <v>Average Earnings</v>
      </c>
    </row>
    <row r="265" ht="14.25" customHeight="1">
      <c r="A265" s="6" t="s">
        <v>2230</v>
      </c>
      <c r="B265" s="17">
        <v>45526.0</v>
      </c>
      <c r="C265" s="6" t="s">
        <v>1215</v>
      </c>
      <c r="D265" s="6" t="s">
        <v>1685</v>
      </c>
      <c r="E265" s="6" t="s">
        <v>1934</v>
      </c>
      <c r="F265" s="6">
        <v>4.0</v>
      </c>
      <c r="G265" s="13">
        <v>94.13</v>
      </c>
      <c r="H265" s="6">
        <v>0.04</v>
      </c>
      <c r="I265" s="6" t="s">
        <v>1973</v>
      </c>
      <c r="J265" s="13">
        <v>361.4592</v>
      </c>
      <c r="K265" s="6" t="str">
        <f t="shared" si="1"/>
        <v>Low Earnings</v>
      </c>
    </row>
    <row r="266" ht="14.25" customHeight="1">
      <c r="A266" s="6" t="s">
        <v>2231</v>
      </c>
      <c r="B266" s="17">
        <v>45489.0</v>
      </c>
      <c r="C266" s="6" t="s">
        <v>1459</v>
      </c>
      <c r="D266" s="6" t="s">
        <v>1565</v>
      </c>
      <c r="E266" s="6" t="s">
        <v>1941</v>
      </c>
      <c r="F266" s="6">
        <v>3.0</v>
      </c>
      <c r="G266" s="13">
        <v>402.3</v>
      </c>
      <c r="H266" s="6">
        <v>0.21</v>
      </c>
      <c r="I266" s="6" t="s">
        <v>1967</v>
      </c>
      <c r="J266" s="13">
        <v>953.4510000000001</v>
      </c>
      <c r="K266" s="6" t="str">
        <f t="shared" si="1"/>
        <v>Low Earnings</v>
      </c>
    </row>
    <row r="267" ht="14.25" customHeight="1">
      <c r="A267" s="6" t="s">
        <v>2232</v>
      </c>
      <c r="B267" s="17">
        <v>45908.0</v>
      </c>
      <c r="C267" s="6" t="s">
        <v>782</v>
      </c>
      <c r="D267" s="6" t="s">
        <v>1846</v>
      </c>
      <c r="E267" s="6" t="s">
        <v>1919</v>
      </c>
      <c r="F267" s="6">
        <v>1.0</v>
      </c>
      <c r="G267" s="13">
        <v>729.05</v>
      </c>
      <c r="H267" s="6">
        <v>0.06</v>
      </c>
      <c r="I267" s="6" t="s">
        <v>1973</v>
      </c>
      <c r="J267" s="13">
        <v>685.3069999999999</v>
      </c>
      <c r="K267" s="6" t="str">
        <f t="shared" si="1"/>
        <v>Low Earnings</v>
      </c>
    </row>
    <row r="268" ht="14.25" customHeight="1">
      <c r="A268" s="6" t="s">
        <v>2233</v>
      </c>
      <c r="B268" s="17">
        <v>45912.0</v>
      </c>
      <c r="C268" s="6" t="s">
        <v>469</v>
      </c>
      <c r="D268" s="6" t="s">
        <v>1858</v>
      </c>
      <c r="E268" s="6" t="s">
        <v>1937</v>
      </c>
      <c r="F268" s="6">
        <v>1.0</v>
      </c>
      <c r="G268" s="13">
        <v>822.6</v>
      </c>
      <c r="H268" s="6">
        <v>0.29</v>
      </c>
      <c r="I268" s="6" t="s">
        <v>1967</v>
      </c>
      <c r="J268" s="13">
        <v>584.0459999999999</v>
      </c>
      <c r="K268" s="6" t="str">
        <f t="shared" si="1"/>
        <v>Low Earnings</v>
      </c>
    </row>
    <row r="269" ht="14.25" customHeight="1">
      <c r="A269" s="6" t="s">
        <v>2234</v>
      </c>
      <c r="B269" s="17">
        <v>45771.0</v>
      </c>
      <c r="C269" s="6" t="s">
        <v>646</v>
      </c>
      <c r="D269" s="6" t="s">
        <v>1837</v>
      </c>
      <c r="E269" s="6" t="s">
        <v>1922</v>
      </c>
      <c r="F269" s="6">
        <v>2.0</v>
      </c>
      <c r="G269" s="13">
        <v>327.25</v>
      </c>
      <c r="H269" s="6">
        <v>0.19</v>
      </c>
      <c r="I269" s="6" t="s">
        <v>1967</v>
      </c>
      <c r="J269" s="13">
        <v>530.145</v>
      </c>
      <c r="K269" s="6" t="str">
        <f t="shared" si="1"/>
        <v>Low Earnings</v>
      </c>
    </row>
    <row r="270" ht="14.25" customHeight="1">
      <c r="A270" s="6" t="s">
        <v>2235</v>
      </c>
      <c r="B270" s="17">
        <v>45619.0</v>
      </c>
      <c r="C270" s="6" t="s">
        <v>312</v>
      </c>
      <c r="D270" s="6" t="s">
        <v>1798</v>
      </c>
      <c r="E270" s="6" t="s">
        <v>1926</v>
      </c>
      <c r="F270" s="6">
        <v>4.0</v>
      </c>
      <c r="G270" s="13">
        <v>930.38</v>
      </c>
      <c r="H270" s="6">
        <v>0.0</v>
      </c>
      <c r="I270" s="6" t="s">
        <v>1973</v>
      </c>
      <c r="J270" s="13">
        <v>3721.52</v>
      </c>
      <c r="K270" s="6" t="str">
        <f t="shared" si="1"/>
        <v>High Earnings</v>
      </c>
    </row>
    <row r="271" ht="14.25" customHeight="1">
      <c r="A271" s="6" t="s">
        <v>2236</v>
      </c>
      <c r="B271" s="17">
        <v>45777.0</v>
      </c>
      <c r="C271" s="6" t="s">
        <v>322</v>
      </c>
      <c r="D271" s="6" t="s">
        <v>1618</v>
      </c>
      <c r="E271" s="6" t="s">
        <v>1906</v>
      </c>
      <c r="F271" s="6">
        <v>2.0</v>
      </c>
      <c r="G271" s="13">
        <v>44.35</v>
      </c>
      <c r="H271" s="6">
        <v>0.2</v>
      </c>
      <c r="I271" s="6" t="s">
        <v>1973</v>
      </c>
      <c r="J271" s="13">
        <v>70.96000000000001</v>
      </c>
      <c r="K271" s="6" t="str">
        <f t="shared" si="1"/>
        <v>Low Earnings</v>
      </c>
    </row>
    <row r="272" ht="14.25" customHeight="1">
      <c r="A272" s="6" t="s">
        <v>2237</v>
      </c>
      <c r="B272" s="17">
        <v>45394.0</v>
      </c>
      <c r="C272" s="6" t="s">
        <v>498</v>
      </c>
      <c r="D272" s="6" t="s">
        <v>1663</v>
      </c>
      <c r="E272" s="6" t="s">
        <v>1913</v>
      </c>
      <c r="F272" s="6">
        <v>2.0</v>
      </c>
      <c r="G272" s="13">
        <v>437.84</v>
      </c>
      <c r="H272" s="6">
        <v>0.24</v>
      </c>
      <c r="I272" s="6" t="s">
        <v>1965</v>
      </c>
      <c r="J272" s="13">
        <v>665.5168</v>
      </c>
      <c r="K272" s="6" t="str">
        <f t="shared" si="1"/>
        <v>Low Earnings</v>
      </c>
    </row>
    <row r="273" ht="14.25" customHeight="1">
      <c r="A273" s="6" t="s">
        <v>2238</v>
      </c>
      <c r="B273" s="17">
        <v>45786.0</v>
      </c>
      <c r="C273" s="6" t="s">
        <v>266</v>
      </c>
      <c r="D273" s="6" t="s">
        <v>1626</v>
      </c>
      <c r="E273" s="6" t="s">
        <v>1944</v>
      </c>
      <c r="F273" s="6">
        <v>2.0</v>
      </c>
      <c r="G273" s="13">
        <v>126.02</v>
      </c>
      <c r="H273" s="6">
        <v>0.09</v>
      </c>
      <c r="I273" s="6" t="s">
        <v>1973</v>
      </c>
      <c r="J273" s="13">
        <v>229.3564</v>
      </c>
      <c r="K273" s="6" t="str">
        <f t="shared" si="1"/>
        <v>Low Earnings</v>
      </c>
    </row>
    <row r="274" ht="14.25" customHeight="1">
      <c r="A274" s="6" t="s">
        <v>2239</v>
      </c>
      <c r="B274" s="17">
        <v>45692.0</v>
      </c>
      <c r="C274" s="6" t="s">
        <v>1371</v>
      </c>
      <c r="D274" s="6" t="s">
        <v>1837</v>
      </c>
      <c r="E274" s="6" t="s">
        <v>1941</v>
      </c>
      <c r="F274" s="6">
        <v>1.0</v>
      </c>
      <c r="G274" s="13">
        <v>860.84</v>
      </c>
      <c r="H274" s="6">
        <v>0.07</v>
      </c>
      <c r="I274" s="6" t="s">
        <v>1967</v>
      </c>
      <c r="J274" s="13">
        <v>800.5812</v>
      </c>
      <c r="K274" s="6" t="str">
        <f t="shared" si="1"/>
        <v>Low Earnings</v>
      </c>
    </row>
    <row r="275" ht="14.25" customHeight="1">
      <c r="A275" s="6" t="s">
        <v>2240</v>
      </c>
      <c r="B275" s="17">
        <v>45677.0</v>
      </c>
      <c r="C275" s="6" t="s">
        <v>343</v>
      </c>
      <c r="D275" s="6" t="s">
        <v>1730</v>
      </c>
      <c r="E275" s="6" t="s">
        <v>1937</v>
      </c>
      <c r="F275" s="6">
        <v>1.0</v>
      </c>
      <c r="G275" s="13">
        <v>161.8</v>
      </c>
      <c r="H275" s="6">
        <v>0.24</v>
      </c>
      <c r="I275" s="6" t="s">
        <v>1967</v>
      </c>
      <c r="J275" s="13">
        <v>122.968</v>
      </c>
      <c r="K275" s="6" t="str">
        <f t="shared" si="1"/>
        <v>Low Earnings</v>
      </c>
    </row>
    <row r="276" ht="14.25" customHeight="1">
      <c r="A276" s="6" t="s">
        <v>2241</v>
      </c>
      <c r="B276" s="17">
        <v>45669.0</v>
      </c>
      <c r="C276" s="6" t="s">
        <v>1218</v>
      </c>
      <c r="D276" s="6" t="s">
        <v>1698</v>
      </c>
      <c r="E276" s="6" t="s">
        <v>1947</v>
      </c>
      <c r="F276" s="6">
        <v>4.0</v>
      </c>
      <c r="G276" s="13">
        <v>347.82</v>
      </c>
      <c r="H276" s="6">
        <v>0.02</v>
      </c>
      <c r="I276" s="6" t="s">
        <v>1973</v>
      </c>
      <c r="J276" s="13">
        <v>1363.4544</v>
      </c>
      <c r="K276" s="6" t="str">
        <f t="shared" si="1"/>
        <v>Average Earnings</v>
      </c>
    </row>
    <row r="277" ht="14.25" customHeight="1">
      <c r="A277" s="6" t="s">
        <v>2242</v>
      </c>
      <c r="B277" s="17">
        <v>45299.0</v>
      </c>
      <c r="C277" s="6" t="s">
        <v>1416</v>
      </c>
      <c r="D277" s="6" t="s">
        <v>1843</v>
      </c>
      <c r="E277" s="6" t="s">
        <v>1944</v>
      </c>
      <c r="F277" s="6">
        <v>3.0</v>
      </c>
      <c r="G277" s="13">
        <v>416.44</v>
      </c>
      <c r="H277" s="6">
        <v>0.27</v>
      </c>
      <c r="I277" s="6" t="s">
        <v>1965</v>
      </c>
      <c r="J277" s="13">
        <v>912.0035999999999</v>
      </c>
      <c r="K277" s="6" t="str">
        <f t="shared" si="1"/>
        <v>Low Earnings</v>
      </c>
    </row>
    <row r="278" ht="14.25" customHeight="1">
      <c r="A278" s="6" t="s">
        <v>2243</v>
      </c>
      <c r="B278" s="17">
        <v>45893.0</v>
      </c>
      <c r="C278" s="6" t="s">
        <v>39</v>
      </c>
      <c r="D278" s="6" t="s">
        <v>1773</v>
      </c>
      <c r="E278" s="6" t="s">
        <v>1892</v>
      </c>
      <c r="F278" s="6">
        <v>1.0</v>
      </c>
      <c r="G278" s="13">
        <v>147.96</v>
      </c>
      <c r="H278" s="6">
        <v>0.24</v>
      </c>
      <c r="I278" s="6" t="s">
        <v>1973</v>
      </c>
      <c r="J278" s="13">
        <v>112.4496</v>
      </c>
      <c r="K278" s="6" t="str">
        <f t="shared" si="1"/>
        <v>Low Earnings</v>
      </c>
    </row>
    <row r="279" ht="14.25" customHeight="1">
      <c r="A279" s="6" t="s">
        <v>2244</v>
      </c>
      <c r="B279" s="17">
        <v>45560.0</v>
      </c>
      <c r="C279" s="6" t="s">
        <v>1393</v>
      </c>
      <c r="D279" s="6" t="s">
        <v>1633</v>
      </c>
      <c r="E279" s="6" t="s">
        <v>1922</v>
      </c>
      <c r="F279" s="6">
        <v>3.0</v>
      </c>
      <c r="G279" s="13">
        <v>550.26</v>
      </c>
      <c r="H279" s="6">
        <v>0.22</v>
      </c>
      <c r="I279" s="6" t="s">
        <v>1965</v>
      </c>
      <c r="J279" s="13">
        <v>1287.6084</v>
      </c>
      <c r="K279" s="6" t="str">
        <f t="shared" si="1"/>
        <v>Average Earnings</v>
      </c>
    </row>
    <row r="280" ht="14.25" customHeight="1">
      <c r="A280" s="6" t="s">
        <v>2245</v>
      </c>
      <c r="B280" s="17">
        <v>45267.0</v>
      </c>
      <c r="C280" s="6" t="s">
        <v>1176</v>
      </c>
      <c r="D280" s="6" t="s">
        <v>1879</v>
      </c>
      <c r="E280" s="6" t="s">
        <v>1919</v>
      </c>
      <c r="F280" s="6">
        <v>4.0</v>
      </c>
      <c r="G280" s="13">
        <v>938.21</v>
      </c>
      <c r="H280" s="6">
        <v>0.04</v>
      </c>
      <c r="I280" s="6" t="s">
        <v>1967</v>
      </c>
      <c r="J280" s="13">
        <v>3602.7264</v>
      </c>
      <c r="K280" s="6" t="str">
        <f t="shared" si="1"/>
        <v>High Earnings</v>
      </c>
    </row>
    <row r="281" ht="14.25" customHeight="1">
      <c r="A281" s="6" t="s">
        <v>2246</v>
      </c>
      <c r="B281" s="17">
        <v>45467.0</v>
      </c>
      <c r="C281" s="6" t="s">
        <v>469</v>
      </c>
      <c r="D281" s="6" t="s">
        <v>1870</v>
      </c>
      <c r="E281" s="6" t="s">
        <v>1944</v>
      </c>
      <c r="F281" s="6">
        <v>3.0</v>
      </c>
      <c r="G281" s="13">
        <v>517.98</v>
      </c>
      <c r="H281" s="6">
        <v>0.01</v>
      </c>
      <c r="I281" s="6" t="s">
        <v>1967</v>
      </c>
      <c r="J281" s="13">
        <v>1538.4006</v>
      </c>
      <c r="K281" s="6" t="str">
        <f t="shared" si="1"/>
        <v>Average Earnings</v>
      </c>
    </row>
    <row r="282" ht="14.25" customHeight="1">
      <c r="A282" s="6" t="s">
        <v>2247</v>
      </c>
      <c r="B282" s="17">
        <v>45598.0</v>
      </c>
      <c r="C282" s="6" t="s">
        <v>1546</v>
      </c>
      <c r="D282" s="6" t="s">
        <v>1595</v>
      </c>
      <c r="E282" s="6" t="s">
        <v>1916</v>
      </c>
      <c r="F282" s="6">
        <v>1.0</v>
      </c>
      <c r="G282" s="13">
        <v>846.31</v>
      </c>
      <c r="H282" s="6">
        <v>0.05</v>
      </c>
      <c r="I282" s="6" t="s">
        <v>1967</v>
      </c>
      <c r="J282" s="13">
        <v>803.9944999999999</v>
      </c>
      <c r="K282" s="6" t="str">
        <f t="shared" si="1"/>
        <v>Low Earnings</v>
      </c>
    </row>
    <row r="283" ht="14.25" customHeight="1">
      <c r="A283" s="6" t="s">
        <v>2248</v>
      </c>
      <c r="B283" s="17">
        <v>45847.0</v>
      </c>
      <c r="C283" s="6" t="s">
        <v>152</v>
      </c>
      <c r="D283" s="6" t="s">
        <v>1585</v>
      </c>
      <c r="E283" s="6" t="s">
        <v>1922</v>
      </c>
      <c r="F283" s="6">
        <v>1.0</v>
      </c>
      <c r="G283" s="13">
        <v>98.27</v>
      </c>
      <c r="H283" s="6">
        <v>0.16</v>
      </c>
      <c r="I283" s="6" t="s">
        <v>1967</v>
      </c>
      <c r="J283" s="13">
        <v>82.54679999999999</v>
      </c>
      <c r="K283" s="6" t="str">
        <f t="shared" si="1"/>
        <v>Low Earnings</v>
      </c>
    </row>
    <row r="284" ht="14.25" customHeight="1">
      <c r="A284" s="6" t="s">
        <v>2249</v>
      </c>
      <c r="B284" s="17">
        <v>45480.0</v>
      </c>
      <c r="C284" s="6" t="s">
        <v>818</v>
      </c>
      <c r="D284" s="6" t="s">
        <v>1730</v>
      </c>
      <c r="E284" s="6" t="s">
        <v>1932</v>
      </c>
      <c r="F284" s="6">
        <v>2.0</v>
      </c>
      <c r="G284" s="13">
        <v>875.2</v>
      </c>
      <c r="H284" s="6">
        <v>0.19</v>
      </c>
      <c r="I284" s="6" t="s">
        <v>1965</v>
      </c>
      <c r="J284" s="13">
        <v>1417.824</v>
      </c>
      <c r="K284" s="6" t="str">
        <f t="shared" si="1"/>
        <v>Average Earnings</v>
      </c>
    </row>
    <row r="285" ht="14.25" customHeight="1">
      <c r="A285" s="6" t="s">
        <v>2250</v>
      </c>
      <c r="B285" s="17">
        <v>45345.0</v>
      </c>
      <c r="C285" s="6" t="s">
        <v>978</v>
      </c>
      <c r="D285" s="6" t="s">
        <v>1846</v>
      </c>
      <c r="E285" s="6" t="s">
        <v>1892</v>
      </c>
      <c r="F285" s="6">
        <v>1.0</v>
      </c>
      <c r="G285" s="13">
        <v>227.35</v>
      </c>
      <c r="H285" s="6">
        <v>0.06</v>
      </c>
      <c r="I285" s="6" t="s">
        <v>1973</v>
      </c>
      <c r="J285" s="13">
        <v>213.709</v>
      </c>
      <c r="K285" s="6" t="str">
        <f t="shared" si="1"/>
        <v>Low Earnings</v>
      </c>
    </row>
    <row r="286" ht="14.25" customHeight="1">
      <c r="A286" s="6" t="s">
        <v>2251</v>
      </c>
      <c r="B286" s="17">
        <v>45235.0</v>
      </c>
      <c r="C286" s="6" t="s">
        <v>696</v>
      </c>
      <c r="D286" s="6" t="s">
        <v>1810</v>
      </c>
      <c r="E286" s="6" t="s">
        <v>1897</v>
      </c>
      <c r="F286" s="6">
        <v>1.0</v>
      </c>
      <c r="G286" s="13">
        <v>842.46</v>
      </c>
      <c r="H286" s="6">
        <v>0.05</v>
      </c>
      <c r="I286" s="6" t="s">
        <v>1973</v>
      </c>
      <c r="J286" s="13">
        <v>800.337</v>
      </c>
      <c r="K286" s="6" t="str">
        <f t="shared" si="1"/>
        <v>Low Earnings</v>
      </c>
    </row>
    <row r="287" ht="14.25" customHeight="1">
      <c r="A287" s="6" t="s">
        <v>2252</v>
      </c>
      <c r="B287" s="17">
        <v>45543.0</v>
      </c>
      <c r="C287" s="6" t="s">
        <v>702</v>
      </c>
      <c r="D287" s="6" t="s">
        <v>1691</v>
      </c>
      <c r="E287" s="6" t="s">
        <v>1932</v>
      </c>
      <c r="F287" s="6">
        <v>3.0</v>
      </c>
      <c r="G287" s="13">
        <v>120.67</v>
      </c>
      <c r="H287" s="6">
        <v>0.08</v>
      </c>
      <c r="I287" s="6" t="s">
        <v>1973</v>
      </c>
      <c r="J287" s="13">
        <v>333.0492</v>
      </c>
      <c r="K287" s="6" t="str">
        <f t="shared" si="1"/>
        <v>Low Earnings</v>
      </c>
    </row>
    <row r="288" ht="14.25" customHeight="1">
      <c r="A288" s="6" t="s">
        <v>2253</v>
      </c>
      <c r="B288" s="17">
        <v>45402.0</v>
      </c>
      <c r="C288" s="6" t="s">
        <v>1543</v>
      </c>
      <c r="D288" s="6" t="s">
        <v>1640</v>
      </c>
      <c r="E288" s="6" t="s">
        <v>1906</v>
      </c>
      <c r="F288" s="6">
        <v>4.0</v>
      </c>
      <c r="G288" s="13">
        <v>176.13</v>
      </c>
      <c r="H288" s="6">
        <v>0.27</v>
      </c>
      <c r="I288" s="6" t="s">
        <v>1967</v>
      </c>
      <c r="J288" s="13">
        <v>514.2995999999999</v>
      </c>
      <c r="K288" s="6" t="str">
        <f t="shared" si="1"/>
        <v>Low Earnings</v>
      </c>
    </row>
    <row r="289" ht="14.25" customHeight="1">
      <c r="A289" s="6" t="s">
        <v>2254</v>
      </c>
      <c r="B289" s="17">
        <v>45671.0</v>
      </c>
      <c r="C289" s="6" t="s">
        <v>1408</v>
      </c>
      <c r="D289" s="6" t="s">
        <v>1776</v>
      </c>
      <c r="E289" s="6" t="s">
        <v>1932</v>
      </c>
      <c r="F289" s="6">
        <v>4.0</v>
      </c>
      <c r="G289" s="13">
        <v>592.68</v>
      </c>
      <c r="H289" s="6">
        <v>0.03</v>
      </c>
      <c r="I289" s="6" t="s">
        <v>1965</v>
      </c>
      <c r="J289" s="13">
        <v>2299.5984</v>
      </c>
      <c r="K289" s="6" t="str">
        <f t="shared" si="1"/>
        <v>Average Earnings</v>
      </c>
    </row>
    <row r="290" ht="14.25" customHeight="1">
      <c r="A290" s="6" t="s">
        <v>2255</v>
      </c>
      <c r="B290" s="17">
        <v>45367.0</v>
      </c>
      <c r="C290" s="6" t="s">
        <v>594</v>
      </c>
      <c r="D290" s="6" t="s">
        <v>1798</v>
      </c>
      <c r="E290" s="6" t="s">
        <v>1909</v>
      </c>
      <c r="F290" s="6">
        <v>4.0</v>
      </c>
      <c r="G290" s="13">
        <v>662.43</v>
      </c>
      <c r="H290" s="6">
        <v>0.24</v>
      </c>
      <c r="I290" s="6" t="s">
        <v>1967</v>
      </c>
      <c r="J290" s="13">
        <v>2013.7872</v>
      </c>
      <c r="K290" s="6" t="str">
        <f t="shared" si="1"/>
        <v>Average Earnings</v>
      </c>
    </row>
    <row r="291" ht="14.25" customHeight="1">
      <c r="A291" s="6" t="s">
        <v>2256</v>
      </c>
      <c r="B291" s="17">
        <v>45488.0</v>
      </c>
      <c r="C291" s="6" t="s">
        <v>450</v>
      </c>
      <c r="D291" s="6" t="s">
        <v>1714</v>
      </c>
      <c r="E291" s="6" t="s">
        <v>1922</v>
      </c>
      <c r="F291" s="6">
        <v>3.0</v>
      </c>
      <c r="G291" s="13">
        <v>518.35</v>
      </c>
      <c r="H291" s="6">
        <v>0.21</v>
      </c>
      <c r="I291" s="6" t="s">
        <v>1973</v>
      </c>
      <c r="J291" s="13">
        <v>1228.4895</v>
      </c>
      <c r="K291" s="6" t="str">
        <f t="shared" si="1"/>
        <v>Average Earnings</v>
      </c>
    </row>
    <row r="292" ht="14.25" customHeight="1">
      <c r="A292" s="6" t="s">
        <v>2257</v>
      </c>
      <c r="B292" s="17">
        <v>45509.0</v>
      </c>
      <c r="C292" s="6" t="s">
        <v>993</v>
      </c>
      <c r="D292" s="6" t="s">
        <v>1770</v>
      </c>
      <c r="E292" s="6" t="s">
        <v>1913</v>
      </c>
      <c r="F292" s="6">
        <v>1.0</v>
      </c>
      <c r="G292" s="13">
        <v>85.58</v>
      </c>
      <c r="H292" s="6">
        <v>0.1</v>
      </c>
      <c r="I292" s="6" t="s">
        <v>1973</v>
      </c>
      <c r="J292" s="13">
        <v>77.022</v>
      </c>
      <c r="K292" s="6" t="str">
        <f t="shared" si="1"/>
        <v>Low Earnings</v>
      </c>
    </row>
    <row r="293" ht="14.25" customHeight="1">
      <c r="A293" s="6" t="s">
        <v>2258</v>
      </c>
      <c r="B293" s="17">
        <v>45884.0</v>
      </c>
      <c r="C293" s="6" t="s">
        <v>460</v>
      </c>
      <c r="D293" s="6" t="s">
        <v>1688</v>
      </c>
      <c r="E293" s="6" t="s">
        <v>1934</v>
      </c>
      <c r="F293" s="6">
        <v>1.0</v>
      </c>
      <c r="G293" s="13">
        <v>996.48</v>
      </c>
      <c r="H293" s="6">
        <v>0.07</v>
      </c>
      <c r="I293" s="6" t="s">
        <v>1973</v>
      </c>
      <c r="J293" s="13">
        <v>926.7263999999999</v>
      </c>
      <c r="K293" s="6" t="str">
        <f t="shared" si="1"/>
        <v>Low Earnings</v>
      </c>
    </row>
    <row r="294" ht="14.25" customHeight="1">
      <c r="A294" s="6" t="s">
        <v>2259</v>
      </c>
      <c r="B294" s="17">
        <v>45323.0</v>
      </c>
      <c r="C294" s="6" t="s">
        <v>1152</v>
      </c>
      <c r="D294" s="6" t="s">
        <v>1849</v>
      </c>
      <c r="E294" s="6" t="s">
        <v>1897</v>
      </c>
      <c r="F294" s="6">
        <v>4.0</v>
      </c>
      <c r="G294" s="13">
        <v>800.0</v>
      </c>
      <c r="H294" s="6">
        <v>0.2</v>
      </c>
      <c r="I294" s="6" t="s">
        <v>1965</v>
      </c>
      <c r="J294" s="13">
        <v>2560.0</v>
      </c>
      <c r="K294" s="6" t="str">
        <f t="shared" si="1"/>
        <v>High Earnings</v>
      </c>
    </row>
    <row r="295" ht="14.25" customHeight="1">
      <c r="A295" s="6" t="s">
        <v>2260</v>
      </c>
      <c r="B295" s="17">
        <v>45889.0</v>
      </c>
      <c r="C295" s="6" t="s">
        <v>531</v>
      </c>
      <c r="D295" s="6" t="s">
        <v>1767</v>
      </c>
      <c r="E295" s="6" t="s">
        <v>1929</v>
      </c>
      <c r="F295" s="6">
        <v>3.0</v>
      </c>
      <c r="G295" s="13">
        <v>118.25</v>
      </c>
      <c r="H295" s="6">
        <v>0.26</v>
      </c>
      <c r="I295" s="6" t="s">
        <v>1967</v>
      </c>
      <c r="J295" s="13">
        <v>262.515</v>
      </c>
      <c r="K295" s="6" t="str">
        <f t="shared" si="1"/>
        <v>Low Earnings</v>
      </c>
    </row>
    <row r="296" ht="14.25" customHeight="1">
      <c r="A296" s="6" t="s">
        <v>2261</v>
      </c>
      <c r="B296" s="17">
        <v>45253.0</v>
      </c>
      <c r="C296" s="6" t="s">
        <v>1323</v>
      </c>
      <c r="D296" s="6" t="s">
        <v>1679</v>
      </c>
      <c r="E296" s="6" t="s">
        <v>1941</v>
      </c>
      <c r="F296" s="6">
        <v>1.0</v>
      </c>
      <c r="G296" s="13">
        <v>223.25</v>
      </c>
      <c r="H296" s="6">
        <v>0.29</v>
      </c>
      <c r="I296" s="6" t="s">
        <v>1965</v>
      </c>
      <c r="J296" s="13">
        <v>158.5075</v>
      </c>
      <c r="K296" s="6" t="str">
        <f t="shared" si="1"/>
        <v>Low Earnings</v>
      </c>
    </row>
    <row r="297" ht="14.25" customHeight="1">
      <c r="A297" s="6" t="s">
        <v>2262</v>
      </c>
      <c r="B297" s="17">
        <v>45530.0</v>
      </c>
      <c r="C297" s="6" t="s">
        <v>1341</v>
      </c>
      <c r="D297" s="6" t="s">
        <v>1679</v>
      </c>
      <c r="E297" s="6" t="s">
        <v>1909</v>
      </c>
      <c r="F297" s="6">
        <v>3.0</v>
      </c>
      <c r="G297" s="13">
        <v>918.76</v>
      </c>
      <c r="H297" s="6">
        <v>0.2</v>
      </c>
      <c r="I297" s="6" t="s">
        <v>1967</v>
      </c>
      <c r="J297" s="13">
        <v>2205.024</v>
      </c>
      <c r="K297" s="6" t="str">
        <f t="shared" si="1"/>
        <v>Average Earnings</v>
      </c>
    </row>
    <row r="298" ht="14.25" customHeight="1">
      <c r="A298" s="6" t="s">
        <v>2263</v>
      </c>
      <c r="B298" s="17">
        <v>45491.0</v>
      </c>
      <c r="C298" s="6" t="s">
        <v>905</v>
      </c>
      <c r="D298" s="6" t="s">
        <v>1840</v>
      </c>
      <c r="E298" s="6" t="s">
        <v>1937</v>
      </c>
      <c r="F298" s="6">
        <v>2.0</v>
      </c>
      <c r="G298" s="13">
        <v>905.26</v>
      </c>
      <c r="H298" s="6">
        <v>0.15</v>
      </c>
      <c r="I298" s="6" t="s">
        <v>1973</v>
      </c>
      <c r="J298" s="13">
        <v>1538.942</v>
      </c>
      <c r="K298" s="6" t="str">
        <f t="shared" si="1"/>
        <v>Average Earnings</v>
      </c>
    </row>
    <row r="299" ht="14.25" customHeight="1">
      <c r="A299" s="6" t="s">
        <v>2264</v>
      </c>
      <c r="B299" s="17">
        <v>45628.0</v>
      </c>
      <c r="C299" s="6" t="s">
        <v>999</v>
      </c>
      <c r="D299" s="6" t="s">
        <v>1626</v>
      </c>
      <c r="E299" s="6" t="s">
        <v>1953</v>
      </c>
      <c r="F299" s="6">
        <v>4.0</v>
      </c>
      <c r="G299" s="13">
        <v>295.4</v>
      </c>
      <c r="H299" s="6">
        <v>0.23</v>
      </c>
      <c r="I299" s="6" t="s">
        <v>1967</v>
      </c>
      <c r="J299" s="13">
        <v>909.832</v>
      </c>
      <c r="K299" s="6" t="str">
        <f t="shared" si="1"/>
        <v>Low Earnings</v>
      </c>
    </row>
    <row r="300" ht="14.25" customHeight="1">
      <c r="A300" s="6" t="s">
        <v>2265</v>
      </c>
      <c r="B300" s="17">
        <v>45861.0</v>
      </c>
      <c r="C300" s="6" t="s">
        <v>322</v>
      </c>
      <c r="D300" s="6" t="s">
        <v>1870</v>
      </c>
      <c r="E300" s="6" t="s">
        <v>1913</v>
      </c>
      <c r="F300" s="6">
        <v>1.0</v>
      </c>
      <c r="G300" s="13">
        <v>252.18</v>
      </c>
      <c r="H300" s="6">
        <v>0.23</v>
      </c>
      <c r="I300" s="6" t="s">
        <v>1967</v>
      </c>
      <c r="J300" s="13">
        <v>194.1786</v>
      </c>
      <c r="K300" s="6" t="str">
        <f t="shared" si="1"/>
        <v>Low Earnings</v>
      </c>
    </row>
    <row r="301" ht="14.25" customHeight="1">
      <c r="A301" s="6" t="s">
        <v>2266</v>
      </c>
      <c r="B301" s="17">
        <v>45878.0</v>
      </c>
      <c r="C301" s="6" t="s">
        <v>522</v>
      </c>
      <c r="D301" s="6" t="s">
        <v>1879</v>
      </c>
      <c r="E301" s="6" t="s">
        <v>1934</v>
      </c>
      <c r="F301" s="6">
        <v>4.0</v>
      </c>
      <c r="G301" s="13">
        <v>792.1</v>
      </c>
      <c r="H301" s="6">
        <v>0.19</v>
      </c>
      <c r="I301" s="6" t="s">
        <v>1973</v>
      </c>
      <c r="J301" s="13">
        <v>2566.404</v>
      </c>
      <c r="K301" s="6" t="str">
        <f t="shared" si="1"/>
        <v>High Earnings</v>
      </c>
    </row>
    <row r="302" ht="14.25" customHeight="1">
      <c r="A302" s="6" t="s">
        <v>2267</v>
      </c>
      <c r="B302" s="17">
        <v>45426.0</v>
      </c>
      <c r="C302" s="6" t="s">
        <v>286</v>
      </c>
      <c r="D302" s="6" t="s">
        <v>1852</v>
      </c>
      <c r="E302" s="6" t="s">
        <v>1939</v>
      </c>
      <c r="F302" s="6">
        <v>1.0</v>
      </c>
      <c r="G302" s="13">
        <v>883.36</v>
      </c>
      <c r="H302" s="6">
        <v>0.11</v>
      </c>
      <c r="I302" s="6" t="s">
        <v>1967</v>
      </c>
      <c r="J302" s="13">
        <v>786.1904000000001</v>
      </c>
      <c r="K302" s="6" t="str">
        <f t="shared" si="1"/>
        <v>Low Earnings</v>
      </c>
    </row>
    <row r="303" ht="14.25" customHeight="1">
      <c r="A303" s="6" t="s">
        <v>2268</v>
      </c>
      <c r="B303" s="17">
        <v>45231.0</v>
      </c>
      <c r="C303" s="6" t="s">
        <v>893</v>
      </c>
      <c r="D303" s="6" t="s">
        <v>1795</v>
      </c>
      <c r="E303" s="6" t="s">
        <v>1892</v>
      </c>
      <c r="F303" s="6">
        <v>4.0</v>
      </c>
      <c r="G303" s="13">
        <v>305.95</v>
      </c>
      <c r="H303" s="6">
        <v>0.08</v>
      </c>
      <c r="I303" s="6" t="s">
        <v>1967</v>
      </c>
      <c r="J303" s="13">
        <v>1125.896</v>
      </c>
      <c r="K303" s="6" t="str">
        <f t="shared" si="1"/>
        <v>Average Earnings</v>
      </c>
    </row>
    <row r="304" ht="14.25" customHeight="1">
      <c r="A304" s="6" t="s">
        <v>2269</v>
      </c>
      <c r="B304" s="17">
        <v>45916.0</v>
      </c>
      <c r="C304" s="6" t="s">
        <v>896</v>
      </c>
      <c r="D304" s="6" t="s">
        <v>1867</v>
      </c>
      <c r="E304" s="6" t="s">
        <v>1916</v>
      </c>
      <c r="F304" s="6">
        <v>3.0</v>
      </c>
      <c r="G304" s="13">
        <v>949.19</v>
      </c>
      <c r="H304" s="6">
        <v>0.03</v>
      </c>
      <c r="I304" s="6" t="s">
        <v>1973</v>
      </c>
      <c r="J304" s="13">
        <v>2762.1429</v>
      </c>
      <c r="K304" s="6" t="str">
        <f t="shared" si="1"/>
        <v>High Earnings</v>
      </c>
    </row>
    <row r="305" ht="14.25" customHeight="1">
      <c r="A305" s="6" t="s">
        <v>2270</v>
      </c>
      <c r="B305" s="17">
        <v>45609.0</v>
      </c>
      <c r="C305" s="6" t="s">
        <v>1265</v>
      </c>
      <c r="D305" s="6" t="s">
        <v>1761</v>
      </c>
      <c r="E305" s="6" t="s">
        <v>1919</v>
      </c>
      <c r="F305" s="6">
        <v>3.0</v>
      </c>
      <c r="G305" s="13">
        <v>742.45</v>
      </c>
      <c r="H305" s="6">
        <v>0.23</v>
      </c>
      <c r="I305" s="6" t="s">
        <v>1973</v>
      </c>
      <c r="J305" s="13">
        <v>1715.0595</v>
      </c>
      <c r="K305" s="6" t="str">
        <f t="shared" si="1"/>
        <v>Average Earnings</v>
      </c>
    </row>
    <row r="306" ht="14.25" customHeight="1">
      <c r="A306" s="6" t="s">
        <v>2271</v>
      </c>
      <c r="B306" s="17">
        <v>45392.0</v>
      </c>
      <c r="C306" s="6" t="s">
        <v>1128</v>
      </c>
      <c r="D306" s="6" t="s">
        <v>1657</v>
      </c>
      <c r="E306" s="6" t="s">
        <v>1950</v>
      </c>
      <c r="F306" s="6">
        <v>3.0</v>
      </c>
      <c r="G306" s="13">
        <v>336.1</v>
      </c>
      <c r="H306" s="6">
        <v>0.12</v>
      </c>
      <c r="I306" s="6" t="s">
        <v>1973</v>
      </c>
      <c r="J306" s="13">
        <v>887.3040000000001</v>
      </c>
      <c r="K306" s="6" t="str">
        <f t="shared" si="1"/>
        <v>Low Earnings</v>
      </c>
    </row>
    <row r="307" ht="14.25" customHeight="1">
      <c r="A307" s="6" t="s">
        <v>2272</v>
      </c>
      <c r="B307" s="17">
        <v>45876.0</v>
      </c>
      <c r="C307" s="6" t="s">
        <v>1297</v>
      </c>
      <c r="D307" s="6" t="s">
        <v>1669</v>
      </c>
      <c r="E307" s="6" t="s">
        <v>1919</v>
      </c>
      <c r="F307" s="6">
        <v>3.0</v>
      </c>
      <c r="G307" s="13">
        <v>310.36</v>
      </c>
      <c r="H307" s="6">
        <v>0.14</v>
      </c>
      <c r="I307" s="6" t="s">
        <v>1973</v>
      </c>
      <c r="J307" s="13">
        <v>800.7288</v>
      </c>
      <c r="K307" s="6" t="str">
        <f t="shared" si="1"/>
        <v>Low Earnings</v>
      </c>
    </row>
    <row r="308" ht="14.25" customHeight="1">
      <c r="A308" s="6" t="s">
        <v>2273</v>
      </c>
      <c r="B308" s="17">
        <v>45772.0</v>
      </c>
      <c r="C308" s="6" t="s">
        <v>902</v>
      </c>
      <c r="D308" s="6" t="s">
        <v>1882</v>
      </c>
      <c r="E308" s="6" t="s">
        <v>1922</v>
      </c>
      <c r="F308" s="6">
        <v>3.0</v>
      </c>
      <c r="G308" s="13">
        <v>992.81</v>
      </c>
      <c r="H308" s="6">
        <v>0.04</v>
      </c>
      <c r="I308" s="6" t="s">
        <v>1967</v>
      </c>
      <c r="J308" s="13">
        <v>2859.2928</v>
      </c>
      <c r="K308" s="6" t="str">
        <f t="shared" si="1"/>
        <v>High Earnings</v>
      </c>
    </row>
    <row r="309" ht="14.25" customHeight="1">
      <c r="A309" s="6" t="s">
        <v>2274</v>
      </c>
      <c r="B309" s="17">
        <v>45217.0</v>
      </c>
      <c r="C309" s="6" t="s">
        <v>660</v>
      </c>
      <c r="D309" s="6" t="s">
        <v>1767</v>
      </c>
      <c r="E309" s="6" t="s">
        <v>1932</v>
      </c>
      <c r="F309" s="6">
        <v>3.0</v>
      </c>
      <c r="G309" s="13">
        <v>257.11</v>
      </c>
      <c r="H309" s="6">
        <v>0.26</v>
      </c>
      <c r="I309" s="6" t="s">
        <v>1973</v>
      </c>
      <c r="J309" s="13">
        <v>570.7842</v>
      </c>
      <c r="K309" s="6" t="str">
        <f t="shared" si="1"/>
        <v>Low Earnings</v>
      </c>
    </row>
    <row r="310" ht="14.25" customHeight="1">
      <c r="A310" s="6" t="s">
        <v>2275</v>
      </c>
      <c r="B310" s="17">
        <v>45739.0</v>
      </c>
      <c r="C310" s="6" t="s">
        <v>726</v>
      </c>
      <c r="D310" s="6" t="s">
        <v>1873</v>
      </c>
      <c r="E310" s="6" t="s">
        <v>1934</v>
      </c>
      <c r="F310" s="6">
        <v>4.0</v>
      </c>
      <c r="G310" s="13">
        <v>816.29</v>
      </c>
      <c r="H310" s="6">
        <v>0.24</v>
      </c>
      <c r="I310" s="6" t="s">
        <v>1967</v>
      </c>
      <c r="J310" s="13">
        <v>2481.5216</v>
      </c>
      <c r="K310" s="6" t="str">
        <f t="shared" si="1"/>
        <v>Average Earnings</v>
      </c>
    </row>
    <row r="311" ht="14.25" customHeight="1">
      <c r="A311" s="6" t="s">
        <v>2276</v>
      </c>
      <c r="B311" s="17">
        <v>45272.0</v>
      </c>
      <c r="C311" s="6" t="s">
        <v>431</v>
      </c>
      <c r="D311" s="6" t="s">
        <v>1767</v>
      </c>
      <c r="E311" s="6" t="s">
        <v>1934</v>
      </c>
      <c r="F311" s="6">
        <v>4.0</v>
      </c>
      <c r="G311" s="13">
        <v>755.82</v>
      </c>
      <c r="H311" s="6">
        <v>0.22</v>
      </c>
      <c r="I311" s="6" t="s">
        <v>1973</v>
      </c>
      <c r="J311" s="13">
        <v>2358.1584</v>
      </c>
      <c r="K311" s="6" t="str">
        <f t="shared" si="1"/>
        <v>Average Earnings</v>
      </c>
    </row>
    <row r="312" ht="14.25" customHeight="1">
      <c r="A312" s="6" t="s">
        <v>2277</v>
      </c>
      <c r="B312" s="17">
        <v>45524.0</v>
      </c>
      <c r="C312" s="6" t="s">
        <v>30</v>
      </c>
      <c r="D312" s="6" t="s">
        <v>1560</v>
      </c>
      <c r="E312" s="6" t="s">
        <v>1939</v>
      </c>
      <c r="F312" s="6">
        <v>1.0</v>
      </c>
      <c r="G312" s="13">
        <v>449.6</v>
      </c>
      <c r="H312" s="6">
        <v>0.01</v>
      </c>
      <c r="I312" s="6" t="s">
        <v>1967</v>
      </c>
      <c r="J312" s="13">
        <v>445.104</v>
      </c>
      <c r="K312" s="6" t="str">
        <f t="shared" si="1"/>
        <v>Low Earnings</v>
      </c>
    </row>
    <row r="313" ht="14.25" customHeight="1">
      <c r="A313" s="6" t="s">
        <v>2278</v>
      </c>
      <c r="B313" s="17">
        <v>45481.0</v>
      </c>
      <c r="C313" s="6" t="s">
        <v>1116</v>
      </c>
      <c r="D313" s="6" t="s">
        <v>1618</v>
      </c>
      <c r="E313" s="6" t="s">
        <v>1892</v>
      </c>
      <c r="F313" s="6">
        <v>2.0</v>
      </c>
      <c r="G313" s="13">
        <v>779.29</v>
      </c>
      <c r="H313" s="6">
        <v>0.12</v>
      </c>
      <c r="I313" s="6" t="s">
        <v>1973</v>
      </c>
      <c r="J313" s="13">
        <v>1371.5504</v>
      </c>
      <c r="K313" s="6" t="str">
        <f t="shared" si="1"/>
        <v>Average Earnings</v>
      </c>
    </row>
    <row r="314" ht="14.25" customHeight="1">
      <c r="A314" s="6" t="s">
        <v>2279</v>
      </c>
      <c r="B314" s="17">
        <v>45267.0</v>
      </c>
      <c r="C314" s="6" t="s">
        <v>1447</v>
      </c>
      <c r="D314" s="6" t="s">
        <v>1819</v>
      </c>
      <c r="E314" s="6" t="s">
        <v>1947</v>
      </c>
      <c r="F314" s="6">
        <v>1.0</v>
      </c>
      <c r="G314" s="13">
        <v>748.75</v>
      </c>
      <c r="H314" s="6">
        <v>0.1</v>
      </c>
      <c r="I314" s="6" t="s">
        <v>1973</v>
      </c>
      <c r="J314" s="13">
        <v>673.875</v>
      </c>
      <c r="K314" s="6" t="str">
        <f t="shared" si="1"/>
        <v>Low Earnings</v>
      </c>
    </row>
    <row r="315" ht="14.25" customHeight="1">
      <c r="A315" s="6" t="s">
        <v>2280</v>
      </c>
      <c r="B315" s="17">
        <v>45347.0</v>
      </c>
      <c r="C315" s="6" t="s">
        <v>1254</v>
      </c>
      <c r="D315" s="6" t="s">
        <v>1870</v>
      </c>
      <c r="E315" s="6" t="s">
        <v>1926</v>
      </c>
      <c r="F315" s="6">
        <v>2.0</v>
      </c>
      <c r="G315" s="13">
        <v>724.97</v>
      </c>
      <c r="H315" s="6">
        <v>0.1</v>
      </c>
      <c r="I315" s="6" t="s">
        <v>1965</v>
      </c>
      <c r="J315" s="13">
        <v>1304.946</v>
      </c>
      <c r="K315" s="6" t="str">
        <f t="shared" si="1"/>
        <v>Average Earnings</v>
      </c>
    </row>
    <row r="316" ht="14.25" customHeight="1">
      <c r="A316" s="6" t="s">
        <v>2281</v>
      </c>
      <c r="B316" s="17">
        <v>45328.0</v>
      </c>
      <c r="C316" s="6" t="s">
        <v>610</v>
      </c>
      <c r="D316" s="6" t="s">
        <v>1855</v>
      </c>
      <c r="E316" s="6" t="s">
        <v>1892</v>
      </c>
      <c r="F316" s="6">
        <v>2.0</v>
      </c>
      <c r="G316" s="13">
        <v>121.67</v>
      </c>
      <c r="H316" s="6">
        <v>0.08</v>
      </c>
      <c r="I316" s="6" t="s">
        <v>1973</v>
      </c>
      <c r="J316" s="13">
        <v>223.8728</v>
      </c>
      <c r="K316" s="6" t="str">
        <f t="shared" si="1"/>
        <v>Low Earnings</v>
      </c>
    </row>
    <row r="317" ht="14.25" customHeight="1">
      <c r="A317" s="6" t="s">
        <v>2282</v>
      </c>
      <c r="B317" s="17">
        <v>45787.0</v>
      </c>
      <c r="C317" s="6" t="s">
        <v>1529</v>
      </c>
      <c r="D317" s="6" t="s">
        <v>1733</v>
      </c>
      <c r="E317" s="6" t="s">
        <v>1941</v>
      </c>
      <c r="F317" s="6">
        <v>3.0</v>
      </c>
      <c r="G317" s="13">
        <v>225.14</v>
      </c>
      <c r="H317" s="6">
        <v>0.15</v>
      </c>
      <c r="I317" s="6" t="s">
        <v>1973</v>
      </c>
      <c r="J317" s="13">
        <v>574.107</v>
      </c>
      <c r="K317" s="6" t="str">
        <f t="shared" si="1"/>
        <v>Low Earnings</v>
      </c>
    </row>
    <row r="318" ht="14.25" customHeight="1">
      <c r="A318" s="6" t="s">
        <v>2283</v>
      </c>
      <c r="B318" s="17">
        <v>45876.0</v>
      </c>
      <c r="C318" s="6" t="s">
        <v>1026</v>
      </c>
      <c r="D318" s="6" t="s">
        <v>1669</v>
      </c>
      <c r="E318" s="6" t="s">
        <v>1953</v>
      </c>
      <c r="F318" s="6">
        <v>1.0</v>
      </c>
      <c r="G318" s="13">
        <v>654.18</v>
      </c>
      <c r="H318" s="6">
        <v>0.19</v>
      </c>
      <c r="I318" s="6" t="s">
        <v>1967</v>
      </c>
      <c r="J318" s="13">
        <v>529.8858</v>
      </c>
      <c r="K318" s="6" t="str">
        <f t="shared" si="1"/>
        <v>Low Earnings</v>
      </c>
    </row>
    <row r="319" ht="14.25" customHeight="1">
      <c r="A319" s="6" t="s">
        <v>2284</v>
      </c>
      <c r="B319" s="17">
        <v>45552.0</v>
      </c>
      <c r="C319" s="6" t="s">
        <v>226</v>
      </c>
      <c r="D319" s="6" t="s">
        <v>1801</v>
      </c>
      <c r="E319" s="6" t="s">
        <v>1913</v>
      </c>
      <c r="F319" s="6">
        <v>2.0</v>
      </c>
      <c r="G319" s="13">
        <v>504.98</v>
      </c>
      <c r="H319" s="6">
        <v>0.08</v>
      </c>
      <c r="I319" s="6" t="s">
        <v>1973</v>
      </c>
      <c r="J319" s="13">
        <v>929.1632000000001</v>
      </c>
      <c r="K319" s="6" t="str">
        <f t="shared" si="1"/>
        <v>Low Earnings</v>
      </c>
    </row>
    <row r="320" ht="14.25" customHeight="1">
      <c r="A320" s="6" t="s">
        <v>2285</v>
      </c>
      <c r="B320" s="17">
        <v>45823.0</v>
      </c>
      <c r="C320" s="6" t="s">
        <v>1197</v>
      </c>
      <c r="D320" s="6" t="s">
        <v>1749</v>
      </c>
      <c r="E320" s="6" t="s">
        <v>1922</v>
      </c>
      <c r="F320" s="6">
        <v>2.0</v>
      </c>
      <c r="G320" s="13">
        <v>623.2</v>
      </c>
      <c r="H320" s="6">
        <v>0.14</v>
      </c>
      <c r="I320" s="6" t="s">
        <v>1973</v>
      </c>
      <c r="J320" s="13">
        <v>1071.904</v>
      </c>
      <c r="K320" s="6" t="str">
        <f t="shared" si="1"/>
        <v>Average Earnings</v>
      </c>
    </row>
    <row r="321" ht="14.25" customHeight="1">
      <c r="A321" s="6" t="s">
        <v>2286</v>
      </c>
      <c r="B321" s="17">
        <v>45622.0</v>
      </c>
      <c r="C321" s="6" t="s">
        <v>1038</v>
      </c>
      <c r="D321" s="6" t="s">
        <v>1581</v>
      </c>
      <c r="E321" s="6" t="s">
        <v>1944</v>
      </c>
      <c r="F321" s="6">
        <v>2.0</v>
      </c>
      <c r="G321" s="13">
        <v>530.54</v>
      </c>
      <c r="H321" s="6">
        <v>0.28</v>
      </c>
      <c r="I321" s="6" t="s">
        <v>1973</v>
      </c>
      <c r="J321" s="13">
        <v>763.9775999999999</v>
      </c>
      <c r="K321" s="6" t="str">
        <f t="shared" si="1"/>
        <v>Low Earnings</v>
      </c>
    </row>
    <row r="322" ht="14.25" customHeight="1">
      <c r="A322" s="6" t="s">
        <v>2287</v>
      </c>
      <c r="B322" s="17">
        <v>45810.0</v>
      </c>
      <c r="C322" s="6" t="s">
        <v>1158</v>
      </c>
      <c r="D322" s="6" t="s">
        <v>1560</v>
      </c>
      <c r="E322" s="6" t="s">
        <v>1944</v>
      </c>
      <c r="F322" s="6">
        <v>3.0</v>
      </c>
      <c r="G322" s="13">
        <v>279.45</v>
      </c>
      <c r="H322" s="6">
        <v>0.15</v>
      </c>
      <c r="I322" s="6" t="s">
        <v>1973</v>
      </c>
      <c r="J322" s="13">
        <v>712.5974999999999</v>
      </c>
      <c r="K322" s="6" t="str">
        <f t="shared" si="1"/>
        <v>Low Earnings</v>
      </c>
    </row>
    <row r="323" ht="14.25" customHeight="1">
      <c r="A323" s="6" t="s">
        <v>2288</v>
      </c>
      <c r="B323" s="17">
        <v>45645.0</v>
      </c>
      <c r="C323" s="6" t="s">
        <v>864</v>
      </c>
      <c r="D323" s="6" t="s">
        <v>1611</v>
      </c>
      <c r="E323" s="6" t="s">
        <v>1922</v>
      </c>
      <c r="F323" s="6">
        <v>3.0</v>
      </c>
      <c r="G323" s="13">
        <v>906.99</v>
      </c>
      <c r="H323" s="6">
        <v>0.26</v>
      </c>
      <c r="I323" s="6" t="s">
        <v>1973</v>
      </c>
      <c r="J323" s="13">
        <v>2013.5178</v>
      </c>
      <c r="K323" s="6" t="str">
        <f t="shared" si="1"/>
        <v>Average Earnings</v>
      </c>
    </row>
    <row r="324" ht="14.25" customHeight="1">
      <c r="A324" s="6" t="s">
        <v>2289</v>
      </c>
      <c r="B324" s="17">
        <v>45749.0</v>
      </c>
      <c r="C324" s="6" t="s">
        <v>266</v>
      </c>
      <c r="D324" s="6" t="s">
        <v>1828</v>
      </c>
      <c r="E324" s="6" t="s">
        <v>1947</v>
      </c>
      <c r="F324" s="6">
        <v>4.0</v>
      </c>
      <c r="G324" s="13">
        <v>408.76</v>
      </c>
      <c r="H324" s="6">
        <v>0.12</v>
      </c>
      <c r="I324" s="6" t="s">
        <v>1973</v>
      </c>
      <c r="J324" s="13">
        <v>1438.8352</v>
      </c>
      <c r="K324" s="6" t="str">
        <f t="shared" si="1"/>
        <v>Average Earnings</v>
      </c>
    </row>
    <row r="325" ht="14.25" customHeight="1">
      <c r="A325" s="6" t="s">
        <v>2290</v>
      </c>
      <c r="B325" s="17">
        <v>45537.0</v>
      </c>
      <c r="C325" s="6" t="s">
        <v>597</v>
      </c>
      <c r="D325" s="6" t="s">
        <v>1691</v>
      </c>
      <c r="E325" s="6" t="s">
        <v>1926</v>
      </c>
      <c r="F325" s="6">
        <v>2.0</v>
      </c>
      <c r="G325" s="13">
        <v>117.34</v>
      </c>
      <c r="H325" s="6">
        <v>0.09</v>
      </c>
      <c r="I325" s="6" t="s">
        <v>1967</v>
      </c>
      <c r="J325" s="13">
        <v>213.5588</v>
      </c>
      <c r="K325" s="6" t="str">
        <f t="shared" si="1"/>
        <v>Low Earnings</v>
      </c>
    </row>
    <row r="326" ht="14.25" customHeight="1">
      <c r="A326" s="6" t="s">
        <v>2291</v>
      </c>
      <c r="B326" s="17">
        <v>45723.0</v>
      </c>
      <c r="C326" s="6" t="s">
        <v>1008</v>
      </c>
      <c r="D326" s="6" t="s">
        <v>1565</v>
      </c>
      <c r="E326" s="6" t="s">
        <v>1944</v>
      </c>
      <c r="F326" s="6">
        <v>1.0</v>
      </c>
      <c r="G326" s="13">
        <v>783.25</v>
      </c>
      <c r="H326" s="6">
        <v>0.3</v>
      </c>
      <c r="I326" s="6" t="s">
        <v>1965</v>
      </c>
      <c r="J326" s="13">
        <v>548.275</v>
      </c>
      <c r="K326" s="6" t="str">
        <f t="shared" si="1"/>
        <v>Low Earnings</v>
      </c>
    </row>
    <row r="327" ht="14.25" customHeight="1">
      <c r="A327" s="6" t="s">
        <v>2292</v>
      </c>
      <c r="B327" s="17">
        <v>45376.0</v>
      </c>
      <c r="C327" s="6" t="s">
        <v>570</v>
      </c>
      <c r="D327" s="6" t="s">
        <v>1861</v>
      </c>
      <c r="E327" s="6" t="s">
        <v>1939</v>
      </c>
      <c r="F327" s="6">
        <v>3.0</v>
      </c>
      <c r="G327" s="13">
        <v>690.27</v>
      </c>
      <c r="H327" s="6">
        <v>0.07</v>
      </c>
      <c r="I327" s="6" t="s">
        <v>1967</v>
      </c>
      <c r="J327" s="13">
        <v>1925.8533</v>
      </c>
      <c r="K327" s="6" t="str">
        <f t="shared" si="1"/>
        <v>Average Earnings</v>
      </c>
    </row>
    <row r="328" ht="14.25" customHeight="1">
      <c r="A328" s="6" t="s">
        <v>2293</v>
      </c>
      <c r="B328" s="17">
        <v>45709.0</v>
      </c>
      <c r="C328" s="6" t="s">
        <v>389</v>
      </c>
      <c r="D328" s="6" t="s">
        <v>1666</v>
      </c>
      <c r="E328" s="6" t="s">
        <v>1947</v>
      </c>
      <c r="F328" s="6">
        <v>4.0</v>
      </c>
      <c r="G328" s="13">
        <v>377.18</v>
      </c>
      <c r="H328" s="6">
        <v>0.24</v>
      </c>
      <c r="I328" s="6" t="s">
        <v>1967</v>
      </c>
      <c r="J328" s="13">
        <v>1146.6272</v>
      </c>
      <c r="K328" s="6" t="str">
        <f t="shared" si="1"/>
        <v>Average Earnings</v>
      </c>
    </row>
    <row r="329" ht="14.25" customHeight="1">
      <c r="A329" s="6" t="s">
        <v>2294</v>
      </c>
      <c r="B329" s="17">
        <v>45446.0</v>
      </c>
      <c r="C329" s="6" t="s">
        <v>401</v>
      </c>
      <c r="D329" s="6" t="s">
        <v>1705</v>
      </c>
      <c r="E329" s="6" t="s">
        <v>1892</v>
      </c>
      <c r="F329" s="6">
        <v>1.0</v>
      </c>
      <c r="G329" s="13">
        <v>70.52</v>
      </c>
      <c r="H329" s="6">
        <v>0.08</v>
      </c>
      <c r="I329" s="6" t="s">
        <v>1973</v>
      </c>
      <c r="J329" s="13">
        <v>64.8784</v>
      </c>
      <c r="K329" s="6" t="str">
        <f t="shared" si="1"/>
        <v>Low Earnings</v>
      </c>
    </row>
    <row r="330" ht="14.25" customHeight="1">
      <c r="A330" s="6" t="s">
        <v>2295</v>
      </c>
      <c r="B330" s="17">
        <v>45330.0</v>
      </c>
      <c r="C330" s="6" t="s">
        <v>890</v>
      </c>
      <c r="D330" s="6" t="s">
        <v>1698</v>
      </c>
      <c r="E330" s="6" t="s">
        <v>1926</v>
      </c>
      <c r="F330" s="6">
        <v>1.0</v>
      </c>
      <c r="G330" s="13">
        <v>40.25</v>
      </c>
      <c r="H330" s="6">
        <v>0.1</v>
      </c>
      <c r="I330" s="6" t="s">
        <v>1967</v>
      </c>
      <c r="J330" s="13">
        <v>36.225</v>
      </c>
      <c r="K330" s="6" t="str">
        <f t="shared" si="1"/>
        <v>Low Earnings</v>
      </c>
    </row>
    <row r="331" ht="14.25" customHeight="1">
      <c r="A331" s="6" t="s">
        <v>2296</v>
      </c>
      <c r="B331" s="17">
        <v>45388.0</v>
      </c>
      <c r="C331" s="6" t="s">
        <v>761</v>
      </c>
      <c r="D331" s="6" t="s">
        <v>1855</v>
      </c>
      <c r="E331" s="6" t="s">
        <v>1932</v>
      </c>
      <c r="F331" s="6">
        <v>3.0</v>
      </c>
      <c r="G331" s="13">
        <v>539.44</v>
      </c>
      <c r="H331" s="6">
        <v>0.05</v>
      </c>
      <c r="I331" s="6" t="s">
        <v>1973</v>
      </c>
      <c r="J331" s="13">
        <v>1537.404</v>
      </c>
      <c r="K331" s="6" t="str">
        <f t="shared" si="1"/>
        <v>Average Earnings</v>
      </c>
    </row>
    <row r="332" ht="14.25" customHeight="1">
      <c r="A332" s="6" t="s">
        <v>2297</v>
      </c>
      <c r="B332" s="17">
        <v>45313.0</v>
      </c>
      <c r="C332" s="6" t="s">
        <v>806</v>
      </c>
      <c r="D332" s="6" t="s">
        <v>1767</v>
      </c>
      <c r="E332" s="6" t="s">
        <v>1909</v>
      </c>
      <c r="F332" s="6">
        <v>3.0</v>
      </c>
      <c r="G332" s="13">
        <v>543.49</v>
      </c>
      <c r="H332" s="6">
        <v>0.05</v>
      </c>
      <c r="I332" s="6" t="s">
        <v>1967</v>
      </c>
      <c r="J332" s="13">
        <v>1548.9465</v>
      </c>
      <c r="K332" s="6" t="str">
        <f t="shared" si="1"/>
        <v>Average Earnings</v>
      </c>
    </row>
    <row r="333" ht="14.25" customHeight="1">
      <c r="A333" s="6" t="s">
        <v>2298</v>
      </c>
      <c r="B333" s="17">
        <v>45221.0</v>
      </c>
      <c r="C333" s="6" t="s">
        <v>1035</v>
      </c>
      <c r="D333" s="6" t="s">
        <v>1590</v>
      </c>
      <c r="E333" s="6" t="s">
        <v>1916</v>
      </c>
      <c r="F333" s="6">
        <v>4.0</v>
      </c>
      <c r="G333" s="13">
        <v>547.21</v>
      </c>
      <c r="H333" s="6">
        <v>0.1</v>
      </c>
      <c r="I333" s="6" t="s">
        <v>1973</v>
      </c>
      <c r="J333" s="13">
        <v>1969.956</v>
      </c>
      <c r="K333" s="6" t="str">
        <f t="shared" si="1"/>
        <v>Average Earnings</v>
      </c>
    </row>
    <row r="334" ht="14.25" customHeight="1">
      <c r="A334" s="6" t="s">
        <v>2299</v>
      </c>
      <c r="B334" s="17">
        <v>45619.0</v>
      </c>
      <c r="C334" s="6" t="s">
        <v>788</v>
      </c>
      <c r="D334" s="6" t="s">
        <v>1782</v>
      </c>
      <c r="E334" s="6" t="s">
        <v>1897</v>
      </c>
      <c r="F334" s="6">
        <v>2.0</v>
      </c>
      <c r="G334" s="13">
        <v>892.46</v>
      </c>
      <c r="H334" s="6">
        <v>0.07</v>
      </c>
      <c r="I334" s="6" t="s">
        <v>1967</v>
      </c>
      <c r="J334" s="13">
        <v>1659.9756</v>
      </c>
      <c r="K334" s="6" t="str">
        <f t="shared" si="1"/>
        <v>Average Earnings</v>
      </c>
    </row>
    <row r="335" ht="14.25" customHeight="1">
      <c r="A335" s="6" t="s">
        <v>2300</v>
      </c>
      <c r="B335" s="17">
        <v>45286.0</v>
      </c>
      <c r="C335" s="6" t="s">
        <v>1224</v>
      </c>
      <c r="D335" s="6" t="s">
        <v>1660</v>
      </c>
      <c r="E335" s="6" t="s">
        <v>1922</v>
      </c>
      <c r="F335" s="6">
        <v>2.0</v>
      </c>
      <c r="G335" s="13">
        <v>853.41</v>
      </c>
      <c r="H335" s="6">
        <v>0.25</v>
      </c>
      <c r="I335" s="6" t="s">
        <v>1965</v>
      </c>
      <c r="J335" s="13">
        <v>1280.115</v>
      </c>
      <c r="K335" s="6" t="str">
        <f t="shared" si="1"/>
        <v>Average Earnings</v>
      </c>
    </row>
    <row r="336" ht="14.25" customHeight="1">
      <c r="A336" s="6" t="s">
        <v>2301</v>
      </c>
      <c r="B336" s="17">
        <v>45451.0</v>
      </c>
      <c r="C336" s="6" t="s">
        <v>395</v>
      </c>
      <c r="D336" s="6" t="s">
        <v>1834</v>
      </c>
      <c r="E336" s="6" t="s">
        <v>1919</v>
      </c>
      <c r="F336" s="6">
        <v>1.0</v>
      </c>
      <c r="G336" s="13">
        <v>162.14</v>
      </c>
      <c r="H336" s="6">
        <v>0.07</v>
      </c>
      <c r="I336" s="6" t="s">
        <v>1967</v>
      </c>
      <c r="J336" s="13">
        <v>150.7902</v>
      </c>
      <c r="K336" s="6" t="str">
        <f t="shared" si="1"/>
        <v>Low Earnings</v>
      </c>
    </row>
    <row r="337" ht="14.25" customHeight="1">
      <c r="A337" s="6" t="s">
        <v>2302</v>
      </c>
      <c r="B337" s="17">
        <v>45875.0</v>
      </c>
      <c r="C337" s="6" t="s">
        <v>1387</v>
      </c>
      <c r="D337" s="6" t="s">
        <v>1685</v>
      </c>
      <c r="E337" s="6" t="s">
        <v>1944</v>
      </c>
      <c r="F337" s="6">
        <v>2.0</v>
      </c>
      <c r="G337" s="13">
        <v>316.9</v>
      </c>
      <c r="H337" s="6">
        <v>0.3</v>
      </c>
      <c r="I337" s="6" t="s">
        <v>1967</v>
      </c>
      <c r="J337" s="13">
        <v>443.66</v>
      </c>
      <c r="K337" s="6" t="str">
        <f t="shared" si="1"/>
        <v>Low Earnings</v>
      </c>
    </row>
    <row r="338" ht="14.25" customHeight="1">
      <c r="A338" s="6" t="s">
        <v>2303</v>
      </c>
      <c r="B338" s="17">
        <v>45495.0</v>
      </c>
      <c r="C338" s="6" t="s">
        <v>1092</v>
      </c>
      <c r="D338" s="6" t="s">
        <v>1630</v>
      </c>
      <c r="E338" s="6" t="s">
        <v>1906</v>
      </c>
      <c r="F338" s="6">
        <v>1.0</v>
      </c>
      <c r="G338" s="13">
        <v>942.38</v>
      </c>
      <c r="H338" s="6">
        <v>0.17</v>
      </c>
      <c r="I338" s="6" t="s">
        <v>1965</v>
      </c>
      <c r="J338" s="13">
        <v>782.1754</v>
      </c>
      <c r="K338" s="6" t="str">
        <f t="shared" si="1"/>
        <v>Low Earnings</v>
      </c>
    </row>
    <row r="339" ht="14.25" customHeight="1">
      <c r="A339" s="6" t="s">
        <v>2304</v>
      </c>
      <c r="B339" s="17">
        <v>45478.0</v>
      </c>
      <c r="C339" s="6" t="s">
        <v>507</v>
      </c>
      <c r="D339" s="6" t="s">
        <v>1876</v>
      </c>
      <c r="E339" s="6" t="s">
        <v>1944</v>
      </c>
      <c r="F339" s="6">
        <v>1.0</v>
      </c>
      <c r="G339" s="13">
        <v>893.14</v>
      </c>
      <c r="H339" s="6">
        <v>0.09</v>
      </c>
      <c r="I339" s="6" t="s">
        <v>1965</v>
      </c>
      <c r="J339" s="13">
        <v>812.7574</v>
      </c>
      <c r="K339" s="6" t="str">
        <f t="shared" si="1"/>
        <v>Low Earnings</v>
      </c>
    </row>
    <row r="340" ht="14.25" customHeight="1">
      <c r="A340" s="6" t="s">
        <v>2305</v>
      </c>
      <c r="B340" s="17">
        <v>45528.0</v>
      </c>
      <c r="C340" s="6" t="s">
        <v>374</v>
      </c>
      <c r="D340" s="6" t="s">
        <v>1685</v>
      </c>
      <c r="E340" s="6" t="s">
        <v>1922</v>
      </c>
      <c r="F340" s="6">
        <v>4.0</v>
      </c>
      <c r="G340" s="13">
        <v>349.07</v>
      </c>
      <c r="H340" s="6">
        <v>0.28</v>
      </c>
      <c r="I340" s="6" t="s">
        <v>1965</v>
      </c>
      <c r="J340" s="13">
        <v>1005.3216</v>
      </c>
      <c r="K340" s="6" t="str">
        <f t="shared" si="1"/>
        <v>Average Earnings</v>
      </c>
    </row>
    <row r="341" ht="14.25" customHeight="1">
      <c r="A341" s="6" t="s">
        <v>2306</v>
      </c>
      <c r="B341" s="17">
        <v>45418.0</v>
      </c>
      <c r="C341" s="6" t="s">
        <v>914</v>
      </c>
      <c r="D341" s="6" t="s">
        <v>1831</v>
      </c>
      <c r="E341" s="6" t="s">
        <v>1937</v>
      </c>
      <c r="F341" s="6">
        <v>1.0</v>
      </c>
      <c r="G341" s="13">
        <v>747.9</v>
      </c>
      <c r="H341" s="6">
        <v>0.21</v>
      </c>
      <c r="I341" s="6" t="s">
        <v>1973</v>
      </c>
      <c r="J341" s="13">
        <v>590.841</v>
      </c>
      <c r="K341" s="6" t="str">
        <f t="shared" si="1"/>
        <v>Low Earnings</v>
      </c>
    </row>
    <row r="342" ht="14.25" customHeight="1">
      <c r="A342" s="6" t="s">
        <v>2307</v>
      </c>
      <c r="B342" s="17">
        <v>45478.0</v>
      </c>
      <c r="C342" s="6" t="s">
        <v>135</v>
      </c>
      <c r="D342" s="6" t="s">
        <v>1831</v>
      </c>
      <c r="E342" s="6" t="s">
        <v>1916</v>
      </c>
      <c r="F342" s="6">
        <v>3.0</v>
      </c>
      <c r="G342" s="13">
        <v>438.92</v>
      </c>
      <c r="H342" s="6">
        <v>0.21</v>
      </c>
      <c r="I342" s="6" t="s">
        <v>1965</v>
      </c>
      <c r="J342" s="13">
        <v>1040.2404</v>
      </c>
      <c r="K342" s="6" t="str">
        <f t="shared" si="1"/>
        <v>Average Earnings</v>
      </c>
    </row>
    <row r="343" ht="14.25" customHeight="1">
      <c r="A343" s="6" t="s">
        <v>2308</v>
      </c>
      <c r="B343" s="17">
        <v>45232.0</v>
      </c>
      <c r="C343" s="6" t="s">
        <v>434</v>
      </c>
      <c r="D343" s="6" t="s">
        <v>1819</v>
      </c>
      <c r="E343" s="6" t="s">
        <v>1909</v>
      </c>
      <c r="F343" s="6">
        <v>4.0</v>
      </c>
      <c r="G343" s="13">
        <v>665.38</v>
      </c>
      <c r="H343" s="6">
        <v>0.18</v>
      </c>
      <c r="I343" s="6" t="s">
        <v>1965</v>
      </c>
      <c r="J343" s="13">
        <v>2182.4464</v>
      </c>
      <c r="K343" s="6" t="str">
        <f t="shared" si="1"/>
        <v>Average Earnings</v>
      </c>
    </row>
    <row r="344" ht="14.25" customHeight="1">
      <c r="A344" s="6" t="s">
        <v>2309</v>
      </c>
      <c r="B344" s="17">
        <v>45616.0</v>
      </c>
      <c r="C344" s="6" t="s">
        <v>30</v>
      </c>
      <c r="D344" s="6" t="s">
        <v>1767</v>
      </c>
      <c r="E344" s="6" t="s">
        <v>1950</v>
      </c>
      <c r="F344" s="6">
        <v>1.0</v>
      </c>
      <c r="G344" s="13">
        <v>146.49</v>
      </c>
      <c r="H344" s="6">
        <v>0.28</v>
      </c>
      <c r="I344" s="6" t="s">
        <v>1965</v>
      </c>
      <c r="J344" s="13">
        <v>105.4728</v>
      </c>
      <c r="K344" s="6" t="str">
        <f t="shared" si="1"/>
        <v>Low Earnings</v>
      </c>
    </row>
    <row r="345" ht="14.25" customHeight="1">
      <c r="A345" s="6" t="s">
        <v>2310</v>
      </c>
      <c r="B345" s="17">
        <v>45774.0</v>
      </c>
      <c r="C345" s="6" t="s">
        <v>483</v>
      </c>
      <c r="D345" s="6" t="s">
        <v>1698</v>
      </c>
      <c r="E345" s="6" t="s">
        <v>1941</v>
      </c>
      <c r="F345" s="6">
        <v>2.0</v>
      </c>
      <c r="G345" s="13">
        <v>235.39</v>
      </c>
      <c r="H345" s="6">
        <v>0.27</v>
      </c>
      <c r="I345" s="6" t="s">
        <v>1973</v>
      </c>
      <c r="J345" s="13">
        <v>343.6694</v>
      </c>
      <c r="K345" s="6" t="str">
        <f t="shared" si="1"/>
        <v>Low Earnings</v>
      </c>
    </row>
    <row r="346" ht="14.25" customHeight="1">
      <c r="A346" s="6" t="s">
        <v>2311</v>
      </c>
      <c r="B346" s="17">
        <v>45651.0</v>
      </c>
      <c r="C346" s="6" t="s">
        <v>126</v>
      </c>
      <c r="D346" s="6" t="s">
        <v>1770</v>
      </c>
      <c r="E346" s="6" t="s">
        <v>1913</v>
      </c>
      <c r="F346" s="6">
        <v>3.0</v>
      </c>
      <c r="G346" s="13">
        <v>38.07</v>
      </c>
      <c r="H346" s="6">
        <v>0.09</v>
      </c>
      <c r="I346" s="6" t="s">
        <v>1967</v>
      </c>
      <c r="J346" s="13">
        <v>103.9311</v>
      </c>
      <c r="K346" s="6" t="str">
        <f t="shared" si="1"/>
        <v>Low Earnings</v>
      </c>
    </row>
    <row r="347" ht="14.25" customHeight="1">
      <c r="A347" s="6" t="s">
        <v>2312</v>
      </c>
      <c r="B347" s="17">
        <v>45902.0</v>
      </c>
      <c r="C347" s="6" t="s">
        <v>1270</v>
      </c>
      <c r="D347" s="6" t="s">
        <v>1685</v>
      </c>
      <c r="E347" s="6" t="s">
        <v>1909</v>
      </c>
      <c r="F347" s="6">
        <v>2.0</v>
      </c>
      <c r="G347" s="13">
        <v>511.7</v>
      </c>
      <c r="H347" s="6">
        <v>0.12</v>
      </c>
      <c r="I347" s="6" t="s">
        <v>1973</v>
      </c>
      <c r="J347" s="13">
        <v>900.592</v>
      </c>
      <c r="K347" s="6" t="str">
        <f t="shared" si="1"/>
        <v>Low Earnings</v>
      </c>
    </row>
    <row r="348" ht="14.25" customHeight="1">
      <c r="A348" s="6" t="s">
        <v>2313</v>
      </c>
      <c r="B348" s="17">
        <v>45401.0</v>
      </c>
      <c r="C348" s="6" t="s">
        <v>340</v>
      </c>
      <c r="D348" s="6" t="s">
        <v>1813</v>
      </c>
      <c r="E348" s="6" t="s">
        <v>1922</v>
      </c>
      <c r="F348" s="6">
        <v>4.0</v>
      </c>
      <c r="G348" s="13">
        <v>488.72</v>
      </c>
      <c r="H348" s="6">
        <v>0.23</v>
      </c>
      <c r="I348" s="6" t="s">
        <v>1967</v>
      </c>
      <c r="J348" s="13">
        <v>1505.2576</v>
      </c>
      <c r="K348" s="6" t="str">
        <f t="shared" si="1"/>
        <v>Average Earnings</v>
      </c>
    </row>
    <row r="349" ht="14.25" customHeight="1">
      <c r="A349" s="6" t="s">
        <v>2314</v>
      </c>
      <c r="B349" s="17">
        <v>45444.0</v>
      </c>
      <c r="C349" s="6" t="s">
        <v>1540</v>
      </c>
      <c r="D349" s="6" t="s">
        <v>1740</v>
      </c>
      <c r="E349" s="6" t="s">
        <v>1932</v>
      </c>
      <c r="F349" s="6">
        <v>3.0</v>
      </c>
      <c r="G349" s="13">
        <v>298.35</v>
      </c>
      <c r="H349" s="6">
        <v>0.05</v>
      </c>
      <c r="I349" s="6" t="s">
        <v>1973</v>
      </c>
      <c r="J349" s="13">
        <v>850.2975</v>
      </c>
      <c r="K349" s="6" t="str">
        <f t="shared" si="1"/>
        <v>Low Earnings</v>
      </c>
    </row>
    <row r="350" ht="14.25" customHeight="1">
      <c r="A350" s="6" t="s">
        <v>2315</v>
      </c>
      <c r="B350" s="17">
        <v>45717.0</v>
      </c>
      <c r="C350" s="6" t="s">
        <v>1236</v>
      </c>
      <c r="D350" s="6" t="s">
        <v>1737</v>
      </c>
      <c r="E350" s="6" t="s">
        <v>1934</v>
      </c>
      <c r="F350" s="6">
        <v>2.0</v>
      </c>
      <c r="G350" s="13">
        <v>520.45</v>
      </c>
      <c r="H350" s="6">
        <v>0.11</v>
      </c>
      <c r="I350" s="6" t="s">
        <v>1973</v>
      </c>
      <c r="J350" s="13">
        <v>926.4010000000001</v>
      </c>
      <c r="K350" s="6" t="str">
        <f t="shared" si="1"/>
        <v>Low Earnings</v>
      </c>
    </row>
    <row r="351" ht="14.25" customHeight="1">
      <c r="A351" s="6" t="s">
        <v>2316</v>
      </c>
      <c r="B351" s="17">
        <v>45376.0</v>
      </c>
      <c r="C351" s="6" t="s">
        <v>1356</v>
      </c>
      <c r="D351" s="6" t="s">
        <v>1730</v>
      </c>
      <c r="E351" s="6" t="s">
        <v>1913</v>
      </c>
      <c r="F351" s="6">
        <v>1.0</v>
      </c>
      <c r="G351" s="13">
        <v>340.9</v>
      </c>
      <c r="H351" s="6">
        <v>0.29</v>
      </c>
      <c r="I351" s="6" t="s">
        <v>1965</v>
      </c>
      <c r="J351" s="13">
        <v>242.039</v>
      </c>
      <c r="K351" s="6" t="str">
        <f t="shared" si="1"/>
        <v>Low Earnings</v>
      </c>
    </row>
    <row r="352" ht="14.25" customHeight="1">
      <c r="A352" s="6" t="s">
        <v>2317</v>
      </c>
      <c r="B352" s="17">
        <v>45576.0</v>
      </c>
      <c r="C352" s="6" t="s">
        <v>1101</v>
      </c>
      <c r="D352" s="6" t="s">
        <v>1675</v>
      </c>
      <c r="E352" s="6" t="s">
        <v>1922</v>
      </c>
      <c r="F352" s="6">
        <v>3.0</v>
      </c>
      <c r="G352" s="13">
        <v>653.59</v>
      </c>
      <c r="H352" s="6">
        <v>0.17</v>
      </c>
      <c r="I352" s="6" t="s">
        <v>1973</v>
      </c>
      <c r="J352" s="13">
        <v>1627.4391</v>
      </c>
      <c r="K352" s="6" t="str">
        <f t="shared" si="1"/>
        <v>Average Earnings</v>
      </c>
    </row>
    <row r="353" ht="14.25" customHeight="1">
      <c r="A353" s="6" t="s">
        <v>2318</v>
      </c>
      <c r="B353" s="17">
        <v>45906.0</v>
      </c>
      <c r="C353" s="6" t="s">
        <v>100</v>
      </c>
      <c r="D353" s="6" t="s">
        <v>1660</v>
      </c>
      <c r="E353" s="6" t="s">
        <v>1950</v>
      </c>
      <c r="F353" s="6">
        <v>1.0</v>
      </c>
      <c r="G353" s="13">
        <v>179.77</v>
      </c>
      <c r="H353" s="6">
        <v>0.23</v>
      </c>
      <c r="I353" s="6" t="s">
        <v>1973</v>
      </c>
      <c r="J353" s="13">
        <v>138.4229</v>
      </c>
      <c r="K353" s="6" t="str">
        <f t="shared" si="1"/>
        <v>Low Earnings</v>
      </c>
    </row>
    <row r="354" ht="14.25" customHeight="1">
      <c r="A354" s="6" t="s">
        <v>2319</v>
      </c>
      <c r="B354" s="17">
        <v>45523.0</v>
      </c>
      <c r="C354" s="6" t="s">
        <v>51</v>
      </c>
      <c r="D354" s="6" t="s">
        <v>1560</v>
      </c>
      <c r="E354" s="6" t="s">
        <v>1926</v>
      </c>
      <c r="F354" s="6">
        <v>2.0</v>
      </c>
      <c r="G354" s="13">
        <v>943.8</v>
      </c>
      <c r="H354" s="6">
        <v>0.06</v>
      </c>
      <c r="I354" s="6" t="s">
        <v>1965</v>
      </c>
      <c r="J354" s="13">
        <v>1774.344</v>
      </c>
      <c r="K354" s="6" t="str">
        <f t="shared" si="1"/>
        <v>Average Earnings</v>
      </c>
    </row>
    <row r="355" ht="14.25" customHeight="1">
      <c r="A355" s="6" t="s">
        <v>2320</v>
      </c>
      <c r="B355" s="17">
        <v>45234.0</v>
      </c>
      <c r="C355" s="6" t="s">
        <v>1288</v>
      </c>
      <c r="D355" s="6" t="s">
        <v>1801</v>
      </c>
      <c r="E355" s="6" t="s">
        <v>1941</v>
      </c>
      <c r="F355" s="6">
        <v>2.0</v>
      </c>
      <c r="G355" s="13">
        <v>985.0</v>
      </c>
      <c r="H355" s="6">
        <v>0.25</v>
      </c>
      <c r="I355" s="6" t="s">
        <v>1965</v>
      </c>
      <c r="J355" s="13">
        <v>1477.5</v>
      </c>
      <c r="K355" s="6" t="str">
        <f t="shared" si="1"/>
        <v>Average Earnings</v>
      </c>
    </row>
    <row r="356" ht="14.25" customHeight="1">
      <c r="A356" s="6" t="s">
        <v>2321</v>
      </c>
      <c r="B356" s="17">
        <v>45405.0</v>
      </c>
      <c r="C356" s="6" t="s">
        <v>1508</v>
      </c>
      <c r="D356" s="6" t="s">
        <v>1852</v>
      </c>
      <c r="E356" s="6" t="s">
        <v>1929</v>
      </c>
      <c r="F356" s="6">
        <v>4.0</v>
      </c>
      <c r="G356" s="13">
        <v>216.81</v>
      </c>
      <c r="H356" s="6">
        <v>0.29</v>
      </c>
      <c r="I356" s="6" t="s">
        <v>1965</v>
      </c>
      <c r="J356" s="13">
        <v>615.7404</v>
      </c>
      <c r="K356" s="6" t="str">
        <f t="shared" si="1"/>
        <v>Low Earnings</v>
      </c>
    </row>
    <row r="357" ht="14.25" customHeight="1">
      <c r="A357" s="6" t="s">
        <v>2322</v>
      </c>
      <c r="B357" s="17">
        <v>45223.0</v>
      </c>
      <c r="C357" s="6" t="s">
        <v>416</v>
      </c>
      <c r="D357" s="6" t="s">
        <v>1779</v>
      </c>
      <c r="E357" s="6" t="s">
        <v>1901</v>
      </c>
      <c r="F357" s="6">
        <v>4.0</v>
      </c>
      <c r="G357" s="13">
        <v>950.21</v>
      </c>
      <c r="H357" s="6">
        <v>0.27</v>
      </c>
      <c r="I357" s="6" t="s">
        <v>1973</v>
      </c>
      <c r="J357" s="13">
        <v>2774.6132</v>
      </c>
      <c r="K357" s="6" t="str">
        <f t="shared" si="1"/>
        <v>High Earnings</v>
      </c>
    </row>
    <row r="358" ht="14.25" customHeight="1">
      <c r="A358" s="6" t="s">
        <v>2323</v>
      </c>
      <c r="B358" s="17">
        <v>45838.0</v>
      </c>
      <c r="C358" s="6" t="s">
        <v>833</v>
      </c>
      <c r="D358" s="6" t="s">
        <v>1730</v>
      </c>
      <c r="E358" s="6" t="s">
        <v>1919</v>
      </c>
      <c r="F358" s="6">
        <v>2.0</v>
      </c>
      <c r="G358" s="13">
        <v>271.4</v>
      </c>
      <c r="H358" s="6">
        <v>0.17</v>
      </c>
      <c r="I358" s="6" t="s">
        <v>1967</v>
      </c>
      <c r="J358" s="13">
        <v>450.5239999999999</v>
      </c>
      <c r="K358" s="6" t="str">
        <f t="shared" si="1"/>
        <v>Low Earnings</v>
      </c>
    </row>
    <row r="359" ht="14.25" customHeight="1">
      <c r="A359" s="6" t="s">
        <v>2324</v>
      </c>
      <c r="B359" s="17">
        <v>45883.0</v>
      </c>
      <c r="C359" s="6" t="s">
        <v>570</v>
      </c>
      <c r="D359" s="6" t="s">
        <v>1701</v>
      </c>
      <c r="E359" s="6" t="s">
        <v>1922</v>
      </c>
      <c r="F359" s="6">
        <v>4.0</v>
      </c>
      <c r="G359" s="13">
        <v>708.19</v>
      </c>
      <c r="H359" s="6">
        <v>0.1</v>
      </c>
      <c r="I359" s="6" t="s">
        <v>1967</v>
      </c>
      <c r="J359" s="13">
        <v>2549.484</v>
      </c>
      <c r="K359" s="6" t="str">
        <f t="shared" si="1"/>
        <v>High Earnings</v>
      </c>
    </row>
    <row r="360" ht="14.25" customHeight="1">
      <c r="A360" s="6" t="s">
        <v>2325</v>
      </c>
      <c r="B360" s="17">
        <v>45662.0</v>
      </c>
      <c r="C360" s="6" t="s">
        <v>558</v>
      </c>
      <c r="D360" s="6" t="s">
        <v>1730</v>
      </c>
      <c r="E360" s="6" t="s">
        <v>1934</v>
      </c>
      <c r="F360" s="6">
        <v>4.0</v>
      </c>
      <c r="G360" s="13">
        <v>950.04</v>
      </c>
      <c r="H360" s="6">
        <v>0.13</v>
      </c>
      <c r="I360" s="6" t="s">
        <v>1967</v>
      </c>
      <c r="J360" s="13">
        <v>3306.1392</v>
      </c>
      <c r="K360" s="6" t="str">
        <f t="shared" si="1"/>
        <v>High Earnings</v>
      </c>
    </row>
    <row r="361" ht="14.25" customHeight="1">
      <c r="A361" s="6" t="s">
        <v>2326</v>
      </c>
      <c r="B361" s="17">
        <v>45788.0</v>
      </c>
      <c r="C361" s="6" t="s">
        <v>1390</v>
      </c>
      <c r="D361" s="6" t="s">
        <v>1749</v>
      </c>
      <c r="E361" s="6" t="s">
        <v>1906</v>
      </c>
      <c r="F361" s="6">
        <v>3.0</v>
      </c>
      <c r="G361" s="13">
        <v>477.05</v>
      </c>
      <c r="H361" s="6">
        <v>0.05</v>
      </c>
      <c r="I361" s="6" t="s">
        <v>1967</v>
      </c>
      <c r="J361" s="13">
        <v>1359.5925</v>
      </c>
      <c r="K361" s="6" t="str">
        <f t="shared" si="1"/>
        <v>Average Earnings</v>
      </c>
    </row>
    <row r="362" ht="14.25" customHeight="1">
      <c r="A362" s="6" t="s">
        <v>2327</v>
      </c>
      <c r="B362" s="17">
        <v>45383.0</v>
      </c>
      <c r="C362" s="6" t="s">
        <v>984</v>
      </c>
      <c r="D362" s="6" t="s">
        <v>1810</v>
      </c>
      <c r="E362" s="6" t="s">
        <v>1926</v>
      </c>
      <c r="F362" s="6">
        <v>3.0</v>
      </c>
      <c r="G362" s="13">
        <v>627.29</v>
      </c>
      <c r="H362" s="6">
        <v>0.27</v>
      </c>
      <c r="I362" s="6" t="s">
        <v>1973</v>
      </c>
      <c r="J362" s="13">
        <v>1373.7651</v>
      </c>
      <c r="K362" s="6" t="str">
        <f t="shared" si="1"/>
        <v>Average Earnings</v>
      </c>
    </row>
    <row r="363" ht="14.25" customHeight="1">
      <c r="A363" s="6" t="s">
        <v>2328</v>
      </c>
      <c r="B363" s="17">
        <v>45335.0</v>
      </c>
      <c r="C363" s="6" t="s">
        <v>975</v>
      </c>
      <c r="D363" s="6" t="s">
        <v>1870</v>
      </c>
      <c r="E363" s="6" t="s">
        <v>1932</v>
      </c>
      <c r="F363" s="6">
        <v>3.0</v>
      </c>
      <c r="G363" s="13">
        <v>206.84</v>
      </c>
      <c r="H363" s="6">
        <v>0.19</v>
      </c>
      <c r="I363" s="6" t="s">
        <v>1967</v>
      </c>
      <c r="J363" s="13">
        <v>502.6212</v>
      </c>
      <c r="K363" s="6" t="str">
        <f t="shared" si="1"/>
        <v>Low Earnings</v>
      </c>
    </row>
    <row r="364" ht="14.25" customHeight="1">
      <c r="A364" s="6" t="s">
        <v>2329</v>
      </c>
      <c r="B364" s="17">
        <v>45304.0</v>
      </c>
      <c r="C364" s="6" t="s">
        <v>818</v>
      </c>
      <c r="D364" s="6" t="s">
        <v>1672</v>
      </c>
      <c r="E364" s="6" t="s">
        <v>1897</v>
      </c>
      <c r="F364" s="6">
        <v>4.0</v>
      </c>
      <c r="G364" s="13">
        <v>629.05</v>
      </c>
      <c r="H364" s="6">
        <v>0.26</v>
      </c>
      <c r="I364" s="6" t="s">
        <v>1965</v>
      </c>
      <c r="J364" s="13">
        <v>1861.988</v>
      </c>
      <c r="K364" s="6" t="str">
        <f t="shared" si="1"/>
        <v>Average Earnings</v>
      </c>
    </row>
    <row r="365" ht="14.25" customHeight="1">
      <c r="A365" s="6" t="s">
        <v>2330</v>
      </c>
      <c r="B365" s="17">
        <v>45543.0</v>
      </c>
      <c r="C365" s="6" t="s">
        <v>1373</v>
      </c>
      <c r="D365" s="6" t="s">
        <v>1810</v>
      </c>
      <c r="E365" s="6" t="s">
        <v>1947</v>
      </c>
      <c r="F365" s="6">
        <v>4.0</v>
      </c>
      <c r="G365" s="13">
        <v>529.04</v>
      </c>
      <c r="H365" s="6">
        <v>0.1</v>
      </c>
      <c r="I365" s="6" t="s">
        <v>1967</v>
      </c>
      <c r="J365" s="13">
        <v>1904.544</v>
      </c>
      <c r="K365" s="6" t="str">
        <f t="shared" si="1"/>
        <v>Average Earnings</v>
      </c>
    </row>
    <row r="366" ht="14.25" customHeight="1">
      <c r="A366" s="6" t="s">
        <v>2331</v>
      </c>
      <c r="B366" s="17">
        <v>45326.0</v>
      </c>
      <c r="C366" s="6" t="s">
        <v>1110</v>
      </c>
      <c r="D366" s="6" t="s">
        <v>1672</v>
      </c>
      <c r="E366" s="6" t="s">
        <v>1947</v>
      </c>
      <c r="F366" s="6">
        <v>1.0</v>
      </c>
      <c r="G366" s="13">
        <v>350.67</v>
      </c>
      <c r="H366" s="6">
        <v>0.22</v>
      </c>
      <c r="I366" s="6" t="s">
        <v>1967</v>
      </c>
      <c r="J366" s="13">
        <v>273.5226</v>
      </c>
      <c r="K366" s="6" t="str">
        <f t="shared" si="1"/>
        <v>Low Earnings</v>
      </c>
    </row>
    <row r="367" ht="14.25" customHeight="1">
      <c r="A367" s="6" t="s">
        <v>2332</v>
      </c>
      <c r="B367" s="17">
        <v>45498.0</v>
      </c>
      <c r="C367" s="6" t="s">
        <v>1176</v>
      </c>
      <c r="D367" s="6" t="s">
        <v>1873</v>
      </c>
      <c r="E367" s="6" t="s">
        <v>1897</v>
      </c>
      <c r="F367" s="6">
        <v>1.0</v>
      </c>
      <c r="G367" s="13">
        <v>128.93</v>
      </c>
      <c r="H367" s="6">
        <v>0.26</v>
      </c>
      <c r="I367" s="6" t="s">
        <v>1965</v>
      </c>
      <c r="J367" s="13">
        <v>95.40820000000001</v>
      </c>
      <c r="K367" s="6" t="str">
        <f t="shared" si="1"/>
        <v>Low Earnings</v>
      </c>
    </row>
    <row r="368" ht="14.25" customHeight="1">
      <c r="A368" s="6" t="s">
        <v>2333</v>
      </c>
      <c r="B368" s="17">
        <v>45544.0</v>
      </c>
      <c r="C368" s="6" t="s">
        <v>501</v>
      </c>
      <c r="D368" s="6" t="s">
        <v>1846</v>
      </c>
      <c r="E368" s="6" t="s">
        <v>1941</v>
      </c>
      <c r="F368" s="6">
        <v>2.0</v>
      </c>
      <c r="G368" s="13">
        <v>384.92</v>
      </c>
      <c r="H368" s="6">
        <v>0.09</v>
      </c>
      <c r="I368" s="6" t="s">
        <v>1965</v>
      </c>
      <c r="J368" s="13">
        <v>700.5544000000001</v>
      </c>
      <c r="K368" s="6" t="str">
        <f t="shared" si="1"/>
        <v>Low Earnings</v>
      </c>
    </row>
    <row r="369" ht="14.25" customHeight="1">
      <c r="A369" s="6" t="s">
        <v>2334</v>
      </c>
      <c r="B369" s="17">
        <v>45268.0</v>
      </c>
      <c r="C369" s="6" t="s">
        <v>1065</v>
      </c>
      <c r="D369" s="6" t="s">
        <v>1581</v>
      </c>
      <c r="E369" s="6" t="s">
        <v>1922</v>
      </c>
      <c r="F369" s="6">
        <v>3.0</v>
      </c>
      <c r="G369" s="13">
        <v>120.77</v>
      </c>
      <c r="H369" s="6">
        <v>0.29</v>
      </c>
      <c r="I369" s="6" t="s">
        <v>1967</v>
      </c>
      <c r="J369" s="13">
        <v>257.2401</v>
      </c>
      <c r="K369" s="6" t="str">
        <f t="shared" si="1"/>
        <v>Low Earnings</v>
      </c>
    </row>
    <row r="370" ht="14.25" customHeight="1">
      <c r="A370" s="6" t="s">
        <v>2335</v>
      </c>
      <c r="B370" s="17">
        <v>45824.0</v>
      </c>
      <c r="C370" s="6" t="s">
        <v>733</v>
      </c>
      <c r="D370" s="6" t="s">
        <v>1816</v>
      </c>
      <c r="E370" s="6" t="s">
        <v>1947</v>
      </c>
      <c r="F370" s="6">
        <v>4.0</v>
      </c>
      <c r="G370" s="13">
        <v>661.39</v>
      </c>
      <c r="H370" s="6">
        <v>0.07</v>
      </c>
      <c r="I370" s="6" t="s">
        <v>1965</v>
      </c>
      <c r="J370" s="13">
        <v>2460.3708</v>
      </c>
      <c r="K370" s="6" t="str">
        <f t="shared" si="1"/>
        <v>Average Earnings</v>
      </c>
    </row>
    <row r="371" ht="14.25" customHeight="1">
      <c r="A371" s="6" t="s">
        <v>2336</v>
      </c>
      <c r="B371" s="17">
        <v>45910.0</v>
      </c>
      <c r="C371" s="6" t="s">
        <v>1050</v>
      </c>
      <c r="D371" s="6" t="s">
        <v>1758</v>
      </c>
      <c r="E371" s="6" t="s">
        <v>1909</v>
      </c>
      <c r="F371" s="6">
        <v>2.0</v>
      </c>
      <c r="G371" s="13">
        <v>267.19</v>
      </c>
      <c r="H371" s="6">
        <v>0.07</v>
      </c>
      <c r="I371" s="6" t="s">
        <v>1965</v>
      </c>
      <c r="J371" s="13">
        <v>496.9734</v>
      </c>
      <c r="K371" s="6" t="str">
        <f t="shared" si="1"/>
        <v>Low Earnings</v>
      </c>
    </row>
    <row r="372" ht="14.25" customHeight="1">
      <c r="A372" s="6" t="s">
        <v>2337</v>
      </c>
      <c r="B372" s="17">
        <v>45261.0</v>
      </c>
      <c r="C372" s="6" t="s">
        <v>1405</v>
      </c>
      <c r="D372" s="6" t="s">
        <v>1773</v>
      </c>
      <c r="E372" s="6" t="s">
        <v>1901</v>
      </c>
      <c r="F372" s="6">
        <v>1.0</v>
      </c>
      <c r="G372" s="13">
        <v>195.24</v>
      </c>
      <c r="H372" s="6">
        <v>0.27</v>
      </c>
      <c r="I372" s="6" t="s">
        <v>1967</v>
      </c>
      <c r="J372" s="13">
        <v>142.5252</v>
      </c>
      <c r="K372" s="6" t="str">
        <f t="shared" si="1"/>
        <v>Low Earnings</v>
      </c>
    </row>
    <row r="373" ht="14.25" customHeight="1">
      <c r="A373" s="6" t="s">
        <v>2338</v>
      </c>
      <c r="B373" s="17">
        <v>45233.0</v>
      </c>
      <c r="C373" s="6" t="s">
        <v>35</v>
      </c>
      <c r="D373" s="6" t="s">
        <v>1864</v>
      </c>
      <c r="E373" s="6" t="s">
        <v>1950</v>
      </c>
      <c r="F373" s="6">
        <v>2.0</v>
      </c>
      <c r="G373" s="13">
        <v>177.4</v>
      </c>
      <c r="H373" s="6">
        <v>0.19</v>
      </c>
      <c r="I373" s="6" t="s">
        <v>1967</v>
      </c>
      <c r="J373" s="13">
        <v>287.388</v>
      </c>
      <c r="K373" s="6" t="str">
        <f t="shared" si="1"/>
        <v>Low Earnings</v>
      </c>
    </row>
    <row r="374" ht="14.25" customHeight="1">
      <c r="A374" s="6" t="s">
        <v>2339</v>
      </c>
      <c r="B374" s="17">
        <v>45673.0</v>
      </c>
      <c r="C374" s="6" t="s">
        <v>222</v>
      </c>
      <c r="D374" s="6" t="s">
        <v>1882</v>
      </c>
      <c r="E374" s="6" t="s">
        <v>1932</v>
      </c>
      <c r="F374" s="6">
        <v>4.0</v>
      </c>
      <c r="G374" s="13">
        <v>862.67</v>
      </c>
      <c r="H374" s="6">
        <v>0.2</v>
      </c>
      <c r="I374" s="6" t="s">
        <v>1967</v>
      </c>
      <c r="J374" s="13">
        <v>2760.544</v>
      </c>
      <c r="K374" s="6" t="str">
        <f t="shared" si="1"/>
        <v>High Earnings</v>
      </c>
    </row>
    <row r="375" ht="14.25" customHeight="1">
      <c r="A375" s="6" t="s">
        <v>2340</v>
      </c>
      <c r="B375" s="17">
        <v>45565.0</v>
      </c>
      <c r="C375" s="6" t="s">
        <v>1390</v>
      </c>
      <c r="D375" s="6" t="s">
        <v>1630</v>
      </c>
      <c r="E375" s="6" t="s">
        <v>1916</v>
      </c>
      <c r="F375" s="6">
        <v>1.0</v>
      </c>
      <c r="G375" s="13">
        <v>55.04</v>
      </c>
      <c r="H375" s="6">
        <v>0.01</v>
      </c>
      <c r="I375" s="6" t="s">
        <v>1973</v>
      </c>
      <c r="J375" s="13">
        <v>54.4896</v>
      </c>
      <c r="K375" s="6" t="str">
        <f t="shared" si="1"/>
        <v>Low Earnings</v>
      </c>
    </row>
    <row r="376" ht="14.25" customHeight="1">
      <c r="A376" s="6" t="s">
        <v>2341</v>
      </c>
      <c r="B376" s="17">
        <v>45646.0</v>
      </c>
      <c r="C376" s="6" t="s">
        <v>196</v>
      </c>
      <c r="D376" s="6" t="s">
        <v>1720</v>
      </c>
      <c r="E376" s="6" t="s">
        <v>1892</v>
      </c>
      <c r="F376" s="6">
        <v>2.0</v>
      </c>
      <c r="G376" s="13">
        <v>905.47</v>
      </c>
      <c r="H376" s="6">
        <v>0.2</v>
      </c>
      <c r="I376" s="6" t="s">
        <v>1973</v>
      </c>
      <c r="J376" s="13">
        <v>1448.752</v>
      </c>
      <c r="K376" s="6" t="str">
        <f t="shared" si="1"/>
        <v>Average Earnings</v>
      </c>
    </row>
    <row r="377" ht="14.25" customHeight="1">
      <c r="A377" s="6" t="s">
        <v>2342</v>
      </c>
      <c r="B377" s="17">
        <v>45539.0</v>
      </c>
      <c r="C377" s="6" t="s">
        <v>1438</v>
      </c>
      <c r="D377" s="6" t="s">
        <v>1776</v>
      </c>
      <c r="E377" s="6" t="s">
        <v>1937</v>
      </c>
      <c r="F377" s="6">
        <v>3.0</v>
      </c>
      <c r="G377" s="13">
        <v>217.13</v>
      </c>
      <c r="H377" s="6">
        <v>0.28</v>
      </c>
      <c r="I377" s="6" t="s">
        <v>1965</v>
      </c>
      <c r="J377" s="13">
        <v>469.0008</v>
      </c>
      <c r="K377" s="6" t="str">
        <f t="shared" si="1"/>
        <v>Low Earnings</v>
      </c>
    </row>
    <row r="378" ht="14.25" customHeight="1">
      <c r="A378" s="6" t="s">
        <v>2343</v>
      </c>
      <c r="B378" s="17">
        <v>45936.0</v>
      </c>
      <c r="C378" s="6" t="s">
        <v>1230</v>
      </c>
      <c r="D378" s="6" t="s">
        <v>1813</v>
      </c>
      <c r="E378" s="6" t="s">
        <v>1892</v>
      </c>
      <c r="F378" s="6">
        <v>3.0</v>
      </c>
      <c r="G378" s="13">
        <v>580.45</v>
      </c>
      <c r="H378" s="6">
        <v>0.0</v>
      </c>
      <c r="I378" s="6" t="s">
        <v>1967</v>
      </c>
      <c r="J378" s="13">
        <v>1741.35</v>
      </c>
      <c r="K378" s="6" t="str">
        <f t="shared" si="1"/>
        <v>Average Earnings</v>
      </c>
    </row>
    <row r="379" ht="14.25" customHeight="1">
      <c r="A379" s="6" t="s">
        <v>2344</v>
      </c>
      <c r="B379" s="17">
        <v>45854.0</v>
      </c>
      <c r="C379" s="6" t="s">
        <v>374</v>
      </c>
      <c r="D379" s="6" t="s">
        <v>1577</v>
      </c>
      <c r="E379" s="6" t="s">
        <v>1947</v>
      </c>
      <c r="F379" s="6">
        <v>2.0</v>
      </c>
      <c r="G379" s="13">
        <v>892.88</v>
      </c>
      <c r="H379" s="6">
        <v>0.17</v>
      </c>
      <c r="I379" s="6" t="s">
        <v>1967</v>
      </c>
      <c r="J379" s="13">
        <v>1482.1808</v>
      </c>
      <c r="K379" s="6" t="str">
        <f t="shared" si="1"/>
        <v>Average Earnings</v>
      </c>
    </row>
    <row r="380" ht="14.25" customHeight="1">
      <c r="A380" s="6" t="s">
        <v>2345</v>
      </c>
      <c r="B380" s="17">
        <v>45936.0</v>
      </c>
      <c r="C380" s="6" t="s">
        <v>337</v>
      </c>
      <c r="D380" s="6" t="s">
        <v>1705</v>
      </c>
      <c r="E380" s="6" t="s">
        <v>1950</v>
      </c>
      <c r="F380" s="6">
        <v>2.0</v>
      </c>
      <c r="G380" s="13">
        <v>356.28</v>
      </c>
      <c r="H380" s="6">
        <v>0.11</v>
      </c>
      <c r="I380" s="6" t="s">
        <v>1973</v>
      </c>
      <c r="J380" s="13">
        <v>634.1784</v>
      </c>
      <c r="K380" s="6" t="str">
        <f t="shared" si="1"/>
        <v>Low Earnings</v>
      </c>
    </row>
    <row r="381" ht="14.25" customHeight="1">
      <c r="A381" s="6" t="s">
        <v>2346</v>
      </c>
      <c r="B381" s="17">
        <v>45921.0</v>
      </c>
      <c r="C381" s="6" t="s">
        <v>1215</v>
      </c>
      <c r="D381" s="6" t="s">
        <v>1828</v>
      </c>
      <c r="E381" s="6" t="s">
        <v>1901</v>
      </c>
      <c r="F381" s="6">
        <v>4.0</v>
      </c>
      <c r="G381" s="13">
        <v>806.99</v>
      </c>
      <c r="H381" s="6">
        <v>0.06</v>
      </c>
      <c r="I381" s="6" t="s">
        <v>1965</v>
      </c>
      <c r="J381" s="13">
        <v>3034.2824</v>
      </c>
      <c r="K381" s="6" t="str">
        <f t="shared" si="1"/>
        <v>High Earnings</v>
      </c>
    </row>
    <row r="382" ht="14.25" customHeight="1">
      <c r="A382" s="6" t="s">
        <v>2347</v>
      </c>
      <c r="B382" s="17">
        <v>45827.0</v>
      </c>
      <c r="C382" s="6" t="s">
        <v>669</v>
      </c>
      <c r="D382" s="6" t="s">
        <v>1849</v>
      </c>
      <c r="E382" s="6" t="s">
        <v>1941</v>
      </c>
      <c r="F382" s="6">
        <v>4.0</v>
      </c>
      <c r="G382" s="13">
        <v>72.63</v>
      </c>
      <c r="H382" s="6">
        <v>0.06</v>
      </c>
      <c r="I382" s="6" t="s">
        <v>1967</v>
      </c>
      <c r="J382" s="13">
        <v>273.0888</v>
      </c>
      <c r="K382" s="6" t="str">
        <f t="shared" si="1"/>
        <v>Low Earnings</v>
      </c>
    </row>
    <row r="383" ht="14.25" customHeight="1">
      <c r="A383" s="6" t="s">
        <v>2348</v>
      </c>
      <c r="B383" s="17">
        <v>45855.0</v>
      </c>
      <c r="C383" s="6" t="s">
        <v>1376</v>
      </c>
      <c r="D383" s="6" t="s">
        <v>1640</v>
      </c>
      <c r="E383" s="6" t="s">
        <v>1897</v>
      </c>
      <c r="F383" s="6">
        <v>3.0</v>
      </c>
      <c r="G383" s="13">
        <v>684.22</v>
      </c>
      <c r="H383" s="6">
        <v>0.09</v>
      </c>
      <c r="I383" s="6" t="s">
        <v>1965</v>
      </c>
      <c r="J383" s="13">
        <v>1867.9206</v>
      </c>
      <c r="K383" s="6" t="str">
        <f t="shared" si="1"/>
        <v>Average Earnings</v>
      </c>
    </row>
    <row r="384" ht="14.25" customHeight="1">
      <c r="A384" s="6" t="s">
        <v>2349</v>
      </c>
      <c r="B384" s="17">
        <v>45837.0</v>
      </c>
      <c r="C384" s="6" t="s">
        <v>1387</v>
      </c>
      <c r="D384" s="6" t="s">
        <v>1867</v>
      </c>
      <c r="E384" s="6" t="s">
        <v>1919</v>
      </c>
      <c r="F384" s="6">
        <v>4.0</v>
      </c>
      <c r="G384" s="13">
        <v>763.34</v>
      </c>
      <c r="H384" s="6">
        <v>0.07</v>
      </c>
      <c r="I384" s="6" t="s">
        <v>1967</v>
      </c>
      <c r="J384" s="13">
        <v>2839.6248</v>
      </c>
      <c r="K384" s="6" t="str">
        <f t="shared" si="1"/>
        <v>High Earnings</v>
      </c>
    </row>
    <row r="385" ht="14.25" customHeight="1">
      <c r="A385" s="6" t="s">
        <v>2350</v>
      </c>
      <c r="B385" s="17">
        <v>45738.0</v>
      </c>
      <c r="C385" s="6" t="s">
        <v>1146</v>
      </c>
      <c r="D385" s="6" t="s">
        <v>1737</v>
      </c>
      <c r="E385" s="6" t="s">
        <v>1906</v>
      </c>
      <c r="F385" s="6">
        <v>3.0</v>
      </c>
      <c r="G385" s="13">
        <v>721.94</v>
      </c>
      <c r="H385" s="6">
        <v>0.26</v>
      </c>
      <c r="I385" s="6" t="s">
        <v>1965</v>
      </c>
      <c r="J385" s="13">
        <v>1602.7068</v>
      </c>
      <c r="K385" s="6" t="str">
        <f t="shared" si="1"/>
        <v>Average Earnings</v>
      </c>
    </row>
    <row r="386" ht="14.25" customHeight="1">
      <c r="A386" s="6" t="s">
        <v>2351</v>
      </c>
      <c r="B386" s="17">
        <v>45323.0</v>
      </c>
      <c r="C386" s="6" t="s">
        <v>1279</v>
      </c>
      <c r="D386" s="6" t="s">
        <v>1879</v>
      </c>
      <c r="E386" s="6" t="s">
        <v>1897</v>
      </c>
      <c r="F386" s="6">
        <v>3.0</v>
      </c>
      <c r="G386" s="13">
        <v>760.38</v>
      </c>
      <c r="H386" s="6">
        <v>0.0</v>
      </c>
      <c r="I386" s="6" t="s">
        <v>1973</v>
      </c>
      <c r="J386" s="13">
        <v>2281.14</v>
      </c>
      <c r="K386" s="6" t="str">
        <f t="shared" si="1"/>
        <v>Average Earnings</v>
      </c>
    </row>
    <row r="387" ht="14.25" customHeight="1">
      <c r="A387" s="6" t="s">
        <v>2352</v>
      </c>
      <c r="B387" s="17">
        <v>45362.0</v>
      </c>
      <c r="C387" s="6" t="s">
        <v>957</v>
      </c>
      <c r="D387" s="6" t="s">
        <v>1879</v>
      </c>
      <c r="E387" s="6" t="s">
        <v>1916</v>
      </c>
      <c r="F387" s="6">
        <v>3.0</v>
      </c>
      <c r="G387" s="13">
        <v>612.53</v>
      </c>
      <c r="H387" s="6">
        <v>0.21</v>
      </c>
      <c r="I387" s="6" t="s">
        <v>1973</v>
      </c>
      <c r="J387" s="13">
        <v>1451.6961</v>
      </c>
      <c r="K387" s="6" t="str">
        <f t="shared" si="1"/>
        <v>Average Earnings</v>
      </c>
    </row>
    <row r="388" ht="14.25" customHeight="1">
      <c r="A388" s="6" t="s">
        <v>2353</v>
      </c>
      <c r="B388" s="17">
        <v>45544.0</v>
      </c>
      <c r="C388" s="6" t="s">
        <v>168</v>
      </c>
      <c r="D388" s="6" t="s">
        <v>1776</v>
      </c>
      <c r="E388" s="6" t="s">
        <v>1944</v>
      </c>
      <c r="F388" s="6">
        <v>3.0</v>
      </c>
      <c r="G388" s="13">
        <v>841.37</v>
      </c>
      <c r="H388" s="6">
        <v>0.29</v>
      </c>
      <c r="I388" s="6" t="s">
        <v>1967</v>
      </c>
      <c r="J388" s="13">
        <v>1792.1181</v>
      </c>
      <c r="K388" s="6" t="str">
        <f t="shared" si="1"/>
        <v>Average Earnings</v>
      </c>
    </row>
    <row r="389" ht="14.25" customHeight="1">
      <c r="A389" s="6" t="s">
        <v>2354</v>
      </c>
      <c r="B389" s="17">
        <v>45249.0</v>
      </c>
      <c r="C389" s="6" t="s">
        <v>848</v>
      </c>
      <c r="D389" s="6" t="s">
        <v>1730</v>
      </c>
      <c r="E389" s="6" t="s">
        <v>1926</v>
      </c>
      <c r="F389" s="6">
        <v>2.0</v>
      </c>
      <c r="G389" s="13">
        <v>636.51</v>
      </c>
      <c r="H389" s="6">
        <v>0.25</v>
      </c>
      <c r="I389" s="6" t="s">
        <v>1965</v>
      </c>
      <c r="J389" s="13">
        <v>954.765</v>
      </c>
      <c r="K389" s="6" t="str">
        <f t="shared" si="1"/>
        <v>Low Earnings</v>
      </c>
    </row>
    <row r="390" ht="14.25" customHeight="1">
      <c r="A390" s="6" t="s">
        <v>2355</v>
      </c>
      <c r="B390" s="17">
        <v>45659.0</v>
      </c>
      <c r="C390" s="6" t="s">
        <v>337</v>
      </c>
      <c r="D390" s="6" t="s">
        <v>1720</v>
      </c>
      <c r="E390" s="6" t="s">
        <v>1922</v>
      </c>
      <c r="F390" s="6">
        <v>2.0</v>
      </c>
      <c r="G390" s="13">
        <v>732.37</v>
      </c>
      <c r="H390" s="6">
        <v>0.22</v>
      </c>
      <c r="I390" s="6" t="s">
        <v>1973</v>
      </c>
      <c r="J390" s="13">
        <v>1142.4972</v>
      </c>
      <c r="K390" s="6" t="str">
        <f t="shared" si="1"/>
        <v>Average Earnings</v>
      </c>
    </row>
    <row r="391" ht="14.25" customHeight="1">
      <c r="A391" s="6" t="s">
        <v>2356</v>
      </c>
      <c r="B391" s="17">
        <v>45927.0</v>
      </c>
      <c r="C391" s="6" t="s">
        <v>558</v>
      </c>
      <c r="D391" s="6" t="s">
        <v>1749</v>
      </c>
      <c r="E391" s="6" t="s">
        <v>1944</v>
      </c>
      <c r="F391" s="6">
        <v>3.0</v>
      </c>
      <c r="G391" s="13">
        <v>183.44</v>
      </c>
      <c r="H391" s="6">
        <v>0.28</v>
      </c>
      <c r="I391" s="6" t="s">
        <v>1973</v>
      </c>
      <c r="J391" s="13">
        <v>396.2303999999999</v>
      </c>
      <c r="K391" s="6" t="str">
        <f t="shared" si="1"/>
        <v>Low Earnings</v>
      </c>
    </row>
    <row r="392" ht="14.25" customHeight="1">
      <c r="A392" s="6" t="s">
        <v>2357</v>
      </c>
      <c r="B392" s="17">
        <v>45373.0</v>
      </c>
      <c r="C392" s="6" t="s">
        <v>249</v>
      </c>
      <c r="D392" s="6" t="s">
        <v>1608</v>
      </c>
      <c r="E392" s="6" t="s">
        <v>1937</v>
      </c>
      <c r="F392" s="6">
        <v>4.0</v>
      </c>
      <c r="G392" s="13">
        <v>898.58</v>
      </c>
      <c r="H392" s="6">
        <v>0.16</v>
      </c>
      <c r="I392" s="6" t="s">
        <v>1967</v>
      </c>
      <c r="J392" s="13">
        <v>3019.2288</v>
      </c>
      <c r="K392" s="6" t="str">
        <f t="shared" si="1"/>
        <v>High Earnings</v>
      </c>
    </row>
    <row r="393" ht="14.25" customHeight="1">
      <c r="A393" s="6" t="s">
        <v>2358</v>
      </c>
      <c r="B393" s="17">
        <v>45544.0</v>
      </c>
      <c r="C393" s="6" t="s">
        <v>1341</v>
      </c>
      <c r="D393" s="6" t="s">
        <v>1746</v>
      </c>
      <c r="E393" s="6" t="s">
        <v>1913</v>
      </c>
      <c r="F393" s="6">
        <v>3.0</v>
      </c>
      <c r="G393" s="13">
        <v>576.52</v>
      </c>
      <c r="H393" s="6">
        <v>0.22</v>
      </c>
      <c r="I393" s="6" t="s">
        <v>1973</v>
      </c>
      <c r="J393" s="13">
        <v>1349.0568</v>
      </c>
      <c r="K393" s="6" t="str">
        <f t="shared" si="1"/>
        <v>Average Earnings</v>
      </c>
    </row>
    <row r="394" ht="14.25" customHeight="1">
      <c r="A394" s="6" t="s">
        <v>2359</v>
      </c>
      <c r="B394" s="17">
        <v>45529.0</v>
      </c>
      <c r="C394" s="6" t="s">
        <v>1233</v>
      </c>
      <c r="D394" s="6" t="s">
        <v>1650</v>
      </c>
      <c r="E394" s="6" t="s">
        <v>1901</v>
      </c>
      <c r="F394" s="6">
        <v>3.0</v>
      </c>
      <c r="G394" s="13">
        <v>152.41</v>
      </c>
      <c r="H394" s="6">
        <v>0.25</v>
      </c>
      <c r="I394" s="6" t="s">
        <v>1965</v>
      </c>
      <c r="J394" s="13">
        <v>342.9225</v>
      </c>
      <c r="K394" s="6" t="str">
        <f t="shared" si="1"/>
        <v>Low Earnings</v>
      </c>
    </row>
    <row r="395" ht="14.25" customHeight="1">
      <c r="A395" s="6" t="s">
        <v>2360</v>
      </c>
      <c r="B395" s="17">
        <v>45872.0</v>
      </c>
      <c r="C395" s="6" t="s">
        <v>736</v>
      </c>
      <c r="D395" s="6" t="s">
        <v>1864</v>
      </c>
      <c r="E395" s="6" t="s">
        <v>1939</v>
      </c>
      <c r="F395" s="6">
        <v>3.0</v>
      </c>
      <c r="G395" s="13">
        <v>972.58</v>
      </c>
      <c r="H395" s="6">
        <v>0.28</v>
      </c>
      <c r="I395" s="6" t="s">
        <v>1973</v>
      </c>
      <c r="J395" s="13">
        <v>2100.7728</v>
      </c>
      <c r="K395" s="6" t="str">
        <f t="shared" si="1"/>
        <v>Average Earnings</v>
      </c>
    </row>
    <row r="396" ht="14.25" customHeight="1">
      <c r="A396" s="6" t="s">
        <v>2361</v>
      </c>
      <c r="B396" s="17">
        <v>45267.0</v>
      </c>
      <c r="C396" s="6" t="s">
        <v>1453</v>
      </c>
      <c r="D396" s="6" t="s">
        <v>1795</v>
      </c>
      <c r="E396" s="6" t="s">
        <v>1932</v>
      </c>
      <c r="F396" s="6">
        <v>4.0</v>
      </c>
      <c r="G396" s="13">
        <v>136.4</v>
      </c>
      <c r="H396" s="6">
        <v>0.04</v>
      </c>
      <c r="I396" s="6" t="s">
        <v>1973</v>
      </c>
      <c r="J396" s="13">
        <v>523.776</v>
      </c>
      <c r="K396" s="6" t="str">
        <f t="shared" si="1"/>
        <v>Low Earnings</v>
      </c>
    </row>
    <row r="397" ht="14.25" customHeight="1">
      <c r="A397" s="6" t="s">
        <v>2362</v>
      </c>
      <c r="B397" s="17">
        <v>45894.0</v>
      </c>
      <c r="C397" s="6" t="s">
        <v>1262</v>
      </c>
      <c r="D397" s="6" t="s">
        <v>1870</v>
      </c>
      <c r="E397" s="6" t="s">
        <v>1941</v>
      </c>
      <c r="F397" s="6">
        <v>1.0</v>
      </c>
      <c r="G397" s="13">
        <v>509.63</v>
      </c>
      <c r="H397" s="6">
        <v>0.27</v>
      </c>
      <c r="I397" s="6" t="s">
        <v>1973</v>
      </c>
      <c r="J397" s="13">
        <v>372.0299</v>
      </c>
      <c r="K397" s="6" t="str">
        <f t="shared" si="1"/>
        <v>Low Earnings</v>
      </c>
    </row>
    <row r="398" ht="14.25" customHeight="1">
      <c r="A398" s="6" t="s">
        <v>2363</v>
      </c>
      <c r="B398" s="17">
        <v>45331.0</v>
      </c>
      <c r="C398" s="6" t="s">
        <v>30</v>
      </c>
      <c r="D398" s="6" t="s">
        <v>1879</v>
      </c>
      <c r="E398" s="6" t="s">
        <v>1906</v>
      </c>
      <c r="F398" s="6">
        <v>4.0</v>
      </c>
      <c r="G398" s="13">
        <v>360.28</v>
      </c>
      <c r="H398" s="6">
        <v>0.09</v>
      </c>
      <c r="I398" s="6" t="s">
        <v>1973</v>
      </c>
      <c r="J398" s="13">
        <v>1311.4192</v>
      </c>
      <c r="K398" s="6" t="str">
        <f t="shared" si="1"/>
        <v>Average Earnings</v>
      </c>
    </row>
    <row r="399" ht="14.25" customHeight="1">
      <c r="A399" s="6" t="s">
        <v>2364</v>
      </c>
      <c r="B399" s="17">
        <v>45910.0</v>
      </c>
      <c r="C399" s="6" t="s">
        <v>300</v>
      </c>
      <c r="D399" s="6" t="s">
        <v>1855</v>
      </c>
      <c r="E399" s="6" t="s">
        <v>1941</v>
      </c>
      <c r="F399" s="6">
        <v>3.0</v>
      </c>
      <c r="G399" s="13">
        <v>882.05</v>
      </c>
      <c r="H399" s="6">
        <v>0.06</v>
      </c>
      <c r="I399" s="6" t="s">
        <v>1967</v>
      </c>
      <c r="J399" s="13">
        <v>2487.380999999999</v>
      </c>
      <c r="K399" s="6" t="str">
        <f t="shared" si="1"/>
        <v>Average Earnings</v>
      </c>
    </row>
    <row r="400" ht="14.25" customHeight="1">
      <c r="A400" s="6" t="s">
        <v>2365</v>
      </c>
      <c r="B400" s="17">
        <v>45564.0</v>
      </c>
      <c r="C400" s="6" t="s">
        <v>652</v>
      </c>
      <c r="D400" s="6" t="s">
        <v>1825</v>
      </c>
      <c r="E400" s="6" t="s">
        <v>1922</v>
      </c>
      <c r="F400" s="6">
        <v>3.0</v>
      </c>
      <c r="G400" s="13">
        <v>141.54</v>
      </c>
      <c r="H400" s="6">
        <v>0.12</v>
      </c>
      <c r="I400" s="6" t="s">
        <v>1967</v>
      </c>
      <c r="J400" s="13">
        <v>373.6656</v>
      </c>
      <c r="K400" s="6" t="str">
        <f t="shared" si="1"/>
        <v>Low Earnings</v>
      </c>
    </row>
    <row r="401" ht="14.25" customHeight="1">
      <c r="A401" s="6" t="s">
        <v>2366</v>
      </c>
      <c r="B401" s="17">
        <v>45461.0</v>
      </c>
      <c r="C401" s="6" t="s">
        <v>176</v>
      </c>
      <c r="D401" s="6" t="s">
        <v>1622</v>
      </c>
      <c r="E401" s="6" t="s">
        <v>1909</v>
      </c>
      <c r="F401" s="6">
        <v>3.0</v>
      </c>
      <c r="G401" s="13">
        <v>83.5</v>
      </c>
      <c r="H401" s="6">
        <v>0.23</v>
      </c>
      <c r="I401" s="6" t="s">
        <v>1973</v>
      </c>
      <c r="J401" s="13">
        <v>192.885</v>
      </c>
      <c r="K401" s="6" t="str">
        <f t="shared" si="1"/>
        <v>Low Earnings</v>
      </c>
    </row>
    <row r="402" ht="14.25" customHeight="1">
      <c r="A402" s="6" t="s">
        <v>2367</v>
      </c>
      <c r="B402" s="17">
        <v>45258.0</v>
      </c>
      <c r="C402" s="6" t="s">
        <v>434</v>
      </c>
      <c r="D402" s="6" t="s">
        <v>1618</v>
      </c>
      <c r="E402" s="6" t="s">
        <v>1916</v>
      </c>
      <c r="F402" s="6">
        <v>2.0</v>
      </c>
      <c r="G402" s="13">
        <v>629.73</v>
      </c>
      <c r="H402" s="6">
        <v>0.07</v>
      </c>
      <c r="I402" s="6" t="s">
        <v>1967</v>
      </c>
      <c r="J402" s="13">
        <v>1171.2978</v>
      </c>
      <c r="K402" s="6" t="str">
        <f t="shared" si="1"/>
        <v>Average Earnings</v>
      </c>
    </row>
    <row r="403" ht="14.25" customHeight="1">
      <c r="A403" s="6" t="s">
        <v>2368</v>
      </c>
      <c r="B403" s="17">
        <v>45228.0</v>
      </c>
      <c r="C403" s="6" t="s">
        <v>66</v>
      </c>
      <c r="D403" s="6" t="s">
        <v>1682</v>
      </c>
      <c r="E403" s="6" t="s">
        <v>1916</v>
      </c>
      <c r="F403" s="6">
        <v>2.0</v>
      </c>
      <c r="G403" s="13">
        <v>159.93</v>
      </c>
      <c r="H403" s="6">
        <v>0.2</v>
      </c>
      <c r="I403" s="6" t="s">
        <v>1973</v>
      </c>
      <c r="J403" s="13">
        <v>255.888</v>
      </c>
      <c r="K403" s="6" t="str">
        <f t="shared" si="1"/>
        <v>Low Earnings</v>
      </c>
    </row>
    <row r="404" ht="14.25" customHeight="1">
      <c r="A404" s="6" t="s">
        <v>2369</v>
      </c>
      <c r="B404" s="17">
        <v>45751.0</v>
      </c>
      <c r="C404" s="6" t="s">
        <v>1110</v>
      </c>
      <c r="D404" s="6" t="s">
        <v>1801</v>
      </c>
      <c r="E404" s="6" t="s">
        <v>1926</v>
      </c>
      <c r="F404" s="6">
        <v>3.0</v>
      </c>
      <c r="G404" s="13">
        <v>849.36</v>
      </c>
      <c r="H404" s="6">
        <v>0.03</v>
      </c>
      <c r="I404" s="6" t="s">
        <v>1965</v>
      </c>
      <c r="J404" s="13">
        <v>2471.6376</v>
      </c>
      <c r="K404" s="6" t="str">
        <f t="shared" si="1"/>
        <v>Average Earnings</v>
      </c>
    </row>
    <row r="405" ht="14.25" customHeight="1">
      <c r="A405" s="6" t="s">
        <v>2370</v>
      </c>
      <c r="B405" s="17">
        <v>45858.0</v>
      </c>
      <c r="C405" s="6" t="s">
        <v>66</v>
      </c>
      <c r="D405" s="6" t="s">
        <v>1720</v>
      </c>
      <c r="E405" s="6" t="s">
        <v>1950</v>
      </c>
      <c r="F405" s="6">
        <v>1.0</v>
      </c>
      <c r="G405" s="13">
        <v>459.89</v>
      </c>
      <c r="H405" s="6">
        <v>0.18</v>
      </c>
      <c r="I405" s="6" t="s">
        <v>1973</v>
      </c>
      <c r="J405" s="13">
        <v>377.1098</v>
      </c>
      <c r="K405" s="6" t="str">
        <f t="shared" si="1"/>
        <v>Low Earnings</v>
      </c>
    </row>
    <row r="406" ht="14.25" customHeight="1">
      <c r="A406" s="6" t="s">
        <v>2371</v>
      </c>
      <c r="B406" s="17">
        <v>45532.0</v>
      </c>
      <c r="C406" s="6" t="s">
        <v>631</v>
      </c>
      <c r="D406" s="6" t="s">
        <v>1682</v>
      </c>
      <c r="E406" s="6" t="s">
        <v>1953</v>
      </c>
      <c r="F406" s="6">
        <v>4.0</v>
      </c>
      <c r="G406" s="13">
        <v>885.57</v>
      </c>
      <c r="H406" s="6">
        <v>0.27</v>
      </c>
      <c r="I406" s="6" t="s">
        <v>1965</v>
      </c>
      <c r="J406" s="13">
        <v>2585.8644</v>
      </c>
      <c r="K406" s="6" t="str">
        <f t="shared" si="1"/>
        <v>High Earnings</v>
      </c>
    </row>
    <row r="407" ht="14.25" customHeight="1">
      <c r="A407" s="6" t="s">
        <v>2372</v>
      </c>
      <c r="B407" s="17">
        <v>45454.0</v>
      </c>
      <c r="C407" s="6" t="s">
        <v>1268</v>
      </c>
      <c r="D407" s="6" t="s">
        <v>1749</v>
      </c>
      <c r="E407" s="6" t="s">
        <v>1941</v>
      </c>
      <c r="F407" s="6">
        <v>3.0</v>
      </c>
      <c r="G407" s="13">
        <v>789.05</v>
      </c>
      <c r="H407" s="6">
        <v>0.0</v>
      </c>
      <c r="I407" s="6" t="s">
        <v>1967</v>
      </c>
      <c r="J407" s="13">
        <v>2367.15</v>
      </c>
      <c r="K407" s="6" t="str">
        <f t="shared" si="1"/>
        <v>Average Earnings</v>
      </c>
    </row>
    <row r="408" ht="14.25" customHeight="1">
      <c r="A408" s="6" t="s">
        <v>2373</v>
      </c>
      <c r="B408" s="17">
        <v>45244.0</v>
      </c>
      <c r="C408" s="6" t="s">
        <v>528</v>
      </c>
      <c r="D408" s="6" t="s">
        <v>1785</v>
      </c>
      <c r="E408" s="6" t="s">
        <v>1892</v>
      </c>
      <c r="F408" s="6">
        <v>1.0</v>
      </c>
      <c r="G408" s="13">
        <v>570.52</v>
      </c>
      <c r="H408" s="6">
        <v>0.0</v>
      </c>
      <c r="I408" s="6" t="s">
        <v>1967</v>
      </c>
      <c r="J408" s="13">
        <v>570.52</v>
      </c>
      <c r="K408" s="6" t="str">
        <f t="shared" si="1"/>
        <v>Low Earnings</v>
      </c>
    </row>
    <row r="409" ht="14.25" customHeight="1">
      <c r="A409" s="6" t="s">
        <v>2374</v>
      </c>
      <c r="B409" s="17">
        <v>45322.0</v>
      </c>
      <c r="C409" s="6" t="s">
        <v>604</v>
      </c>
      <c r="D409" s="6" t="s">
        <v>1663</v>
      </c>
      <c r="E409" s="6" t="s">
        <v>1944</v>
      </c>
      <c r="F409" s="6">
        <v>4.0</v>
      </c>
      <c r="G409" s="13">
        <v>310.79</v>
      </c>
      <c r="H409" s="6">
        <v>0.22</v>
      </c>
      <c r="I409" s="6" t="s">
        <v>1973</v>
      </c>
      <c r="J409" s="13">
        <v>969.6648000000001</v>
      </c>
      <c r="K409" s="6" t="str">
        <f t="shared" si="1"/>
        <v>Low Earnings</v>
      </c>
    </row>
    <row r="410" ht="14.25" customHeight="1">
      <c r="A410" s="6" t="s">
        <v>2375</v>
      </c>
      <c r="B410" s="17">
        <v>45757.0</v>
      </c>
      <c r="C410" s="6" t="s">
        <v>222</v>
      </c>
      <c r="D410" s="6" t="s">
        <v>1791</v>
      </c>
      <c r="E410" s="6" t="s">
        <v>1947</v>
      </c>
      <c r="F410" s="6">
        <v>4.0</v>
      </c>
      <c r="G410" s="13">
        <v>255.67</v>
      </c>
      <c r="H410" s="6">
        <v>0.17</v>
      </c>
      <c r="I410" s="6" t="s">
        <v>1965</v>
      </c>
      <c r="J410" s="13">
        <v>848.8244</v>
      </c>
      <c r="K410" s="6" t="str">
        <f t="shared" si="1"/>
        <v>Low Earnings</v>
      </c>
    </row>
    <row r="411" ht="14.25" customHeight="1">
      <c r="A411" s="6" t="s">
        <v>2376</v>
      </c>
      <c r="B411" s="17">
        <v>45397.0</v>
      </c>
      <c r="C411" s="6" t="s">
        <v>453</v>
      </c>
      <c r="D411" s="6" t="s">
        <v>1663</v>
      </c>
      <c r="E411" s="6" t="s">
        <v>1944</v>
      </c>
      <c r="F411" s="6">
        <v>2.0</v>
      </c>
      <c r="G411" s="13">
        <v>270.66</v>
      </c>
      <c r="H411" s="6">
        <v>0.1</v>
      </c>
      <c r="I411" s="6" t="s">
        <v>1973</v>
      </c>
      <c r="J411" s="13">
        <v>487.188</v>
      </c>
      <c r="K411" s="6" t="str">
        <f t="shared" si="1"/>
        <v>Low Earnings</v>
      </c>
    </row>
    <row r="412" ht="14.25" customHeight="1">
      <c r="A412" s="6" t="s">
        <v>2377</v>
      </c>
      <c r="B412" s="17">
        <v>45914.0</v>
      </c>
      <c r="C412" s="6" t="s">
        <v>960</v>
      </c>
      <c r="D412" s="6" t="s">
        <v>1650</v>
      </c>
      <c r="E412" s="6" t="s">
        <v>1947</v>
      </c>
      <c r="F412" s="6">
        <v>3.0</v>
      </c>
      <c r="G412" s="13">
        <v>373.35</v>
      </c>
      <c r="H412" s="6">
        <v>0.2</v>
      </c>
      <c r="I412" s="6" t="s">
        <v>1973</v>
      </c>
      <c r="J412" s="13">
        <v>896.0400000000002</v>
      </c>
      <c r="K412" s="6" t="str">
        <f t="shared" si="1"/>
        <v>Low Earnings</v>
      </c>
    </row>
    <row r="413" ht="14.25" customHeight="1">
      <c r="A413" s="6" t="s">
        <v>2378</v>
      </c>
      <c r="B413" s="17">
        <v>45432.0</v>
      </c>
      <c r="C413" s="6" t="s">
        <v>152</v>
      </c>
      <c r="D413" s="6" t="s">
        <v>1764</v>
      </c>
      <c r="E413" s="6" t="s">
        <v>1932</v>
      </c>
      <c r="F413" s="6">
        <v>2.0</v>
      </c>
      <c r="G413" s="13">
        <v>23.58</v>
      </c>
      <c r="H413" s="6">
        <v>0.02</v>
      </c>
      <c r="I413" s="6" t="s">
        <v>1967</v>
      </c>
      <c r="J413" s="13">
        <v>46.2168</v>
      </c>
      <c r="K413" s="6" t="str">
        <f t="shared" si="1"/>
        <v>Low Earnings</v>
      </c>
    </row>
    <row r="414" ht="14.25" customHeight="1">
      <c r="A414" s="6" t="s">
        <v>2379</v>
      </c>
      <c r="B414" s="17">
        <v>45798.0</v>
      </c>
      <c r="C414" s="6" t="s">
        <v>39</v>
      </c>
      <c r="D414" s="6" t="s">
        <v>1688</v>
      </c>
      <c r="E414" s="6" t="s">
        <v>1919</v>
      </c>
      <c r="F414" s="6">
        <v>4.0</v>
      </c>
      <c r="G414" s="13">
        <v>185.67</v>
      </c>
      <c r="H414" s="6">
        <v>0.21</v>
      </c>
      <c r="I414" s="6" t="s">
        <v>1967</v>
      </c>
      <c r="J414" s="13">
        <v>586.7171999999999</v>
      </c>
      <c r="K414" s="6" t="str">
        <f t="shared" si="1"/>
        <v>Low Earnings</v>
      </c>
    </row>
    <row r="415" ht="14.25" customHeight="1">
      <c r="A415" s="6" t="s">
        <v>2380</v>
      </c>
      <c r="B415" s="17">
        <v>45392.0</v>
      </c>
      <c r="C415" s="6" t="s">
        <v>1474</v>
      </c>
      <c r="D415" s="6" t="s">
        <v>1737</v>
      </c>
      <c r="E415" s="6" t="s">
        <v>1916</v>
      </c>
      <c r="F415" s="6">
        <v>1.0</v>
      </c>
      <c r="G415" s="13">
        <v>245.85</v>
      </c>
      <c r="H415" s="6">
        <v>0.18</v>
      </c>
      <c r="I415" s="6" t="s">
        <v>1973</v>
      </c>
      <c r="J415" s="13">
        <v>201.597</v>
      </c>
      <c r="K415" s="6" t="str">
        <f t="shared" si="1"/>
        <v>Low Earnings</v>
      </c>
    </row>
    <row r="416" ht="14.25" customHeight="1">
      <c r="A416" s="6" t="s">
        <v>2381</v>
      </c>
      <c r="B416" s="17">
        <v>45396.0</v>
      </c>
      <c r="C416" s="6" t="s">
        <v>425</v>
      </c>
      <c r="D416" s="6" t="s">
        <v>1633</v>
      </c>
      <c r="E416" s="6" t="s">
        <v>1937</v>
      </c>
      <c r="F416" s="6">
        <v>3.0</v>
      </c>
      <c r="G416" s="13">
        <v>928.74</v>
      </c>
      <c r="H416" s="6">
        <v>0.27</v>
      </c>
      <c r="I416" s="6" t="s">
        <v>1967</v>
      </c>
      <c r="J416" s="13">
        <v>2033.9406</v>
      </c>
      <c r="K416" s="6" t="str">
        <f t="shared" si="1"/>
        <v>Average Earnings</v>
      </c>
    </row>
    <row r="417" ht="14.25" customHeight="1">
      <c r="A417" s="6" t="s">
        <v>2382</v>
      </c>
      <c r="B417" s="17">
        <v>45235.0</v>
      </c>
      <c r="C417" s="6" t="s">
        <v>129</v>
      </c>
      <c r="D417" s="6" t="s">
        <v>1840</v>
      </c>
      <c r="E417" s="6" t="s">
        <v>1913</v>
      </c>
      <c r="F417" s="6">
        <v>3.0</v>
      </c>
      <c r="G417" s="13">
        <v>923.38</v>
      </c>
      <c r="H417" s="6">
        <v>0.07</v>
      </c>
      <c r="I417" s="6" t="s">
        <v>1973</v>
      </c>
      <c r="J417" s="13">
        <v>2576.2302</v>
      </c>
      <c r="K417" s="6" t="str">
        <f t="shared" si="1"/>
        <v>High Earnings</v>
      </c>
    </row>
    <row r="418" ht="14.25" customHeight="1">
      <c r="A418" s="6" t="s">
        <v>2383</v>
      </c>
      <c r="B418" s="17">
        <v>45499.0</v>
      </c>
      <c r="C418" s="6" t="s">
        <v>1441</v>
      </c>
      <c r="D418" s="6" t="s">
        <v>1577</v>
      </c>
      <c r="E418" s="6" t="s">
        <v>1926</v>
      </c>
      <c r="F418" s="6">
        <v>2.0</v>
      </c>
      <c r="G418" s="13">
        <v>409.26</v>
      </c>
      <c r="H418" s="6">
        <v>0.1</v>
      </c>
      <c r="I418" s="6" t="s">
        <v>1967</v>
      </c>
      <c r="J418" s="13">
        <v>736.668</v>
      </c>
      <c r="K418" s="6" t="str">
        <f t="shared" si="1"/>
        <v>Low Earnings</v>
      </c>
    </row>
    <row r="419" ht="14.25" customHeight="1">
      <c r="A419" s="6" t="s">
        <v>2384</v>
      </c>
      <c r="B419" s="17">
        <v>45272.0</v>
      </c>
      <c r="C419" s="6" t="s">
        <v>827</v>
      </c>
      <c r="D419" s="6" t="s">
        <v>1650</v>
      </c>
      <c r="E419" s="6" t="s">
        <v>1919</v>
      </c>
      <c r="F419" s="6">
        <v>2.0</v>
      </c>
      <c r="G419" s="13">
        <v>608.46</v>
      </c>
      <c r="H419" s="6">
        <v>0.16</v>
      </c>
      <c r="I419" s="6" t="s">
        <v>1965</v>
      </c>
      <c r="J419" s="13">
        <v>1022.2128</v>
      </c>
      <c r="K419" s="6" t="str">
        <f t="shared" si="1"/>
        <v>Average Earnings</v>
      </c>
    </row>
    <row r="420" ht="14.25" customHeight="1">
      <c r="A420" s="6" t="s">
        <v>2385</v>
      </c>
      <c r="B420" s="17">
        <v>45785.0</v>
      </c>
      <c r="C420" s="6" t="s">
        <v>702</v>
      </c>
      <c r="D420" s="6" t="s">
        <v>1711</v>
      </c>
      <c r="E420" s="6" t="s">
        <v>1953</v>
      </c>
      <c r="F420" s="6">
        <v>4.0</v>
      </c>
      <c r="G420" s="13">
        <v>150.48</v>
      </c>
      <c r="H420" s="6">
        <v>0.09</v>
      </c>
      <c r="I420" s="6" t="s">
        <v>1965</v>
      </c>
      <c r="J420" s="13">
        <v>547.7472</v>
      </c>
      <c r="K420" s="6" t="str">
        <f t="shared" si="1"/>
        <v>Low Earnings</v>
      </c>
    </row>
    <row r="421" ht="14.25" customHeight="1">
      <c r="A421" s="6" t="s">
        <v>2386</v>
      </c>
      <c r="B421" s="17">
        <v>45534.0</v>
      </c>
      <c r="C421" s="6" t="s">
        <v>800</v>
      </c>
      <c r="D421" s="6" t="s">
        <v>1791</v>
      </c>
      <c r="E421" s="6" t="s">
        <v>1939</v>
      </c>
      <c r="F421" s="6">
        <v>4.0</v>
      </c>
      <c r="G421" s="13">
        <v>207.41</v>
      </c>
      <c r="H421" s="6">
        <v>0.02</v>
      </c>
      <c r="I421" s="6" t="s">
        <v>1965</v>
      </c>
      <c r="J421" s="13">
        <v>813.0472</v>
      </c>
      <c r="K421" s="6" t="str">
        <f t="shared" si="1"/>
        <v>Low Earnings</v>
      </c>
    </row>
    <row r="422" ht="14.25" customHeight="1">
      <c r="A422" s="6" t="s">
        <v>2387</v>
      </c>
      <c r="B422" s="17">
        <v>45803.0</v>
      </c>
      <c r="C422" s="6" t="s">
        <v>582</v>
      </c>
      <c r="D422" s="6" t="s">
        <v>1608</v>
      </c>
      <c r="E422" s="6" t="s">
        <v>1916</v>
      </c>
      <c r="F422" s="6">
        <v>1.0</v>
      </c>
      <c r="G422" s="13">
        <v>56.59</v>
      </c>
      <c r="H422" s="6">
        <v>0.15</v>
      </c>
      <c r="I422" s="6" t="s">
        <v>1967</v>
      </c>
      <c r="J422" s="13">
        <v>48.1015</v>
      </c>
      <c r="K422" s="6" t="str">
        <f t="shared" si="1"/>
        <v>Low Earnings</v>
      </c>
    </row>
    <row r="423" ht="14.25" customHeight="1">
      <c r="A423" s="6" t="s">
        <v>2388</v>
      </c>
      <c r="B423" s="17">
        <v>45667.0</v>
      </c>
      <c r="C423" s="6" t="s">
        <v>1276</v>
      </c>
      <c r="D423" s="6" t="s">
        <v>1701</v>
      </c>
      <c r="E423" s="6" t="s">
        <v>1909</v>
      </c>
      <c r="F423" s="6">
        <v>4.0</v>
      </c>
      <c r="G423" s="13">
        <v>995.4</v>
      </c>
      <c r="H423" s="6">
        <v>0.27</v>
      </c>
      <c r="I423" s="6" t="s">
        <v>1965</v>
      </c>
      <c r="J423" s="13">
        <v>2906.568</v>
      </c>
      <c r="K423" s="6" t="str">
        <f t="shared" si="1"/>
        <v>High Earnings</v>
      </c>
    </row>
    <row r="424" ht="14.25" customHeight="1">
      <c r="A424" s="6" t="s">
        <v>2389</v>
      </c>
      <c r="B424" s="17">
        <v>45656.0</v>
      </c>
      <c r="C424" s="6" t="s">
        <v>246</v>
      </c>
      <c r="D424" s="6" t="s">
        <v>1726</v>
      </c>
      <c r="E424" s="6" t="s">
        <v>1934</v>
      </c>
      <c r="F424" s="6">
        <v>2.0</v>
      </c>
      <c r="G424" s="13">
        <v>591.33</v>
      </c>
      <c r="H424" s="6">
        <v>0.24</v>
      </c>
      <c r="I424" s="6" t="s">
        <v>1965</v>
      </c>
      <c r="J424" s="13">
        <v>898.8216000000001</v>
      </c>
      <c r="K424" s="6" t="str">
        <f t="shared" si="1"/>
        <v>Low Earnings</v>
      </c>
    </row>
    <row r="425" ht="14.25" customHeight="1">
      <c r="A425" s="6" t="s">
        <v>2390</v>
      </c>
      <c r="B425" s="17">
        <v>45869.0</v>
      </c>
      <c r="C425" s="6" t="s">
        <v>1197</v>
      </c>
      <c r="D425" s="6" t="s">
        <v>1730</v>
      </c>
      <c r="E425" s="6" t="s">
        <v>1947</v>
      </c>
      <c r="F425" s="6">
        <v>2.0</v>
      </c>
      <c r="G425" s="13">
        <v>204.89</v>
      </c>
      <c r="H425" s="6">
        <v>0.24</v>
      </c>
      <c r="I425" s="6" t="s">
        <v>1965</v>
      </c>
      <c r="J425" s="13">
        <v>311.4328</v>
      </c>
      <c r="K425" s="6" t="str">
        <f t="shared" si="1"/>
        <v>Low Earnings</v>
      </c>
    </row>
    <row r="426" ht="14.25" customHeight="1">
      <c r="A426" s="6" t="s">
        <v>2391</v>
      </c>
      <c r="B426" s="17">
        <v>45589.0</v>
      </c>
      <c r="C426" s="6" t="s">
        <v>601</v>
      </c>
      <c r="D426" s="6" t="s">
        <v>1879</v>
      </c>
      <c r="E426" s="6" t="s">
        <v>1929</v>
      </c>
      <c r="F426" s="6">
        <v>3.0</v>
      </c>
      <c r="G426" s="13">
        <v>237.68</v>
      </c>
      <c r="H426" s="6">
        <v>0.1</v>
      </c>
      <c r="I426" s="6" t="s">
        <v>1973</v>
      </c>
      <c r="J426" s="13">
        <v>641.736</v>
      </c>
      <c r="K426" s="6" t="str">
        <f t="shared" si="1"/>
        <v>Low Earnings</v>
      </c>
    </row>
    <row r="427" ht="14.25" customHeight="1">
      <c r="A427" s="6" t="s">
        <v>2392</v>
      </c>
      <c r="B427" s="17">
        <v>45549.0</v>
      </c>
      <c r="C427" s="6" t="s">
        <v>333</v>
      </c>
      <c r="D427" s="6" t="s">
        <v>1782</v>
      </c>
      <c r="E427" s="6" t="s">
        <v>1939</v>
      </c>
      <c r="F427" s="6">
        <v>2.0</v>
      </c>
      <c r="G427" s="13">
        <v>546.41</v>
      </c>
      <c r="H427" s="6">
        <v>0.08</v>
      </c>
      <c r="I427" s="6" t="s">
        <v>1973</v>
      </c>
      <c r="J427" s="13">
        <v>1005.3944</v>
      </c>
      <c r="K427" s="6" t="str">
        <f t="shared" si="1"/>
        <v>Average Earnings</v>
      </c>
    </row>
    <row r="428" ht="14.25" customHeight="1">
      <c r="A428" s="6" t="s">
        <v>2393</v>
      </c>
      <c r="B428" s="17">
        <v>45409.0</v>
      </c>
      <c r="C428" s="6" t="s">
        <v>219</v>
      </c>
      <c r="D428" s="6" t="s">
        <v>1633</v>
      </c>
      <c r="E428" s="6" t="s">
        <v>1934</v>
      </c>
      <c r="F428" s="6">
        <v>4.0</v>
      </c>
      <c r="G428" s="13">
        <v>455.49</v>
      </c>
      <c r="H428" s="6">
        <v>0.17</v>
      </c>
      <c r="I428" s="6" t="s">
        <v>1965</v>
      </c>
      <c r="J428" s="13">
        <v>1512.2268</v>
      </c>
      <c r="K428" s="6" t="str">
        <f t="shared" si="1"/>
        <v>Average Earnings</v>
      </c>
    </row>
    <row r="429" ht="14.25" customHeight="1">
      <c r="A429" s="6" t="s">
        <v>2394</v>
      </c>
      <c r="B429" s="17">
        <v>45374.0</v>
      </c>
      <c r="C429" s="6" t="s">
        <v>1326</v>
      </c>
      <c r="D429" s="6" t="s">
        <v>1604</v>
      </c>
      <c r="E429" s="6" t="s">
        <v>1944</v>
      </c>
      <c r="F429" s="6">
        <v>2.0</v>
      </c>
      <c r="G429" s="13">
        <v>700.27</v>
      </c>
      <c r="H429" s="6">
        <v>0.16</v>
      </c>
      <c r="I429" s="6" t="s">
        <v>1965</v>
      </c>
      <c r="J429" s="13">
        <v>1176.4536</v>
      </c>
      <c r="K429" s="6" t="str">
        <f t="shared" si="1"/>
        <v>Average Earnings</v>
      </c>
    </row>
    <row r="430" ht="14.25" customHeight="1">
      <c r="A430" s="6" t="s">
        <v>2395</v>
      </c>
      <c r="B430" s="17">
        <v>45282.0</v>
      </c>
      <c r="C430" s="6" t="s">
        <v>1098</v>
      </c>
      <c r="D430" s="6" t="s">
        <v>1834</v>
      </c>
      <c r="E430" s="6" t="s">
        <v>1947</v>
      </c>
      <c r="F430" s="6">
        <v>2.0</v>
      </c>
      <c r="G430" s="13">
        <v>160.21</v>
      </c>
      <c r="H430" s="6">
        <v>0.09</v>
      </c>
      <c r="I430" s="6" t="s">
        <v>1965</v>
      </c>
      <c r="J430" s="13">
        <v>291.5822</v>
      </c>
      <c r="K430" s="6" t="str">
        <f t="shared" si="1"/>
        <v>Low Earnings</v>
      </c>
    </row>
    <row r="431" ht="14.25" customHeight="1">
      <c r="A431" s="6" t="s">
        <v>2396</v>
      </c>
      <c r="B431" s="17">
        <v>45742.0</v>
      </c>
      <c r="C431" s="6" t="s">
        <v>135</v>
      </c>
      <c r="D431" s="6" t="s">
        <v>1726</v>
      </c>
      <c r="E431" s="6" t="s">
        <v>1932</v>
      </c>
      <c r="F431" s="6">
        <v>1.0</v>
      </c>
      <c r="G431" s="13">
        <v>713.63</v>
      </c>
      <c r="H431" s="6">
        <v>0.28</v>
      </c>
      <c r="I431" s="6" t="s">
        <v>1973</v>
      </c>
      <c r="J431" s="13">
        <v>513.8136</v>
      </c>
      <c r="K431" s="6" t="str">
        <f t="shared" si="1"/>
        <v>Low Earnings</v>
      </c>
    </row>
    <row r="432" ht="14.25" customHeight="1">
      <c r="A432" s="6" t="s">
        <v>2397</v>
      </c>
      <c r="B432" s="17">
        <v>45447.0</v>
      </c>
      <c r="C432" s="6" t="s">
        <v>747</v>
      </c>
      <c r="D432" s="6" t="s">
        <v>1867</v>
      </c>
      <c r="E432" s="6" t="s">
        <v>1919</v>
      </c>
      <c r="F432" s="6">
        <v>2.0</v>
      </c>
      <c r="G432" s="13">
        <v>224.69</v>
      </c>
      <c r="H432" s="6">
        <v>0.2</v>
      </c>
      <c r="I432" s="6" t="s">
        <v>1973</v>
      </c>
      <c r="J432" s="13">
        <v>359.504</v>
      </c>
      <c r="K432" s="6" t="str">
        <f t="shared" si="1"/>
        <v>Low Earnings</v>
      </c>
    </row>
    <row r="433" ht="14.25" customHeight="1">
      <c r="A433" s="6" t="s">
        <v>2398</v>
      </c>
      <c r="B433" s="17">
        <v>45733.0</v>
      </c>
      <c r="C433" s="6" t="s">
        <v>1416</v>
      </c>
      <c r="D433" s="6" t="s">
        <v>1640</v>
      </c>
      <c r="E433" s="6" t="s">
        <v>1939</v>
      </c>
      <c r="F433" s="6">
        <v>2.0</v>
      </c>
      <c r="G433" s="13">
        <v>740.57</v>
      </c>
      <c r="H433" s="6">
        <v>0.06</v>
      </c>
      <c r="I433" s="6" t="s">
        <v>1965</v>
      </c>
      <c r="J433" s="13">
        <v>1392.2716</v>
      </c>
      <c r="K433" s="6" t="str">
        <f t="shared" si="1"/>
        <v>Average Earnings</v>
      </c>
    </row>
    <row r="434" ht="14.25" customHeight="1">
      <c r="A434" s="6" t="s">
        <v>2399</v>
      </c>
      <c r="B434" s="17">
        <v>45373.0</v>
      </c>
      <c r="C434" s="6" t="s">
        <v>492</v>
      </c>
      <c r="D434" s="6" t="s">
        <v>1608</v>
      </c>
      <c r="E434" s="6" t="s">
        <v>1906</v>
      </c>
      <c r="F434" s="6">
        <v>3.0</v>
      </c>
      <c r="G434" s="13">
        <v>250.14</v>
      </c>
      <c r="H434" s="6">
        <v>0.23</v>
      </c>
      <c r="I434" s="6" t="s">
        <v>1967</v>
      </c>
      <c r="J434" s="13">
        <v>577.8234</v>
      </c>
      <c r="K434" s="6" t="str">
        <f t="shared" si="1"/>
        <v>Low Earnings</v>
      </c>
    </row>
    <row r="435" ht="14.25" customHeight="1">
      <c r="A435" s="6" t="s">
        <v>2400</v>
      </c>
      <c r="B435" s="17">
        <v>45655.0</v>
      </c>
      <c r="C435" s="6" t="s">
        <v>96</v>
      </c>
      <c r="D435" s="6" t="s">
        <v>1882</v>
      </c>
      <c r="E435" s="6" t="s">
        <v>1953</v>
      </c>
      <c r="F435" s="6">
        <v>3.0</v>
      </c>
      <c r="G435" s="13">
        <v>34.97</v>
      </c>
      <c r="H435" s="6">
        <v>0.01</v>
      </c>
      <c r="I435" s="6" t="s">
        <v>1965</v>
      </c>
      <c r="J435" s="13">
        <v>103.8609</v>
      </c>
      <c r="K435" s="6" t="str">
        <f t="shared" si="1"/>
        <v>Low Earnings</v>
      </c>
    </row>
    <row r="436" ht="14.25" customHeight="1">
      <c r="A436" s="6" t="s">
        <v>2401</v>
      </c>
      <c r="B436" s="17">
        <v>45868.0</v>
      </c>
      <c r="C436" s="6" t="s">
        <v>975</v>
      </c>
      <c r="D436" s="6" t="s">
        <v>1711</v>
      </c>
      <c r="E436" s="6" t="s">
        <v>1944</v>
      </c>
      <c r="F436" s="6">
        <v>1.0</v>
      </c>
      <c r="G436" s="13">
        <v>653.91</v>
      </c>
      <c r="H436" s="6">
        <v>0.3</v>
      </c>
      <c r="I436" s="6" t="s">
        <v>1967</v>
      </c>
      <c r="J436" s="13">
        <v>457.737</v>
      </c>
      <c r="K436" s="6" t="str">
        <f t="shared" si="1"/>
        <v>Low Earnings</v>
      </c>
    </row>
    <row r="437" ht="14.25" customHeight="1">
      <c r="A437" s="6" t="s">
        <v>2402</v>
      </c>
      <c r="B437" s="17">
        <v>45756.0</v>
      </c>
      <c r="C437" s="6" t="s">
        <v>1074</v>
      </c>
      <c r="D437" s="6" t="s">
        <v>1801</v>
      </c>
      <c r="E437" s="6" t="s">
        <v>1939</v>
      </c>
      <c r="F437" s="6">
        <v>4.0</v>
      </c>
      <c r="G437" s="13">
        <v>715.85</v>
      </c>
      <c r="H437" s="6">
        <v>0.25</v>
      </c>
      <c r="I437" s="6" t="s">
        <v>1967</v>
      </c>
      <c r="J437" s="13">
        <v>2147.55</v>
      </c>
      <c r="K437" s="6" t="str">
        <f t="shared" si="1"/>
        <v>Average Earnings</v>
      </c>
    </row>
    <row r="438" ht="14.25" customHeight="1">
      <c r="A438" s="6" t="s">
        <v>2403</v>
      </c>
      <c r="B438" s="17">
        <v>45338.0</v>
      </c>
      <c r="C438" s="6" t="s">
        <v>1152</v>
      </c>
      <c r="D438" s="6" t="s">
        <v>1785</v>
      </c>
      <c r="E438" s="6" t="s">
        <v>1906</v>
      </c>
      <c r="F438" s="6">
        <v>1.0</v>
      </c>
      <c r="G438" s="13">
        <v>997.87</v>
      </c>
      <c r="H438" s="6">
        <v>0.24</v>
      </c>
      <c r="I438" s="6" t="s">
        <v>1965</v>
      </c>
      <c r="J438" s="13">
        <v>758.3812</v>
      </c>
      <c r="K438" s="6" t="str">
        <f t="shared" si="1"/>
        <v>Low Earnings</v>
      </c>
    </row>
    <row r="439" ht="14.25" customHeight="1">
      <c r="A439" s="6" t="s">
        <v>2404</v>
      </c>
      <c r="B439" s="17">
        <v>45349.0</v>
      </c>
      <c r="C439" s="6" t="s">
        <v>690</v>
      </c>
      <c r="D439" s="6" t="s">
        <v>1855</v>
      </c>
      <c r="E439" s="6" t="s">
        <v>1939</v>
      </c>
      <c r="F439" s="6">
        <v>1.0</v>
      </c>
      <c r="G439" s="13">
        <v>174.27</v>
      </c>
      <c r="H439" s="6">
        <v>0.27</v>
      </c>
      <c r="I439" s="6" t="s">
        <v>1973</v>
      </c>
      <c r="J439" s="13">
        <v>127.2171</v>
      </c>
      <c r="K439" s="6" t="str">
        <f t="shared" si="1"/>
        <v>Low Earnings</v>
      </c>
    </row>
    <row r="440" ht="14.25" customHeight="1">
      <c r="A440" s="6" t="s">
        <v>2405</v>
      </c>
      <c r="B440" s="17">
        <v>45368.0</v>
      </c>
      <c r="C440" s="6" t="s">
        <v>410</v>
      </c>
      <c r="D440" s="6" t="s">
        <v>1733</v>
      </c>
      <c r="E440" s="6" t="s">
        <v>1919</v>
      </c>
      <c r="F440" s="6">
        <v>3.0</v>
      </c>
      <c r="G440" s="13">
        <v>847.44</v>
      </c>
      <c r="H440" s="6">
        <v>0.17</v>
      </c>
      <c r="I440" s="6" t="s">
        <v>1965</v>
      </c>
      <c r="J440" s="13">
        <v>2110.1256</v>
      </c>
      <c r="K440" s="6" t="str">
        <f t="shared" si="1"/>
        <v>Average Earnings</v>
      </c>
    </row>
    <row r="441" ht="14.25" customHeight="1">
      <c r="A441" s="6" t="s">
        <v>2406</v>
      </c>
      <c r="B441" s="17">
        <v>45243.0</v>
      </c>
      <c r="C441" s="6" t="s">
        <v>1344</v>
      </c>
      <c r="D441" s="6" t="s">
        <v>1570</v>
      </c>
      <c r="E441" s="6" t="s">
        <v>1901</v>
      </c>
      <c r="F441" s="6">
        <v>1.0</v>
      </c>
      <c r="G441" s="13">
        <v>493.45</v>
      </c>
      <c r="H441" s="6">
        <v>0.09</v>
      </c>
      <c r="I441" s="6" t="s">
        <v>1965</v>
      </c>
      <c r="J441" s="13">
        <v>449.0395</v>
      </c>
      <c r="K441" s="6" t="str">
        <f t="shared" si="1"/>
        <v>Low Earnings</v>
      </c>
    </row>
    <row r="442" ht="14.25" customHeight="1">
      <c r="A442" s="6" t="s">
        <v>2407</v>
      </c>
      <c r="B442" s="17">
        <v>45577.0</v>
      </c>
      <c r="C442" s="6" t="s">
        <v>761</v>
      </c>
      <c r="D442" s="6" t="s">
        <v>1773</v>
      </c>
      <c r="E442" s="6" t="s">
        <v>1901</v>
      </c>
      <c r="F442" s="6">
        <v>4.0</v>
      </c>
      <c r="G442" s="13">
        <v>111.66</v>
      </c>
      <c r="H442" s="6">
        <v>0.14</v>
      </c>
      <c r="I442" s="6" t="s">
        <v>1965</v>
      </c>
      <c r="J442" s="13">
        <v>384.1104</v>
      </c>
      <c r="K442" s="6" t="str">
        <f t="shared" si="1"/>
        <v>Low Earnings</v>
      </c>
    </row>
    <row r="443" ht="14.25" customHeight="1">
      <c r="A443" s="6" t="s">
        <v>2408</v>
      </c>
      <c r="B443" s="17">
        <v>45343.0</v>
      </c>
      <c r="C443" s="6" t="s">
        <v>899</v>
      </c>
      <c r="D443" s="6" t="s">
        <v>1858</v>
      </c>
      <c r="E443" s="6" t="s">
        <v>1932</v>
      </c>
      <c r="F443" s="6">
        <v>1.0</v>
      </c>
      <c r="G443" s="13">
        <v>413.65</v>
      </c>
      <c r="H443" s="6">
        <v>0.1</v>
      </c>
      <c r="I443" s="6" t="s">
        <v>1973</v>
      </c>
      <c r="J443" s="13">
        <v>372.285</v>
      </c>
      <c r="K443" s="6" t="str">
        <f t="shared" si="1"/>
        <v>Low Earnings</v>
      </c>
    </row>
    <row r="444" ht="14.25" customHeight="1">
      <c r="A444" s="6" t="s">
        <v>2409</v>
      </c>
      <c r="B444" s="17">
        <v>45744.0</v>
      </c>
      <c r="C444" s="6" t="s">
        <v>1480</v>
      </c>
      <c r="D444" s="6" t="s">
        <v>1855</v>
      </c>
      <c r="E444" s="6" t="s">
        <v>1926</v>
      </c>
      <c r="F444" s="6">
        <v>1.0</v>
      </c>
      <c r="G444" s="13">
        <v>317.15</v>
      </c>
      <c r="H444" s="6">
        <v>0.24</v>
      </c>
      <c r="I444" s="6" t="s">
        <v>1973</v>
      </c>
      <c r="J444" s="13">
        <v>241.034</v>
      </c>
      <c r="K444" s="6" t="str">
        <f t="shared" si="1"/>
        <v>Low Earnings</v>
      </c>
    </row>
    <row r="445" ht="14.25" customHeight="1">
      <c r="A445" s="6" t="s">
        <v>2410</v>
      </c>
      <c r="B445" s="17">
        <v>45873.0</v>
      </c>
      <c r="C445" s="6" t="s">
        <v>1140</v>
      </c>
      <c r="D445" s="6" t="s">
        <v>1852</v>
      </c>
      <c r="E445" s="6" t="s">
        <v>1897</v>
      </c>
      <c r="F445" s="6">
        <v>3.0</v>
      </c>
      <c r="G445" s="13">
        <v>642.94</v>
      </c>
      <c r="H445" s="6">
        <v>0.05</v>
      </c>
      <c r="I445" s="6" t="s">
        <v>1973</v>
      </c>
      <c r="J445" s="13">
        <v>1832.379</v>
      </c>
      <c r="K445" s="6" t="str">
        <f t="shared" si="1"/>
        <v>Average Earnings</v>
      </c>
    </row>
    <row r="446" ht="14.25" customHeight="1">
      <c r="A446" s="6" t="s">
        <v>2411</v>
      </c>
      <c r="B446" s="17">
        <v>45601.0</v>
      </c>
      <c r="C446" s="6" t="s">
        <v>466</v>
      </c>
      <c r="D446" s="6" t="s">
        <v>1758</v>
      </c>
      <c r="E446" s="6" t="s">
        <v>1929</v>
      </c>
      <c r="F446" s="6">
        <v>4.0</v>
      </c>
      <c r="G446" s="13">
        <v>559.59</v>
      </c>
      <c r="H446" s="6">
        <v>0.19</v>
      </c>
      <c r="I446" s="6" t="s">
        <v>1973</v>
      </c>
      <c r="J446" s="13">
        <v>1813.0716</v>
      </c>
      <c r="K446" s="6" t="str">
        <f t="shared" si="1"/>
        <v>Average Earnings</v>
      </c>
    </row>
    <row r="447" ht="14.25" customHeight="1">
      <c r="A447" s="6" t="s">
        <v>2412</v>
      </c>
      <c r="B447" s="17">
        <v>45458.0</v>
      </c>
      <c r="C447" s="6" t="s">
        <v>407</v>
      </c>
      <c r="D447" s="6" t="s">
        <v>1669</v>
      </c>
      <c r="E447" s="6" t="s">
        <v>1950</v>
      </c>
      <c r="F447" s="6">
        <v>1.0</v>
      </c>
      <c r="G447" s="13">
        <v>758.54</v>
      </c>
      <c r="H447" s="6">
        <v>0.29</v>
      </c>
      <c r="I447" s="6" t="s">
        <v>1967</v>
      </c>
      <c r="J447" s="13">
        <v>538.5634</v>
      </c>
      <c r="K447" s="6" t="str">
        <f t="shared" si="1"/>
        <v>Low Earnings</v>
      </c>
    </row>
    <row r="448" ht="14.25" customHeight="1">
      <c r="A448" s="6" t="s">
        <v>2413</v>
      </c>
      <c r="B448" s="17">
        <v>45829.0</v>
      </c>
      <c r="C448" s="6" t="s">
        <v>1107</v>
      </c>
      <c r="D448" s="6" t="s">
        <v>1653</v>
      </c>
      <c r="E448" s="6" t="s">
        <v>1941</v>
      </c>
      <c r="F448" s="6">
        <v>4.0</v>
      </c>
      <c r="G448" s="13">
        <v>403.47</v>
      </c>
      <c r="H448" s="6">
        <v>0.29</v>
      </c>
      <c r="I448" s="6" t="s">
        <v>1967</v>
      </c>
      <c r="J448" s="13">
        <v>1145.8548</v>
      </c>
      <c r="K448" s="6" t="str">
        <f t="shared" si="1"/>
        <v>Average Earnings</v>
      </c>
    </row>
    <row r="449" ht="14.25" customHeight="1">
      <c r="A449" s="6" t="s">
        <v>2414</v>
      </c>
      <c r="B449" s="17">
        <v>45255.0</v>
      </c>
      <c r="C449" s="6" t="s">
        <v>579</v>
      </c>
      <c r="D449" s="6" t="s">
        <v>1858</v>
      </c>
      <c r="E449" s="6" t="s">
        <v>1913</v>
      </c>
      <c r="F449" s="6">
        <v>2.0</v>
      </c>
      <c r="G449" s="13">
        <v>478.85</v>
      </c>
      <c r="H449" s="6">
        <v>0.01</v>
      </c>
      <c r="I449" s="6" t="s">
        <v>1973</v>
      </c>
      <c r="J449" s="13">
        <v>948.123</v>
      </c>
      <c r="K449" s="6" t="str">
        <f t="shared" si="1"/>
        <v>Low Earnings</v>
      </c>
    </row>
    <row r="450" ht="14.25" customHeight="1">
      <c r="A450" s="6" t="s">
        <v>2415</v>
      </c>
      <c r="B450" s="17">
        <v>45649.0</v>
      </c>
      <c r="C450" s="6" t="s">
        <v>1441</v>
      </c>
      <c r="D450" s="6" t="s">
        <v>1828</v>
      </c>
      <c r="E450" s="6" t="s">
        <v>1941</v>
      </c>
      <c r="F450" s="6">
        <v>4.0</v>
      </c>
      <c r="G450" s="13">
        <v>643.96</v>
      </c>
      <c r="H450" s="6">
        <v>0.16</v>
      </c>
      <c r="I450" s="6" t="s">
        <v>1967</v>
      </c>
      <c r="J450" s="13">
        <v>2163.7056</v>
      </c>
      <c r="K450" s="6" t="str">
        <f t="shared" si="1"/>
        <v>Average Earnings</v>
      </c>
    </row>
    <row r="451" ht="14.25" customHeight="1">
      <c r="A451" s="6" t="s">
        <v>2416</v>
      </c>
      <c r="B451" s="17">
        <v>45653.0</v>
      </c>
      <c r="C451" s="6" t="s">
        <v>794</v>
      </c>
      <c r="D451" s="6" t="s">
        <v>1653</v>
      </c>
      <c r="E451" s="6" t="s">
        <v>1926</v>
      </c>
      <c r="F451" s="6">
        <v>1.0</v>
      </c>
      <c r="G451" s="13">
        <v>882.73</v>
      </c>
      <c r="H451" s="6">
        <v>0.1</v>
      </c>
      <c r="I451" s="6" t="s">
        <v>1965</v>
      </c>
      <c r="J451" s="13">
        <v>794.457</v>
      </c>
      <c r="K451" s="6" t="str">
        <f t="shared" si="1"/>
        <v>Low Earnings</v>
      </c>
    </row>
    <row r="452" ht="14.25" customHeight="1">
      <c r="A452" s="6" t="s">
        <v>2417</v>
      </c>
      <c r="B452" s="17">
        <v>45378.0</v>
      </c>
      <c r="C452" s="6" t="s">
        <v>1038</v>
      </c>
      <c r="D452" s="6" t="s">
        <v>1861</v>
      </c>
      <c r="E452" s="6" t="s">
        <v>1953</v>
      </c>
      <c r="F452" s="6">
        <v>2.0</v>
      </c>
      <c r="G452" s="13">
        <v>600.03</v>
      </c>
      <c r="H452" s="6">
        <v>0.26</v>
      </c>
      <c r="I452" s="6" t="s">
        <v>1967</v>
      </c>
      <c r="J452" s="13">
        <v>888.0444</v>
      </c>
      <c r="K452" s="6" t="str">
        <f t="shared" si="1"/>
        <v>Low Earnings</v>
      </c>
    </row>
    <row r="453" ht="14.25" customHeight="1">
      <c r="A453" s="6" t="s">
        <v>2418</v>
      </c>
      <c r="B453" s="17">
        <v>45638.0</v>
      </c>
      <c r="C453" s="6" t="s">
        <v>537</v>
      </c>
      <c r="D453" s="6" t="s">
        <v>1749</v>
      </c>
      <c r="E453" s="6" t="s">
        <v>1913</v>
      </c>
      <c r="F453" s="6">
        <v>2.0</v>
      </c>
      <c r="G453" s="13">
        <v>628.83</v>
      </c>
      <c r="H453" s="6">
        <v>0.07</v>
      </c>
      <c r="I453" s="6" t="s">
        <v>1967</v>
      </c>
      <c r="J453" s="13">
        <v>1169.6238</v>
      </c>
      <c r="K453" s="6" t="str">
        <f t="shared" si="1"/>
        <v>Average Earnings</v>
      </c>
    </row>
    <row r="454" ht="14.25" customHeight="1">
      <c r="A454" s="6" t="s">
        <v>2419</v>
      </c>
      <c r="B454" s="17">
        <v>45277.0</v>
      </c>
      <c r="C454" s="6" t="s">
        <v>591</v>
      </c>
      <c r="D454" s="6" t="s">
        <v>1831</v>
      </c>
      <c r="E454" s="6" t="s">
        <v>1926</v>
      </c>
      <c r="F454" s="6">
        <v>3.0</v>
      </c>
      <c r="G454" s="13">
        <v>113.87</v>
      </c>
      <c r="H454" s="6">
        <v>0.21</v>
      </c>
      <c r="I454" s="6" t="s">
        <v>1973</v>
      </c>
      <c r="J454" s="13">
        <v>269.8719</v>
      </c>
      <c r="K454" s="6" t="str">
        <f t="shared" si="1"/>
        <v>Low Earnings</v>
      </c>
    </row>
    <row r="455" ht="14.25" customHeight="1">
      <c r="A455" s="6" t="s">
        <v>2420</v>
      </c>
      <c r="B455" s="17">
        <v>45351.0</v>
      </c>
      <c r="C455" s="6" t="s">
        <v>1314</v>
      </c>
      <c r="D455" s="6" t="s">
        <v>1804</v>
      </c>
      <c r="E455" s="6" t="s">
        <v>1919</v>
      </c>
      <c r="F455" s="6">
        <v>4.0</v>
      </c>
      <c r="G455" s="13">
        <v>282.07</v>
      </c>
      <c r="H455" s="6">
        <v>0.18</v>
      </c>
      <c r="I455" s="6" t="s">
        <v>1967</v>
      </c>
      <c r="J455" s="13">
        <v>925.1896</v>
      </c>
      <c r="K455" s="6" t="str">
        <f t="shared" si="1"/>
        <v>Low Earnings</v>
      </c>
    </row>
    <row r="456" ht="14.25" customHeight="1">
      <c r="A456" s="6" t="s">
        <v>2421</v>
      </c>
      <c r="B456" s="17">
        <v>45290.0</v>
      </c>
      <c r="C456" s="6" t="s">
        <v>534</v>
      </c>
      <c r="D456" s="6" t="s">
        <v>1749</v>
      </c>
      <c r="E456" s="6" t="s">
        <v>1916</v>
      </c>
      <c r="F456" s="6">
        <v>3.0</v>
      </c>
      <c r="G456" s="13">
        <v>676.77</v>
      </c>
      <c r="H456" s="6">
        <v>0.17</v>
      </c>
      <c r="I456" s="6" t="s">
        <v>1967</v>
      </c>
      <c r="J456" s="13">
        <v>1685.1573</v>
      </c>
      <c r="K456" s="6" t="str">
        <f t="shared" si="1"/>
        <v>Average Earnings</v>
      </c>
    </row>
    <row r="457" ht="14.25" customHeight="1">
      <c r="A457" s="6" t="s">
        <v>2422</v>
      </c>
      <c r="B457" s="17">
        <v>45638.0</v>
      </c>
      <c r="C457" s="6" t="s">
        <v>726</v>
      </c>
      <c r="D457" s="6" t="s">
        <v>1590</v>
      </c>
      <c r="E457" s="6" t="s">
        <v>1944</v>
      </c>
      <c r="F457" s="6">
        <v>2.0</v>
      </c>
      <c r="G457" s="13">
        <v>362.7</v>
      </c>
      <c r="H457" s="6">
        <v>0.09</v>
      </c>
      <c r="I457" s="6" t="s">
        <v>1965</v>
      </c>
      <c r="J457" s="13">
        <v>660.114</v>
      </c>
      <c r="K457" s="6" t="str">
        <f t="shared" si="1"/>
        <v>Low Earnings</v>
      </c>
    </row>
    <row r="458" ht="14.25" customHeight="1">
      <c r="A458" s="6" t="s">
        <v>2423</v>
      </c>
      <c r="B458" s="17">
        <v>45679.0</v>
      </c>
      <c r="C458" s="6" t="s">
        <v>472</v>
      </c>
      <c r="D458" s="6" t="s">
        <v>1615</v>
      </c>
      <c r="E458" s="6" t="s">
        <v>1901</v>
      </c>
      <c r="F458" s="6">
        <v>1.0</v>
      </c>
      <c r="G458" s="13">
        <v>908.5</v>
      </c>
      <c r="H458" s="6">
        <v>0.2</v>
      </c>
      <c r="I458" s="6" t="s">
        <v>1973</v>
      </c>
      <c r="J458" s="13">
        <v>726.8000000000001</v>
      </c>
      <c r="K458" s="6" t="str">
        <f t="shared" si="1"/>
        <v>Low Earnings</v>
      </c>
    </row>
    <row r="459" ht="14.25" customHeight="1">
      <c r="A459" s="6" t="s">
        <v>2424</v>
      </c>
      <c r="B459" s="17">
        <v>45296.0</v>
      </c>
      <c r="C459" s="6" t="s">
        <v>255</v>
      </c>
      <c r="D459" s="6" t="s">
        <v>1657</v>
      </c>
      <c r="E459" s="6" t="s">
        <v>1941</v>
      </c>
      <c r="F459" s="6">
        <v>2.0</v>
      </c>
      <c r="G459" s="13">
        <v>795.37</v>
      </c>
      <c r="H459" s="6">
        <v>0.2</v>
      </c>
      <c r="I459" s="6" t="s">
        <v>1973</v>
      </c>
      <c r="J459" s="13">
        <v>1272.592</v>
      </c>
      <c r="K459" s="6" t="str">
        <f t="shared" si="1"/>
        <v>Average Earnings</v>
      </c>
    </row>
    <row r="460" ht="14.25" customHeight="1">
      <c r="A460" s="6" t="s">
        <v>2425</v>
      </c>
      <c r="B460" s="17">
        <v>45718.0</v>
      </c>
      <c r="C460" s="6" t="s">
        <v>404</v>
      </c>
      <c r="D460" s="6" t="s">
        <v>1726</v>
      </c>
      <c r="E460" s="6" t="s">
        <v>1892</v>
      </c>
      <c r="F460" s="6">
        <v>1.0</v>
      </c>
      <c r="G460" s="13">
        <v>503.95</v>
      </c>
      <c r="H460" s="6">
        <v>0.26</v>
      </c>
      <c r="I460" s="6" t="s">
        <v>1973</v>
      </c>
      <c r="J460" s="13">
        <v>372.923</v>
      </c>
      <c r="K460" s="6" t="str">
        <f t="shared" si="1"/>
        <v>Low Earnings</v>
      </c>
    </row>
    <row r="461" ht="14.25" customHeight="1">
      <c r="A461" s="6" t="s">
        <v>2426</v>
      </c>
      <c r="B461" s="17">
        <v>45760.0</v>
      </c>
      <c r="C461" s="6" t="s">
        <v>498</v>
      </c>
      <c r="D461" s="6" t="s">
        <v>1688</v>
      </c>
      <c r="E461" s="6" t="s">
        <v>1909</v>
      </c>
      <c r="F461" s="6">
        <v>2.0</v>
      </c>
      <c r="G461" s="13">
        <v>326.85</v>
      </c>
      <c r="H461" s="6">
        <v>0.17</v>
      </c>
      <c r="I461" s="6" t="s">
        <v>1973</v>
      </c>
      <c r="J461" s="13">
        <v>542.571</v>
      </c>
      <c r="K461" s="6" t="str">
        <f t="shared" si="1"/>
        <v>Low Earnings</v>
      </c>
    </row>
    <row r="462" ht="14.25" customHeight="1">
      <c r="A462" s="6" t="s">
        <v>2427</v>
      </c>
      <c r="B462" s="17">
        <v>45603.0</v>
      </c>
      <c r="C462" s="6" t="s">
        <v>1113</v>
      </c>
      <c r="D462" s="6" t="s">
        <v>1755</v>
      </c>
      <c r="E462" s="6" t="s">
        <v>1939</v>
      </c>
      <c r="F462" s="6">
        <v>3.0</v>
      </c>
      <c r="G462" s="13">
        <v>169.43</v>
      </c>
      <c r="H462" s="6">
        <v>0.19</v>
      </c>
      <c r="I462" s="6" t="s">
        <v>1965</v>
      </c>
      <c r="J462" s="13">
        <v>411.7149000000001</v>
      </c>
      <c r="K462" s="6" t="str">
        <f t="shared" si="1"/>
        <v>Low Earnings</v>
      </c>
    </row>
    <row r="463" ht="14.25" customHeight="1">
      <c r="A463" s="6" t="s">
        <v>2428</v>
      </c>
      <c r="B463" s="17">
        <v>45413.0</v>
      </c>
      <c r="C463" s="6" t="s">
        <v>555</v>
      </c>
      <c r="D463" s="6" t="s">
        <v>1837</v>
      </c>
      <c r="E463" s="6" t="s">
        <v>1916</v>
      </c>
      <c r="F463" s="6">
        <v>1.0</v>
      </c>
      <c r="G463" s="13">
        <v>254.47</v>
      </c>
      <c r="H463" s="6">
        <v>0.1</v>
      </c>
      <c r="I463" s="6" t="s">
        <v>1965</v>
      </c>
      <c r="J463" s="13">
        <v>229.023</v>
      </c>
      <c r="K463" s="6" t="str">
        <f t="shared" si="1"/>
        <v>Low Earnings</v>
      </c>
    </row>
    <row r="464" ht="14.25" customHeight="1">
      <c r="A464" s="6" t="s">
        <v>2429</v>
      </c>
      <c r="B464" s="17">
        <v>45506.0</v>
      </c>
      <c r="C464" s="6" t="s">
        <v>1314</v>
      </c>
      <c r="D464" s="6" t="s">
        <v>1657</v>
      </c>
      <c r="E464" s="6" t="s">
        <v>1944</v>
      </c>
      <c r="F464" s="6">
        <v>4.0</v>
      </c>
      <c r="G464" s="13">
        <v>627.73</v>
      </c>
      <c r="H464" s="6">
        <v>0.11</v>
      </c>
      <c r="I464" s="6" t="s">
        <v>1973</v>
      </c>
      <c r="J464" s="13">
        <v>2234.7188</v>
      </c>
      <c r="K464" s="6" t="str">
        <f t="shared" si="1"/>
        <v>Average Earnings</v>
      </c>
    </row>
    <row r="465" ht="14.25" customHeight="1">
      <c r="A465" s="6" t="s">
        <v>2430</v>
      </c>
      <c r="B465" s="17">
        <v>45394.0</v>
      </c>
      <c r="C465" s="6" t="s">
        <v>1176</v>
      </c>
      <c r="D465" s="6" t="s">
        <v>1675</v>
      </c>
      <c r="E465" s="6" t="s">
        <v>1953</v>
      </c>
      <c r="F465" s="6">
        <v>4.0</v>
      </c>
      <c r="G465" s="13">
        <v>327.25</v>
      </c>
      <c r="H465" s="6">
        <v>0.13</v>
      </c>
      <c r="I465" s="6" t="s">
        <v>1973</v>
      </c>
      <c r="J465" s="13">
        <v>1138.83</v>
      </c>
      <c r="K465" s="6" t="str">
        <f t="shared" si="1"/>
        <v>Average Earnings</v>
      </c>
    </row>
    <row r="466" ht="14.25" customHeight="1">
      <c r="A466" s="6" t="s">
        <v>2431</v>
      </c>
      <c r="B466" s="17">
        <v>45755.0</v>
      </c>
      <c r="C466" s="6" t="s">
        <v>501</v>
      </c>
      <c r="D466" s="6" t="s">
        <v>1764</v>
      </c>
      <c r="E466" s="6" t="s">
        <v>1932</v>
      </c>
      <c r="F466" s="6">
        <v>4.0</v>
      </c>
      <c r="G466" s="13">
        <v>511.43</v>
      </c>
      <c r="H466" s="6">
        <v>0.18</v>
      </c>
      <c r="I466" s="6" t="s">
        <v>1973</v>
      </c>
      <c r="J466" s="13">
        <v>1677.4904</v>
      </c>
      <c r="K466" s="6" t="str">
        <f t="shared" si="1"/>
        <v>Average Earnings</v>
      </c>
    </row>
    <row r="467" ht="14.25" customHeight="1">
      <c r="A467" s="6" t="s">
        <v>2432</v>
      </c>
      <c r="B467" s="17">
        <v>45473.0</v>
      </c>
      <c r="C467" s="6" t="s">
        <v>561</v>
      </c>
      <c r="D467" s="6" t="s">
        <v>1776</v>
      </c>
      <c r="E467" s="6" t="s">
        <v>1947</v>
      </c>
      <c r="F467" s="6">
        <v>4.0</v>
      </c>
      <c r="G467" s="13">
        <v>194.67</v>
      </c>
      <c r="H467" s="6">
        <v>0.23</v>
      </c>
      <c r="I467" s="6" t="s">
        <v>1967</v>
      </c>
      <c r="J467" s="13">
        <v>599.5835999999999</v>
      </c>
      <c r="K467" s="6" t="str">
        <f t="shared" si="1"/>
        <v>Low Earnings</v>
      </c>
    </row>
    <row r="468" ht="14.25" customHeight="1">
      <c r="A468" s="6" t="s">
        <v>2433</v>
      </c>
      <c r="B468" s="17">
        <v>45304.0</v>
      </c>
      <c r="C468" s="6" t="s">
        <v>229</v>
      </c>
      <c r="D468" s="6" t="s">
        <v>1650</v>
      </c>
      <c r="E468" s="6" t="s">
        <v>1897</v>
      </c>
      <c r="F468" s="6">
        <v>2.0</v>
      </c>
      <c r="G468" s="13">
        <v>54.51</v>
      </c>
      <c r="H468" s="6">
        <v>0.07</v>
      </c>
      <c r="I468" s="6" t="s">
        <v>1965</v>
      </c>
      <c r="J468" s="13">
        <v>101.3886</v>
      </c>
      <c r="K468" s="6" t="str">
        <f t="shared" si="1"/>
        <v>Low Earnings</v>
      </c>
    </row>
    <row r="469" ht="14.25" customHeight="1">
      <c r="A469" s="6" t="s">
        <v>2434</v>
      </c>
      <c r="B469" s="17">
        <v>45557.0</v>
      </c>
      <c r="C469" s="6" t="s">
        <v>286</v>
      </c>
      <c r="D469" s="6" t="s">
        <v>1773</v>
      </c>
      <c r="E469" s="6" t="s">
        <v>1932</v>
      </c>
      <c r="F469" s="6">
        <v>4.0</v>
      </c>
      <c r="G469" s="13">
        <v>964.0</v>
      </c>
      <c r="H469" s="6">
        <v>0.14</v>
      </c>
      <c r="I469" s="6" t="s">
        <v>1967</v>
      </c>
      <c r="J469" s="13">
        <v>3316.16</v>
      </c>
      <c r="K469" s="6" t="str">
        <f t="shared" si="1"/>
        <v>High Earnings</v>
      </c>
    </row>
    <row r="470" ht="14.25" customHeight="1">
      <c r="A470" s="6" t="s">
        <v>2435</v>
      </c>
      <c r="B470" s="17">
        <v>45527.0</v>
      </c>
      <c r="C470" s="6" t="s">
        <v>165</v>
      </c>
      <c r="D470" s="6" t="s">
        <v>1855</v>
      </c>
      <c r="E470" s="6" t="s">
        <v>1909</v>
      </c>
      <c r="F470" s="6">
        <v>1.0</v>
      </c>
      <c r="G470" s="13">
        <v>170.12</v>
      </c>
      <c r="H470" s="6">
        <v>0.26</v>
      </c>
      <c r="I470" s="6" t="s">
        <v>1967</v>
      </c>
      <c r="J470" s="13">
        <v>125.8888</v>
      </c>
      <c r="K470" s="6" t="str">
        <f t="shared" si="1"/>
        <v>Low Earnings</v>
      </c>
    </row>
    <row r="471" ht="14.25" customHeight="1">
      <c r="A471" s="6" t="s">
        <v>2436</v>
      </c>
      <c r="B471" s="17">
        <v>45573.0</v>
      </c>
      <c r="C471" s="6" t="s">
        <v>1259</v>
      </c>
      <c r="D471" s="6" t="s">
        <v>1785</v>
      </c>
      <c r="E471" s="6" t="s">
        <v>1934</v>
      </c>
      <c r="F471" s="6">
        <v>2.0</v>
      </c>
      <c r="G471" s="13">
        <v>975.48</v>
      </c>
      <c r="H471" s="6">
        <v>0.26</v>
      </c>
      <c r="I471" s="6" t="s">
        <v>1973</v>
      </c>
      <c r="J471" s="13">
        <v>1443.7104</v>
      </c>
      <c r="K471" s="6" t="str">
        <f t="shared" si="1"/>
        <v>Average Earnings</v>
      </c>
    </row>
    <row r="472" ht="14.25" customHeight="1">
      <c r="A472" s="6" t="s">
        <v>2437</v>
      </c>
      <c r="B472" s="17">
        <v>45875.0</v>
      </c>
      <c r="C472" s="6" t="s">
        <v>522</v>
      </c>
      <c r="D472" s="6" t="s">
        <v>1746</v>
      </c>
      <c r="E472" s="6" t="s">
        <v>1953</v>
      </c>
      <c r="F472" s="6">
        <v>2.0</v>
      </c>
      <c r="G472" s="13">
        <v>664.5</v>
      </c>
      <c r="H472" s="6">
        <v>0.23</v>
      </c>
      <c r="I472" s="6" t="s">
        <v>1965</v>
      </c>
      <c r="J472" s="13">
        <v>1023.33</v>
      </c>
      <c r="K472" s="6" t="str">
        <f t="shared" si="1"/>
        <v>Average Earnings</v>
      </c>
    </row>
    <row r="473" ht="14.25" customHeight="1">
      <c r="A473" s="6" t="s">
        <v>2438</v>
      </c>
      <c r="B473" s="17">
        <v>45936.0</v>
      </c>
      <c r="C473" s="6" t="s">
        <v>1176</v>
      </c>
      <c r="D473" s="6" t="s">
        <v>1720</v>
      </c>
      <c r="E473" s="6" t="s">
        <v>1929</v>
      </c>
      <c r="F473" s="6">
        <v>4.0</v>
      </c>
      <c r="G473" s="13">
        <v>557.51</v>
      </c>
      <c r="H473" s="6">
        <v>0.11</v>
      </c>
      <c r="I473" s="6" t="s">
        <v>1965</v>
      </c>
      <c r="J473" s="13">
        <v>1984.7356</v>
      </c>
      <c r="K473" s="6" t="str">
        <f t="shared" si="1"/>
        <v>Average Earnings</v>
      </c>
    </row>
    <row r="474" ht="14.25" customHeight="1">
      <c r="A474" s="6" t="s">
        <v>2439</v>
      </c>
      <c r="B474" s="17">
        <v>45807.0</v>
      </c>
      <c r="C474" s="6" t="s">
        <v>1254</v>
      </c>
      <c r="D474" s="6" t="s">
        <v>1858</v>
      </c>
      <c r="E474" s="6" t="s">
        <v>1897</v>
      </c>
      <c r="F474" s="6">
        <v>2.0</v>
      </c>
      <c r="G474" s="13">
        <v>410.0</v>
      </c>
      <c r="H474" s="6">
        <v>0.13</v>
      </c>
      <c r="I474" s="6" t="s">
        <v>1973</v>
      </c>
      <c r="J474" s="13">
        <v>713.4</v>
      </c>
      <c r="K474" s="6" t="str">
        <f t="shared" si="1"/>
        <v>Low Earnings</v>
      </c>
    </row>
    <row r="475" ht="14.25" customHeight="1">
      <c r="A475" s="6" t="s">
        <v>2440</v>
      </c>
      <c r="B475" s="17">
        <v>45473.0</v>
      </c>
      <c r="C475" s="6" t="s">
        <v>981</v>
      </c>
      <c r="D475" s="6" t="s">
        <v>1837</v>
      </c>
      <c r="E475" s="6" t="s">
        <v>1913</v>
      </c>
      <c r="F475" s="6">
        <v>2.0</v>
      </c>
      <c r="G475" s="13">
        <v>879.93</v>
      </c>
      <c r="H475" s="6">
        <v>0.29</v>
      </c>
      <c r="I475" s="6" t="s">
        <v>1973</v>
      </c>
      <c r="J475" s="13">
        <v>1249.5006</v>
      </c>
      <c r="K475" s="6" t="str">
        <f t="shared" si="1"/>
        <v>Average Earnings</v>
      </c>
    </row>
    <row r="476" ht="14.25" customHeight="1">
      <c r="A476" s="6" t="s">
        <v>2441</v>
      </c>
      <c r="B476" s="17">
        <v>45664.0</v>
      </c>
      <c r="C476" s="6" t="s">
        <v>47</v>
      </c>
      <c r="D476" s="6" t="s">
        <v>1615</v>
      </c>
      <c r="E476" s="6" t="s">
        <v>1950</v>
      </c>
      <c r="F476" s="6">
        <v>1.0</v>
      </c>
      <c r="G476" s="13">
        <v>350.58</v>
      </c>
      <c r="H476" s="6">
        <v>0.03</v>
      </c>
      <c r="I476" s="6" t="s">
        <v>1973</v>
      </c>
      <c r="J476" s="13">
        <v>340.0626</v>
      </c>
      <c r="K476" s="6" t="str">
        <f t="shared" si="1"/>
        <v>Low Earnings</v>
      </c>
    </row>
    <row r="477" ht="14.25" customHeight="1">
      <c r="A477" s="6" t="s">
        <v>2442</v>
      </c>
      <c r="B477" s="17">
        <v>45633.0</v>
      </c>
      <c r="C477" s="6" t="s">
        <v>1113</v>
      </c>
      <c r="D477" s="6" t="s">
        <v>1761</v>
      </c>
      <c r="E477" s="6" t="s">
        <v>1906</v>
      </c>
      <c r="F477" s="6">
        <v>4.0</v>
      </c>
      <c r="G477" s="13">
        <v>348.58</v>
      </c>
      <c r="H477" s="6">
        <v>0.16</v>
      </c>
      <c r="I477" s="6" t="s">
        <v>1965</v>
      </c>
      <c r="J477" s="13">
        <v>1171.2288</v>
      </c>
      <c r="K477" s="6" t="str">
        <f t="shared" si="1"/>
        <v>Average Earnings</v>
      </c>
    </row>
    <row r="478" ht="14.25" customHeight="1">
      <c r="A478" s="6" t="s">
        <v>2443</v>
      </c>
      <c r="B478" s="17">
        <v>45548.0</v>
      </c>
      <c r="C478" s="6" t="s">
        <v>1433</v>
      </c>
      <c r="D478" s="6" t="s">
        <v>1657</v>
      </c>
      <c r="E478" s="6" t="s">
        <v>1906</v>
      </c>
      <c r="F478" s="6">
        <v>3.0</v>
      </c>
      <c r="G478" s="13">
        <v>247.66</v>
      </c>
      <c r="H478" s="6">
        <v>0.02</v>
      </c>
      <c r="I478" s="6" t="s">
        <v>1973</v>
      </c>
      <c r="J478" s="13">
        <v>728.1204</v>
      </c>
      <c r="K478" s="6" t="str">
        <f t="shared" si="1"/>
        <v>Low Earnings</v>
      </c>
    </row>
    <row r="479" ht="14.25" customHeight="1">
      <c r="A479" s="6" t="s">
        <v>2444</v>
      </c>
      <c r="B479" s="17">
        <v>45244.0</v>
      </c>
      <c r="C479" s="6" t="s">
        <v>1227</v>
      </c>
      <c r="D479" s="6" t="s">
        <v>1701</v>
      </c>
      <c r="E479" s="6" t="s">
        <v>1941</v>
      </c>
      <c r="F479" s="6">
        <v>3.0</v>
      </c>
      <c r="G479" s="13">
        <v>836.27</v>
      </c>
      <c r="H479" s="6">
        <v>0.16</v>
      </c>
      <c r="I479" s="6" t="s">
        <v>1965</v>
      </c>
      <c r="J479" s="13">
        <v>2107.4004</v>
      </c>
      <c r="K479" s="6" t="str">
        <f t="shared" si="1"/>
        <v>Average Earnings</v>
      </c>
    </row>
    <row r="480" ht="14.25" customHeight="1">
      <c r="A480" s="6" t="s">
        <v>2445</v>
      </c>
      <c r="B480" s="17">
        <v>45753.0</v>
      </c>
      <c r="C480" s="6" t="s">
        <v>652</v>
      </c>
      <c r="D480" s="6" t="s">
        <v>1618</v>
      </c>
      <c r="E480" s="6" t="s">
        <v>1929</v>
      </c>
      <c r="F480" s="6">
        <v>3.0</v>
      </c>
      <c r="G480" s="13">
        <v>696.74</v>
      </c>
      <c r="H480" s="6">
        <v>0.13</v>
      </c>
      <c r="I480" s="6" t="s">
        <v>1973</v>
      </c>
      <c r="J480" s="13">
        <v>1818.4914</v>
      </c>
      <c r="K480" s="6" t="str">
        <f t="shared" si="1"/>
        <v>Average Earnings</v>
      </c>
    </row>
    <row r="481" ht="14.25" customHeight="1">
      <c r="A481" s="6" t="s">
        <v>2446</v>
      </c>
      <c r="B481" s="17">
        <v>45804.0</v>
      </c>
      <c r="C481" s="6" t="s">
        <v>800</v>
      </c>
      <c r="D481" s="6" t="s">
        <v>1870</v>
      </c>
      <c r="E481" s="6" t="s">
        <v>1937</v>
      </c>
      <c r="F481" s="6">
        <v>2.0</v>
      </c>
      <c r="G481" s="13">
        <v>822.59</v>
      </c>
      <c r="H481" s="6">
        <v>0.22</v>
      </c>
      <c r="I481" s="6" t="s">
        <v>1967</v>
      </c>
      <c r="J481" s="13">
        <v>1283.2404</v>
      </c>
      <c r="K481" s="6" t="str">
        <f t="shared" si="1"/>
        <v>Average Earnings</v>
      </c>
    </row>
    <row r="482" ht="14.25" customHeight="1">
      <c r="A482" s="6" t="s">
        <v>2447</v>
      </c>
      <c r="B482" s="17">
        <v>45884.0</v>
      </c>
      <c r="C482" s="6" t="s">
        <v>1265</v>
      </c>
      <c r="D482" s="6" t="s">
        <v>1685</v>
      </c>
      <c r="E482" s="6" t="s">
        <v>1944</v>
      </c>
      <c r="F482" s="6">
        <v>4.0</v>
      </c>
      <c r="G482" s="13">
        <v>450.12</v>
      </c>
      <c r="H482" s="6">
        <v>0.29</v>
      </c>
      <c r="I482" s="6" t="s">
        <v>1973</v>
      </c>
      <c r="J482" s="13">
        <v>1278.3408</v>
      </c>
      <c r="K482" s="6" t="str">
        <f t="shared" si="1"/>
        <v>Average Earnings</v>
      </c>
    </row>
    <row r="483" ht="14.25" customHeight="1">
      <c r="A483" s="6" t="s">
        <v>2448</v>
      </c>
      <c r="B483" s="17">
        <v>45263.0</v>
      </c>
      <c r="C483" s="6" t="s">
        <v>733</v>
      </c>
      <c r="D483" s="6" t="s">
        <v>1825</v>
      </c>
      <c r="E483" s="6" t="s">
        <v>1901</v>
      </c>
      <c r="F483" s="6">
        <v>1.0</v>
      </c>
      <c r="G483" s="13">
        <v>462.23</v>
      </c>
      <c r="H483" s="6">
        <v>0.3</v>
      </c>
      <c r="I483" s="6" t="s">
        <v>1967</v>
      </c>
      <c r="J483" s="13">
        <v>323.561</v>
      </c>
      <c r="K483" s="6" t="str">
        <f t="shared" si="1"/>
        <v>Low Earnings</v>
      </c>
    </row>
    <row r="484" ht="14.25" customHeight="1">
      <c r="A484" s="6" t="s">
        <v>2449</v>
      </c>
      <c r="B484" s="17">
        <v>45906.0</v>
      </c>
      <c r="C484" s="6" t="s">
        <v>1399</v>
      </c>
      <c r="D484" s="6" t="s">
        <v>1711</v>
      </c>
      <c r="E484" s="6" t="s">
        <v>1947</v>
      </c>
      <c r="F484" s="6">
        <v>1.0</v>
      </c>
      <c r="G484" s="13">
        <v>361.09</v>
      </c>
      <c r="H484" s="6">
        <v>0.06</v>
      </c>
      <c r="I484" s="6" t="s">
        <v>1967</v>
      </c>
      <c r="J484" s="13">
        <v>339.4245999999999</v>
      </c>
      <c r="K484" s="6" t="str">
        <f t="shared" si="1"/>
        <v>Low Earnings</v>
      </c>
    </row>
    <row r="485" ht="14.25" customHeight="1">
      <c r="A485" s="6" t="s">
        <v>2450</v>
      </c>
      <c r="B485" s="17">
        <v>45243.0</v>
      </c>
      <c r="C485" s="6" t="s">
        <v>1212</v>
      </c>
      <c r="D485" s="6" t="s">
        <v>1807</v>
      </c>
      <c r="E485" s="6" t="s">
        <v>1953</v>
      </c>
      <c r="F485" s="6">
        <v>3.0</v>
      </c>
      <c r="G485" s="13">
        <v>59.37</v>
      </c>
      <c r="H485" s="6">
        <v>0.03</v>
      </c>
      <c r="I485" s="6" t="s">
        <v>1967</v>
      </c>
      <c r="J485" s="13">
        <v>172.7667</v>
      </c>
      <c r="K485" s="6" t="str">
        <f t="shared" si="1"/>
        <v>Low Earnings</v>
      </c>
    </row>
    <row r="486" ht="14.25" customHeight="1">
      <c r="A486" s="6" t="s">
        <v>2451</v>
      </c>
      <c r="B486" s="17">
        <v>45686.0</v>
      </c>
      <c r="C486" s="6" t="s">
        <v>152</v>
      </c>
      <c r="D486" s="6" t="s">
        <v>1705</v>
      </c>
      <c r="E486" s="6" t="s">
        <v>1897</v>
      </c>
      <c r="F486" s="6">
        <v>3.0</v>
      </c>
      <c r="G486" s="13">
        <v>765.21</v>
      </c>
      <c r="H486" s="6">
        <v>0.14</v>
      </c>
      <c r="I486" s="6" t="s">
        <v>1973</v>
      </c>
      <c r="J486" s="13">
        <v>1974.2418</v>
      </c>
      <c r="K486" s="6" t="str">
        <f t="shared" si="1"/>
        <v>Average Earnings</v>
      </c>
    </row>
    <row r="487" ht="14.25" customHeight="1">
      <c r="A487" s="6" t="s">
        <v>2452</v>
      </c>
      <c r="B487" s="17">
        <v>45472.0</v>
      </c>
      <c r="C487" s="6" t="s">
        <v>794</v>
      </c>
      <c r="D487" s="6" t="s">
        <v>1679</v>
      </c>
      <c r="E487" s="6" t="s">
        <v>1934</v>
      </c>
      <c r="F487" s="6">
        <v>4.0</v>
      </c>
      <c r="G487" s="13">
        <v>303.56</v>
      </c>
      <c r="H487" s="6">
        <v>0.2</v>
      </c>
      <c r="I487" s="6" t="s">
        <v>1973</v>
      </c>
      <c r="J487" s="13">
        <v>971.392</v>
      </c>
      <c r="K487" s="6" t="str">
        <f t="shared" si="1"/>
        <v>Low Earnings</v>
      </c>
    </row>
    <row r="488" ht="14.25" customHeight="1">
      <c r="A488" s="6" t="s">
        <v>2453</v>
      </c>
      <c r="B488" s="17">
        <v>45779.0</v>
      </c>
      <c r="C488" s="6" t="s">
        <v>1387</v>
      </c>
      <c r="D488" s="6" t="s">
        <v>1663</v>
      </c>
      <c r="E488" s="6" t="s">
        <v>1892</v>
      </c>
      <c r="F488" s="6">
        <v>1.0</v>
      </c>
      <c r="G488" s="13">
        <v>640.93</v>
      </c>
      <c r="H488" s="6">
        <v>0.19</v>
      </c>
      <c r="I488" s="6" t="s">
        <v>1967</v>
      </c>
      <c r="J488" s="13">
        <v>519.1533</v>
      </c>
      <c r="K488" s="6" t="str">
        <f t="shared" si="1"/>
        <v>Low Earnings</v>
      </c>
    </row>
    <row r="489" ht="14.25" customHeight="1">
      <c r="A489" s="6" t="s">
        <v>2454</v>
      </c>
      <c r="B489" s="17">
        <v>45830.0</v>
      </c>
      <c r="C489" s="6" t="s">
        <v>588</v>
      </c>
      <c r="D489" s="6" t="s">
        <v>1846</v>
      </c>
      <c r="E489" s="6" t="s">
        <v>1929</v>
      </c>
      <c r="F489" s="6">
        <v>2.0</v>
      </c>
      <c r="G489" s="13">
        <v>611.25</v>
      </c>
      <c r="H489" s="6">
        <v>0.22</v>
      </c>
      <c r="I489" s="6" t="s">
        <v>1965</v>
      </c>
      <c r="J489" s="13">
        <v>953.5500000000001</v>
      </c>
      <c r="K489" s="6" t="str">
        <f t="shared" si="1"/>
        <v>Low Earnings</v>
      </c>
    </row>
    <row r="490" ht="14.25" customHeight="1">
      <c r="A490" s="6" t="s">
        <v>2455</v>
      </c>
      <c r="B490" s="17">
        <v>45756.0</v>
      </c>
      <c r="C490" s="6" t="s">
        <v>1438</v>
      </c>
      <c r="D490" s="6" t="s">
        <v>1785</v>
      </c>
      <c r="E490" s="6" t="s">
        <v>1897</v>
      </c>
      <c r="F490" s="6">
        <v>1.0</v>
      </c>
      <c r="G490" s="13">
        <v>209.93</v>
      </c>
      <c r="H490" s="6">
        <v>0.21</v>
      </c>
      <c r="I490" s="6" t="s">
        <v>1965</v>
      </c>
      <c r="J490" s="13">
        <v>165.8447</v>
      </c>
      <c r="K490" s="6" t="str">
        <f t="shared" si="1"/>
        <v>Low Earnings</v>
      </c>
    </row>
    <row r="491" ht="14.25" customHeight="1">
      <c r="A491" s="6" t="s">
        <v>2456</v>
      </c>
      <c r="B491" s="17">
        <v>45847.0</v>
      </c>
      <c r="C491" s="6" t="s">
        <v>395</v>
      </c>
      <c r="D491" s="6" t="s">
        <v>1885</v>
      </c>
      <c r="E491" s="6" t="s">
        <v>1929</v>
      </c>
      <c r="F491" s="6">
        <v>3.0</v>
      </c>
      <c r="G491" s="13">
        <v>130.39</v>
      </c>
      <c r="H491" s="6">
        <v>0.24</v>
      </c>
      <c r="I491" s="6" t="s">
        <v>1967</v>
      </c>
      <c r="J491" s="13">
        <v>297.2892</v>
      </c>
      <c r="K491" s="6" t="str">
        <f t="shared" si="1"/>
        <v>Low Earnings</v>
      </c>
    </row>
    <row r="492" ht="14.25" customHeight="1">
      <c r="A492" s="6" t="s">
        <v>2457</v>
      </c>
      <c r="B492" s="17">
        <v>45322.0</v>
      </c>
      <c r="C492" s="6" t="s">
        <v>938</v>
      </c>
      <c r="D492" s="6" t="s">
        <v>1867</v>
      </c>
      <c r="E492" s="6" t="s">
        <v>1919</v>
      </c>
      <c r="F492" s="6">
        <v>2.0</v>
      </c>
      <c r="G492" s="13">
        <v>846.18</v>
      </c>
      <c r="H492" s="6">
        <v>0.1</v>
      </c>
      <c r="I492" s="6" t="s">
        <v>1973</v>
      </c>
      <c r="J492" s="13">
        <v>1523.124</v>
      </c>
      <c r="K492" s="6" t="str">
        <f t="shared" si="1"/>
        <v>Average Earnings</v>
      </c>
    </row>
    <row r="493" ht="14.25" customHeight="1">
      <c r="A493" s="6" t="s">
        <v>2458</v>
      </c>
      <c r="B493" s="17">
        <v>45448.0</v>
      </c>
      <c r="C493" s="6" t="s">
        <v>1365</v>
      </c>
      <c r="D493" s="6" t="s">
        <v>1691</v>
      </c>
      <c r="E493" s="6" t="s">
        <v>1922</v>
      </c>
      <c r="F493" s="6">
        <v>3.0</v>
      </c>
      <c r="G493" s="13">
        <v>237.24</v>
      </c>
      <c r="H493" s="6">
        <v>0.24</v>
      </c>
      <c r="I493" s="6" t="s">
        <v>1967</v>
      </c>
      <c r="J493" s="13">
        <v>540.9072</v>
      </c>
      <c r="K493" s="6" t="str">
        <f t="shared" si="1"/>
        <v>Low Earnings</v>
      </c>
    </row>
    <row r="494" ht="14.25" customHeight="1">
      <c r="A494" s="6" t="s">
        <v>2459</v>
      </c>
      <c r="B494" s="17">
        <v>45829.0</v>
      </c>
      <c r="C494" s="6" t="s">
        <v>1125</v>
      </c>
      <c r="D494" s="6" t="s">
        <v>1798</v>
      </c>
      <c r="E494" s="6" t="s">
        <v>1939</v>
      </c>
      <c r="F494" s="6">
        <v>2.0</v>
      </c>
      <c r="G494" s="13">
        <v>424.53</v>
      </c>
      <c r="H494" s="6">
        <v>0.14</v>
      </c>
      <c r="I494" s="6" t="s">
        <v>1973</v>
      </c>
      <c r="J494" s="13">
        <v>730.1916</v>
      </c>
      <c r="K494" s="6" t="str">
        <f t="shared" si="1"/>
        <v>Low Earnings</v>
      </c>
    </row>
    <row r="495" ht="14.25" customHeight="1">
      <c r="A495" s="6" t="s">
        <v>2460</v>
      </c>
      <c r="B495" s="17">
        <v>45539.0</v>
      </c>
      <c r="C495" s="6" t="s">
        <v>839</v>
      </c>
      <c r="D495" s="6" t="s">
        <v>1852</v>
      </c>
      <c r="E495" s="6" t="s">
        <v>1939</v>
      </c>
      <c r="F495" s="6">
        <v>4.0</v>
      </c>
      <c r="G495" s="13">
        <v>450.42</v>
      </c>
      <c r="H495" s="6">
        <v>0.08</v>
      </c>
      <c r="I495" s="6" t="s">
        <v>1973</v>
      </c>
      <c r="J495" s="13">
        <v>1657.5456</v>
      </c>
      <c r="K495" s="6" t="str">
        <f t="shared" si="1"/>
        <v>Average Earnings</v>
      </c>
    </row>
    <row r="496" ht="14.25" customHeight="1">
      <c r="A496" s="6" t="s">
        <v>2461</v>
      </c>
      <c r="B496" s="17">
        <v>45893.0</v>
      </c>
      <c r="C496" s="6" t="s">
        <v>534</v>
      </c>
      <c r="D496" s="6" t="s">
        <v>1660</v>
      </c>
      <c r="E496" s="6" t="s">
        <v>1926</v>
      </c>
      <c r="F496" s="6">
        <v>4.0</v>
      </c>
      <c r="G496" s="13">
        <v>896.91</v>
      </c>
      <c r="H496" s="6">
        <v>0.1</v>
      </c>
      <c r="I496" s="6" t="s">
        <v>1965</v>
      </c>
      <c r="J496" s="13">
        <v>3228.876</v>
      </c>
      <c r="K496" s="6" t="str">
        <f t="shared" si="1"/>
        <v>High Earnings</v>
      </c>
    </row>
    <row r="497" ht="14.25" customHeight="1">
      <c r="A497" s="6" t="s">
        <v>2462</v>
      </c>
      <c r="B497" s="17">
        <v>45814.0</v>
      </c>
      <c r="C497" s="6" t="s">
        <v>1508</v>
      </c>
      <c r="D497" s="6" t="s">
        <v>1879</v>
      </c>
      <c r="E497" s="6" t="s">
        <v>1929</v>
      </c>
      <c r="F497" s="6">
        <v>3.0</v>
      </c>
      <c r="G497" s="13">
        <v>679.38</v>
      </c>
      <c r="H497" s="6">
        <v>0.3</v>
      </c>
      <c r="I497" s="6" t="s">
        <v>1973</v>
      </c>
      <c r="J497" s="13">
        <v>1426.698</v>
      </c>
      <c r="K497" s="6" t="str">
        <f t="shared" si="1"/>
        <v>Average Earnings</v>
      </c>
    </row>
    <row r="498" ht="14.25" customHeight="1">
      <c r="A498" s="6" t="s">
        <v>2463</v>
      </c>
      <c r="B498" s="17">
        <v>45571.0</v>
      </c>
      <c r="C498" s="6" t="s">
        <v>82</v>
      </c>
      <c r="D498" s="6" t="s">
        <v>1828</v>
      </c>
      <c r="E498" s="6" t="s">
        <v>1944</v>
      </c>
      <c r="F498" s="6">
        <v>3.0</v>
      </c>
      <c r="G498" s="13">
        <v>483.63</v>
      </c>
      <c r="H498" s="6">
        <v>0.0</v>
      </c>
      <c r="I498" s="6" t="s">
        <v>1965</v>
      </c>
      <c r="J498" s="13">
        <v>1450.89</v>
      </c>
      <c r="K498" s="6" t="str">
        <f t="shared" si="1"/>
        <v>Average Earnings</v>
      </c>
    </row>
    <row r="499" ht="14.25" customHeight="1">
      <c r="A499" s="6" t="s">
        <v>2464</v>
      </c>
      <c r="B499" s="17">
        <v>45542.0</v>
      </c>
      <c r="C499" s="6" t="s">
        <v>132</v>
      </c>
      <c r="D499" s="6" t="s">
        <v>1701</v>
      </c>
      <c r="E499" s="6" t="s">
        <v>1892</v>
      </c>
      <c r="F499" s="6">
        <v>3.0</v>
      </c>
      <c r="G499" s="13">
        <v>158.27</v>
      </c>
      <c r="H499" s="6">
        <v>0.24</v>
      </c>
      <c r="I499" s="6" t="s">
        <v>1973</v>
      </c>
      <c r="J499" s="13">
        <v>360.8556</v>
      </c>
      <c r="K499" s="6" t="str">
        <f t="shared" si="1"/>
        <v>Low Earnings</v>
      </c>
    </row>
    <row r="500" ht="14.25" customHeight="1">
      <c r="A500" s="6" t="s">
        <v>2465</v>
      </c>
      <c r="B500" s="17">
        <v>45758.0</v>
      </c>
      <c r="C500" s="6" t="s">
        <v>410</v>
      </c>
      <c r="D500" s="6" t="s">
        <v>1570</v>
      </c>
      <c r="E500" s="6" t="s">
        <v>1941</v>
      </c>
      <c r="F500" s="6">
        <v>4.0</v>
      </c>
      <c r="G500" s="13">
        <v>601.5</v>
      </c>
      <c r="H500" s="6">
        <v>0.18</v>
      </c>
      <c r="I500" s="6" t="s">
        <v>1965</v>
      </c>
      <c r="J500" s="13">
        <v>1972.92</v>
      </c>
      <c r="K500" s="6" t="str">
        <f t="shared" si="1"/>
        <v>Average Earnings</v>
      </c>
    </row>
    <row r="501" ht="14.25" customHeight="1">
      <c r="A501" s="6" t="s">
        <v>2466</v>
      </c>
      <c r="B501" s="17">
        <v>45709.0</v>
      </c>
      <c r="C501" s="6" t="s">
        <v>263</v>
      </c>
      <c r="D501" s="6" t="s">
        <v>1675</v>
      </c>
      <c r="E501" s="6" t="s">
        <v>1950</v>
      </c>
      <c r="F501" s="6">
        <v>2.0</v>
      </c>
      <c r="G501" s="13">
        <v>46.39</v>
      </c>
      <c r="H501" s="6">
        <v>0.07</v>
      </c>
      <c r="I501" s="6" t="s">
        <v>1965</v>
      </c>
      <c r="J501" s="13">
        <v>86.2854</v>
      </c>
      <c r="K501" s="6" t="str">
        <f t="shared" si="1"/>
        <v>Low Earnings</v>
      </c>
    </row>
    <row r="502" ht="14.25" customHeight="1">
      <c r="A502" s="6" t="s">
        <v>2467</v>
      </c>
      <c r="B502" s="17">
        <v>45587.0</v>
      </c>
      <c r="C502" s="6" t="s">
        <v>422</v>
      </c>
      <c r="D502" s="6" t="s">
        <v>1834</v>
      </c>
      <c r="E502" s="6" t="s">
        <v>1922</v>
      </c>
      <c r="F502" s="6">
        <v>4.0</v>
      </c>
      <c r="G502" s="13">
        <v>892.28</v>
      </c>
      <c r="H502" s="6">
        <v>0.23</v>
      </c>
      <c r="I502" s="6" t="s">
        <v>1965</v>
      </c>
      <c r="J502" s="13">
        <v>2748.2224</v>
      </c>
      <c r="K502" s="6" t="str">
        <f t="shared" si="1"/>
        <v>High Earnings</v>
      </c>
    </row>
    <row r="503" ht="14.25" customHeight="1">
      <c r="A503" s="6" t="s">
        <v>2468</v>
      </c>
      <c r="B503" s="17">
        <v>45494.0</v>
      </c>
      <c r="C503" s="6" t="s">
        <v>730</v>
      </c>
      <c r="D503" s="6" t="s">
        <v>1604</v>
      </c>
      <c r="E503" s="6" t="s">
        <v>1919</v>
      </c>
      <c r="F503" s="6">
        <v>2.0</v>
      </c>
      <c r="G503" s="13">
        <v>164.23</v>
      </c>
      <c r="H503" s="6">
        <v>0.17</v>
      </c>
      <c r="I503" s="6" t="s">
        <v>1965</v>
      </c>
      <c r="J503" s="13">
        <v>272.6218</v>
      </c>
      <c r="K503" s="6" t="str">
        <f t="shared" si="1"/>
        <v>Low Earnings</v>
      </c>
    </row>
    <row r="504" ht="14.25" customHeight="1">
      <c r="A504" s="6" t="s">
        <v>2469</v>
      </c>
      <c r="B504" s="17">
        <v>45522.0</v>
      </c>
      <c r="C504" s="6" t="s">
        <v>1433</v>
      </c>
      <c r="D504" s="6" t="s">
        <v>1749</v>
      </c>
      <c r="E504" s="6" t="s">
        <v>1941</v>
      </c>
      <c r="F504" s="6">
        <v>2.0</v>
      </c>
      <c r="G504" s="13">
        <v>536.84</v>
      </c>
      <c r="H504" s="6">
        <v>0.09</v>
      </c>
      <c r="I504" s="6" t="s">
        <v>1973</v>
      </c>
      <c r="J504" s="13">
        <v>977.0488000000001</v>
      </c>
      <c r="K504" s="6" t="str">
        <f t="shared" si="1"/>
        <v>Low Earnings</v>
      </c>
    </row>
    <row r="505" ht="14.25" customHeight="1">
      <c r="A505" s="6" t="s">
        <v>2470</v>
      </c>
      <c r="B505" s="17">
        <v>45305.0</v>
      </c>
      <c r="C505" s="6" t="s">
        <v>1413</v>
      </c>
      <c r="D505" s="6" t="s">
        <v>1599</v>
      </c>
      <c r="E505" s="6" t="s">
        <v>1919</v>
      </c>
      <c r="F505" s="6">
        <v>1.0</v>
      </c>
      <c r="G505" s="13">
        <v>484.23</v>
      </c>
      <c r="H505" s="6">
        <v>0.12</v>
      </c>
      <c r="I505" s="6" t="s">
        <v>1973</v>
      </c>
      <c r="J505" s="13">
        <v>426.1224</v>
      </c>
      <c r="K505" s="6" t="str">
        <f t="shared" si="1"/>
        <v>Low Earnings</v>
      </c>
    </row>
    <row r="506" ht="14.25" customHeight="1">
      <c r="A506" s="6" t="s">
        <v>2471</v>
      </c>
      <c r="B506" s="17">
        <v>45383.0</v>
      </c>
      <c r="C506" s="6" t="s">
        <v>39</v>
      </c>
      <c r="D506" s="6" t="s">
        <v>1688</v>
      </c>
      <c r="E506" s="6" t="s">
        <v>1950</v>
      </c>
      <c r="F506" s="6">
        <v>3.0</v>
      </c>
      <c r="G506" s="13">
        <v>341.51</v>
      </c>
      <c r="H506" s="6">
        <v>0.22</v>
      </c>
      <c r="I506" s="6" t="s">
        <v>1973</v>
      </c>
      <c r="J506" s="13">
        <v>799.1334</v>
      </c>
      <c r="K506" s="6" t="str">
        <f t="shared" si="1"/>
        <v>Low Earnings</v>
      </c>
    </row>
    <row r="507" ht="14.25" customHeight="1">
      <c r="A507" s="6" t="s">
        <v>2472</v>
      </c>
      <c r="B507" s="17">
        <v>45788.0</v>
      </c>
      <c r="C507" s="6" t="s">
        <v>392</v>
      </c>
      <c r="D507" s="6" t="s">
        <v>1882</v>
      </c>
      <c r="E507" s="6" t="s">
        <v>1937</v>
      </c>
      <c r="F507" s="6">
        <v>3.0</v>
      </c>
      <c r="G507" s="13">
        <v>758.87</v>
      </c>
      <c r="H507" s="6">
        <v>0.11</v>
      </c>
      <c r="I507" s="6" t="s">
        <v>1967</v>
      </c>
      <c r="J507" s="13">
        <v>2026.1829</v>
      </c>
      <c r="K507" s="6" t="str">
        <f t="shared" si="1"/>
        <v>Average Earnings</v>
      </c>
    </row>
    <row r="508" ht="14.25" customHeight="1">
      <c r="A508" s="6" t="s">
        <v>2473</v>
      </c>
      <c r="B508" s="17">
        <v>45855.0</v>
      </c>
      <c r="C508" s="6" t="s">
        <v>1465</v>
      </c>
      <c r="D508" s="6" t="s">
        <v>1755</v>
      </c>
      <c r="E508" s="6" t="s">
        <v>1934</v>
      </c>
      <c r="F508" s="6">
        <v>3.0</v>
      </c>
      <c r="G508" s="13">
        <v>560.52</v>
      </c>
      <c r="H508" s="6">
        <v>0.17</v>
      </c>
      <c r="I508" s="6" t="s">
        <v>1965</v>
      </c>
      <c r="J508" s="13">
        <v>1395.6948</v>
      </c>
      <c r="K508" s="6" t="str">
        <f t="shared" si="1"/>
        <v>Average Earnings</v>
      </c>
    </row>
    <row r="509" ht="14.25" customHeight="1">
      <c r="A509" s="6" t="s">
        <v>2474</v>
      </c>
      <c r="B509" s="17">
        <v>45533.0</v>
      </c>
      <c r="C509" s="6" t="s">
        <v>1116</v>
      </c>
      <c r="D509" s="6" t="s">
        <v>1876</v>
      </c>
      <c r="E509" s="6" t="s">
        <v>1947</v>
      </c>
      <c r="F509" s="6">
        <v>2.0</v>
      </c>
      <c r="G509" s="13">
        <v>977.18</v>
      </c>
      <c r="H509" s="6">
        <v>0.19</v>
      </c>
      <c r="I509" s="6" t="s">
        <v>1965</v>
      </c>
      <c r="J509" s="13">
        <v>1583.0316</v>
      </c>
      <c r="K509" s="6" t="str">
        <f t="shared" si="1"/>
        <v>Average Earnings</v>
      </c>
    </row>
    <row r="510" ht="14.25" customHeight="1">
      <c r="A510" s="6" t="s">
        <v>2475</v>
      </c>
      <c r="B510" s="17">
        <v>45763.0</v>
      </c>
      <c r="C510" s="6" t="s">
        <v>773</v>
      </c>
      <c r="D510" s="6" t="s">
        <v>1626</v>
      </c>
      <c r="E510" s="6" t="s">
        <v>1939</v>
      </c>
      <c r="F510" s="6">
        <v>4.0</v>
      </c>
      <c r="G510" s="13">
        <v>761.35</v>
      </c>
      <c r="H510" s="6">
        <v>0.08</v>
      </c>
      <c r="I510" s="6" t="s">
        <v>1965</v>
      </c>
      <c r="J510" s="13">
        <v>2801.768</v>
      </c>
      <c r="K510" s="6" t="str">
        <f t="shared" si="1"/>
        <v>High Earnings</v>
      </c>
    </row>
    <row r="511" ht="14.25" customHeight="1">
      <c r="A511" s="6" t="s">
        <v>2476</v>
      </c>
      <c r="B511" s="17">
        <v>45900.0</v>
      </c>
      <c r="C511" s="6" t="s">
        <v>604</v>
      </c>
      <c r="D511" s="6" t="s">
        <v>1788</v>
      </c>
      <c r="E511" s="6" t="s">
        <v>1950</v>
      </c>
      <c r="F511" s="6">
        <v>2.0</v>
      </c>
      <c r="G511" s="13">
        <v>947.56</v>
      </c>
      <c r="H511" s="6">
        <v>0.02</v>
      </c>
      <c r="I511" s="6" t="s">
        <v>1973</v>
      </c>
      <c r="J511" s="13">
        <v>1857.2176</v>
      </c>
      <c r="K511" s="6" t="str">
        <f t="shared" si="1"/>
        <v>Average Earnings</v>
      </c>
    </row>
    <row r="512" ht="14.25" customHeight="1">
      <c r="A512" s="6" t="s">
        <v>2477</v>
      </c>
      <c r="B512" s="17">
        <v>45943.0</v>
      </c>
      <c r="C512" s="6" t="s">
        <v>779</v>
      </c>
      <c r="D512" s="6" t="s">
        <v>1714</v>
      </c>
      <c r="E512" s="6" t="s">
        <v>1950</v>
      </c>
      <c r="F512" s="6">
        <v>4.0</v>
      </c>
      <c r="G512" s="13">
        <v>975.47</v>
      </c>
      <c r="H512" s="6">
        <v>0.04</v>
      </c>
      <c r="I512" s="6" t="s">
        <v>1965</v>
      </c>
      <c r="J512" s="13">
        <v>3745.8048</v>
      </c>
      <c r="K512" s="6" t="str">
        <f t="shared" si="1"/>
        <v>High Earnings</v>
      </c>
    </row>
    <row r="513" ht="14.25" customHeight="1">
      <c r="A513" s="6" t="s">
        <v>2478</v>
      </c>
      <c r="B513" s="17">
        <v>45448.0</v>
      </c>
      <c r="C513" s="6" t="s">
        <v>1485</v>
      </c>
      <c r="D513" s="6" t="s">
        <v>1615</v>
      </c>
      <c r="E513" s="6" t="s">
        <v>1926</v>
      </c>
      <c r="F513" s="6">
        <v>3.0</v>
      </c>
      <c r="G513" s="13">
        <v>769.06</v>
      </c>
      <c r="H513" s="6">
        <v>0.23</v>
      </c>
      <c r="I513" s="6" t="s">
        <v>1973</v>
      </c>
      <c r="J513" s="13">
        <v>1776.5286</v>
      </c>
      <c r="K513" s="6" t="str">
        <f t="shared" si="1"/>
        <v>Average Earnings</v>
      </c>
    </row>
    <row r="514" ht="14.25" customHeight="1">
      <c r="A514" s="6" t="s">
        <v>2479</v>
      </c>
      <c r="B514" s="17">
        <v>45929.0</v>
      </c>
      <c r="C514" s="6" t="s">
        <v>1511</v>
      </c>
      <c r="D514" s="6" t="s">
        <v>1701</v>
      </c>
      <c r="E514" s="6" t="s">
        <v>1901</v>
      </c>
      <c r="F514" s="6">
        <v>3.0</v>
      </c>
      <c r="G514" s="13">
        <v>824.75</v>
      </c>
      <c r="H514" s="6">
        <v>0.23</v>
      </c>
      <c r="I514" s="6" t="s">
        <v>1965</v>
      </c>
      <c r="J514" s="13">
        <v>1905.1725</v>
      </c>
      <c r="K514" s="6" t="str">
        <f t="shared" si="1"/>
        <v>Average Earnings</v>
      </c>
    </row>
    <row r="515" ht="14.25" customHeight="1">
      <c r="A515" s="6" t="s">
        <v>2480</v>
      </c>
      <c r="B515" s="17">
        <v>45626.0</v>
      </c>
      <c r="C515" s="6" t="s">
        <v>1387</v>
      </c>
      <c r="D515" s="6" t="s">
        <v>1691</v>
      </c>
      <c r="E515" s="6" t="s">
        <v>1953</v>
      </c>
      <c r="F515" s="6">
        <v>3.0</v>
      </c>
      <c r="G515" s="13">
        <v>584.41</v>
      </c>
      <c r="H515" s="6">
        <v>0.0</v>
      </c>
      <c r="I515" s="6" t="s">
        <v>1973</v>
      </c>
      <c r="J515" s="13">
        <v>1753.23</v>
      </c>
      <c r="K515" s="6" t="str">
        <f t="shared" si="1"/>
        <v>Average Earnings</v>
      </c>
    </row>
    <row r="516" ht="14.25" customHeight="1">
      <c r="A516" s="6" t="s">
        <v>2481</v>
      </c>
      <c r="B516" s="17">
        <v>45478.0</v>
      </c>
      <c r="C516" s="6" t="s">
        <v>1265</v>
      </c>
      <c r="D516" s="6" t="s">
        <v>1791</v>
      </c>
      <c r="E516" s="6" t="s">
        <v>1909</v>
      </c>
      <c r="F516" s="6">
        <v>2.0</v>
      </c>
      <c r="G516" s="13">
        <v>821.35</v>
      </c>
      <c r="H516" s="6">
        <v>0.11</v>
      </c>
      <c r="I516" s="6" t="s">
        <v>1967</v>
      </c>
      <c r="J516" s="13">
        <v>1462.003</v>
      </c>
      <c r="K516" s="6" t="str">
        <f t="shared" si="1"/>
        <v>Average Earnings</v>
      </c>
    </row>
    <row r="517" ht="14.25" customHeight="1">
      <c r="A517" s="6" t="s">
        <v>2482</v>
      </c>
      <c r="B517" s="17">
        <v>45723.0</v>
      </c>
      <c r="C517" s="6" t="s">
        <v>1276</v>
      </c>
      <c r="D517" s="6" t="s">
        <v>1615</v>
      </c>
      <c r="E517" s="6" t="s">
        <v>1929</v>
      </c>
      <c r="F517" s="6">
        <v>1.0</v>
      </c>
      <c r="G517" s="13">
        <v>120.57</v>
      </c>
      <c r="H517" s="6">
        <v>0.06</v>
      </c>
      <c r="I517" s="6" t="s">
        <v>1967</v>
      </c>
      <c r="J517" s="13">
        <v>113.3358</v>
      </c>
      <c r="K517" s="6" t="str">
        <f t="shared" si="1"/>
        <v>Low Earnings</v>
      </c>
    </row>
    <row r="518" ht="14.25" customHeight="1">
      <c r="A518" s="6" t="s">
        <v>2483</v>
      </c>
      <c r="B518" s="17">
        <v>45240.0</v>
      </c>
      <c r="C518" s="6" t="s">
        <v>1068</v>
      </c>
      <c r="D518" s="6" t="s">
        <v>1855</v>
      </c>
      <c r="E518" s="6" t="s">
        <v>1897</v>
      </c>
      <c r="F518" s="6">
        <v>1.0</v>
      </c>
      <c r="G518" s="13">
        <v>122.27</v>
      </c>
      <c r="H518" s="6">
        <v>0.26</v>
      </c>
      <c r="I518" s="6" t="s">
        <v>1967</v>
      </c>
      <c r="J518" s="13">
        <v>90.4798</v>
      </c>
      <c r="K518" s="6" t="str">
        <f t="shared" si="1"/>
        <v>Low Earnings</v>
      </c>
    </row>
    <row r="519" ht="14.25" customHeight="1">
      <c r="A519" s="6" t="s">
        <v>2484</v>
      </c>
      <c r="B519" s="17">
        <v>45890.0</v>
      </c>
      <c r="C519" s="6" t="s">
        <v>576</v>
      </c>
      <c r="D519" s="6" t="s">
        <v>1660</v>
      </c>
      <c r="E519" s="6" t="s">
        <v>1901</v>
      </c>
      <c r="F519" s="6">
        <v>2.0</v>
      </c>
      <c r="G519" s="13">
        <v>182.89</v>
      </c>
      <c r="H519" s="6">
        <v>0.11</v>
      </c>
      <c r="I519" s="6" t="s">
        <v>1965</v>
      </c>
      <c r="J519" s="13">
        <v>325.5442</v>
      </c>
      <c r="K519" s="6" t="str">
        <f t="shared" si="1"/>
        <v>Low Earnings</v>
      </c>
    </row>
    <row r="520" ht="14.25" customHeight="1">
      <c r="A520" s="6" t="s">
        <v>2485</v>
      </c>
      <c r="B520" s="17">
        <v>45796.0</v>
      </c>
      <c r="C520" s="6" t="s">
        <v>1176</v>
      </c>
      <c r="D520" s="6" t="s">
        <v>1723</v>
      </c>
      <c r="E520" s="6" t="s">
        <v>1909</v>
      </c>
      <c r="F520" s="6">
        <v>1.0</v>
      </c>
      <c r="G520" s="13">
        <v>695.26</v>
      </c>
      <c r="H520" s="6">
        <v>0.23</v>
      </c>
      <c r="I520" s="6" t="s">
        <v>1967</v>
      </c>
      <c r="J520" s="13">
        <v>535.3502</v>
      </c>
      <c r="K520" s="6" t="str">
        <f t="shared" si="1"/>
        <v>Low Earnings</v>
      </c>
    </row>
    <row r="521" ht="14.25" customHeight="1">
      <c r="A521" s="6" t="s">
        <v>2486</v>
      </c>
      <c r="B521" s="17">
        <v>45895.0</v>
      </c>
      <c r="C521" s="6" t="s">
        <v>122</v>
      </c>
      <c r="D521" s="6" t="s">
        <v>1669</v>
      </c>
      <c r="E521" s="6" t="s">
        <v>1916</v>
      </c>
      <c r="F521" s="6">
        <v>2.0</v>
      </c>
      <c r="G521" s="13">
        <v>408.8</v>
      </c>
      <c r="H521" s="6">
        <v>0.17</v>
      </c>
      <c r="I521" s="6" t="s">
        <v>1973</v>
      </c>
      <c r="J521" s="13">
        <v>678.608</v>
      </c>
      <c r="K521" s="6" t="str">
        <f t="shared" si="1"/>
        <v>Low Earnings</v>
      </c>
    </row>
    <row r="522" ht="14.25" customHeight="1">
      <c r="A522" s="6" t="s">
        <v>2487</v>
      </c>
      <c r="B522" s="17">
        <v>45676.0</v>
      </c>
      <c r="C522" s="6" t="s">
        <v>745</v>
      </c>
      <c r="D522" s="6" t="s">
        <v>1733</v>
      </c>
      <c r="E522" s="6" t="s">
        <v>1922</v>
      </c>
      <c r="F522" s="6">
        <v>3.0</v>
      </c>
      <c r="G522" s="13">
        <v>512.15</v>
      </c>
      <c r="H522" s="6">
        <v>0.12</v>
      </c>
      <c r="I522" s="6" t="s">
        <v>1965</v>
      </c>
      <c r="J522" s="13">
        <v>1352.076</v>
      </c>
      <c r="K522" s="6" t="str">
        <f t="shared" si="1"/>
        <v>Average Earnings</v>
      </c>
    </row>
    <row r="523" ht="14.25" customHeight="1">
      <c r="A523" s="6" t="s">
        <v>2488</v>
      </c>
      <c r="B523" s="17">
        <v>45568.0</v>
      </c>
      <c r="C523" s="6" t="s">
        <v>1288</v>
      </c>
      <c r="D523" s="6" t="s">
        <v>1599</v>
      </c>
      <c r="E523" s="6" t="s">
        <v>1922</v>
      </c>
      <c r="F523" s="6">
        <v>3.0</v>
      </c>
      <c r="G523" s="13">
        <v>136.4</v>
      </c>
      <c r="H523" s="6">
        <v>0.15</v>
      </c>
      <c r="I523" s="6" t="s">
        <v>1967</v>
      </c>
      <c r="J523" s="13">
        <v>347.8200000000001</v>
      </c>
      <c r="K523" s="6" t="str">
        <f t="shared" si="1"/>
        <v>Low Earnings</v>
      </c>
    </row>
    <row r="524" ht="14.25" customHeight="1">
      <c r="A524" s="6" t="s">
        <v>2489</v>
      </c>
      <c r="B524" s="17">
        <v>45272.0</v>
      </c>
      <c r="C524" s="6" t="s">
        <v>591</v>
      </c>
      <c r="D524" s="6" t="s">
        <v>1585</v>
      </c>
      <c r="E524" s="6" t="s">
        <v>1906</v>
      </c>
      <c r="F524" s="6">
        <v>2.0</v>
      </c>
      <c r="G524" s="13">
        <v>42.51</v>
      </c>
      <c r="H524" s="6">
        <v>0.04</v>
      </c>
      <c r="I524" s="6" t="s">
        <v>1973</v>
      </c>
      <c r="J524" s="13">
        <v>81.61919999999999</v>
      </c>
      <c r="K524" s="6" t="str">
        <f t="shared" si="1"/>
        <v>Low Earnings</v>
      </c>
    </row>
    <row r="525" ht="14.25" customHeight="1">
      <c r="A525" s="6" t="s">
        <v>2490</v>
      </c>
      <c r="B525" s="17">
        <v>45718.0</v>
      </c>
      <c r="C525" s="6" t="s">
        <v>1140</v>
      </c>
      <c r="D525" s="6" t="s">
        <v>1813</v>
      </c>
      <c r="E525" s="6" t="s">
        <v>1919</v>
      </c>
      <c r="F525" s="6">
        <v>3.0</v>
      </c>
      <c r="G525" s="13">
        <v>582.1</v>
      </c>
      <c r="H525" s="6">
        <v>0.12</v>
      </c>
      <c r="I525" s="6" t="s">
        <v>1967</v>
      </c>
      <c r="J525" s="13">
        <v>1536.744</v>
      </c>
      <c r="K525" s="6" t="str">
        <f t="shared" si="1"/>
        <v>Average Earnings</v>
      </c>
    </row>
    <row r="526" ht="14.25" customHeight="1">
      <c r="A526" s="6" t="s">
        <v>2491</v>
      </c>
      <c r="B526" s="17">
        <v>45617.0</v>
      </c>
      <c r="C526" s="6" t="s">
        <v>947</v>
      </c>
      <c r="D526" s="6" t="s">
        <v>1834</v>
      </c>
      <c r="E526" s="6" t="s">
        <v>1953</v>
      </c>
      <c r="F526" s="6">
        <v>1.0</v>
      </c>
      <c r="G526" s="13">
        <v>653.87</v>
      </c>
      <c r="H526" s="6">
        <v>0.14</v>
      </c>
      <c r="I526" s="6" t="s">
        <v>1967</v>
      </c>
      <c r="J526" s="13">
        <v>562.3282</v>
      </c>
      <c r="K526" s="6" t="str">
        <f t="shared" si="1"/>
        <v>Low Earnings</v>
      </c>
    </row>
    <row r="527" ht="14.25" customHeight="1">
      <c r="A527" s="6" t="s">
        <v>2492</v>
      </c>
      <c r="B527" s="17">
        <v>45356.0</v>
      </c>
      <c r="C527" s="6" t="s">
        <v>723</v>
      </c>
      <c r="D527" s="6" t="s">
        <v>1834</v>
      </c>
      <c r="E527" s="6" t="s">
        <v>1947</v>
      </c>
      <c r="F527" s="6">
        <v>4.0</v>
      </c>
      <c r="G527" s="13">
        <v>461.52</v>
      </c>
      <c r="H527" s="6">
        <v>0.0</v>
      </c>
      <c r="I527" s="6" t="s">
        <v>1973</v>
      </c>
      <c r="J527" s="13">
        <v>1846.08</v>
      </c>
      <c r="K527" s="6" t="str">
        <f t="shared" si="1"/>
        <v>Average Earnings</v>
      </c>
    </row>
    <row r="528" ht="14.25" customHeight="1">
      <c r="A528" s="6" t="s">
        <v>2493</v>
      </c>
      <c r="B528" s="17">
        <v>45552.0</v>
      </c>
      <c r="C528" s="6" t="s">
        <v>1540</v>
      </c>
      <c r="D528" s="6" t="s">
        <v>1626</v>
      </c>
      <c r="E528" s="6" t="s">
        <v>1932</v>
      </c>
      <c r="F528" s="6">
        <v>1.0</v>
      </c>
      <c r="G528" s="13">
        <v>558.42</v>
      </c>
      <c r="H528" s="6">
        <v>0.03</v>
      </c>
      <c r="I528" s="6" t="s">
        <v>1965</v>
      </c>
      <c r="J528" s="13">
        <v>541.6673999999999</v>
      </c>
      <c r="K528" s="6" t="str">
        <f t="shared" si="1"/>
        <v>Low Earnings</v>
      </c>
    </row>
    <row r="529" ht="14.25" customHeight="1">
      <c r="A529" s="6" t="s">
        <v>2494</v>
      </c>
      <c r="B529" s="17">
        <v>45288.0</v>
      </c>
      <c r="C529" s="6" t="s">
        <v>854</v>
      </c>
      <c r="D529" s="6" t="s">
        <v>1611</v>
      </c>
      <c r="E529" s="6" t="s">
        <v>1950</v>
      </c>
      <c r="F529" s="6">
        <v>4.0</v>
      </c>
      <c r="G529" s="13">
        <v>700.98</v>
      </c>
      <c r="H529" s="6">
        <v>0.12</v>
      </c>
      <c r="I529" s="6" t="s">
        <v>1967</v>
      </c>
      <c r="J529" s="13">
        <v>2467.4496</v>
      </c>
      <c r="K529" s="6" t="str">
        <f t="shared" si="1"/>
        <v>Average Earnings</v>
      </c>
    </row>
    <row r="530" ht="14.25" customHeight="1">
      <c r="A530" s="6" t="s">
        <v>2495</v>
      </c>
      <c r="B530" s="17">
        <v>45605.0</v>
      </c>
      <c r="C530" s="6" t="s">
        <v>1276</v>
      </c>
      <c r="D530" s="6" t="s">
        <v>1843</v>
      </c>
      <c r="E530" s="6" t="s">
        <v>1950</v>
      </c>
      <c r="F530" s="6">
        <v>2.0</v>
      </c>
      <c r="G530" s="13">
        <v>227.97</v>
      </c>
      <c r="H530" s="6">
        <v>0.08</v>
      </c>
      <c r="I530" s="6" t="s">
        <v>1973</v>
      </c>
      <c r="J530" s="13">
        <v>419.4648</v>
      </c>
      <c r="K530" s="6" t="str">
        <f t="shared" si="1"/>
        <v>Low Earnings</v>
      </c>
    </row>
    <row r="531" ht="14.25" customHeight="1">
      <c r="A531" s="6" t="s">
        <v>2496</v>
      </c>
      <c r="B531" s="17">
        <v>45516.0</v>
      </c>
      <c r="C531" s="6" t="s">
        <v>1477</v>
      </c>
      <c r="D531" s="6" t="s">
        <v>1701</v>
      </c>
      <c r="E531" s="6" t="s">
        <v>1932</v>
      </c>
      <c r="F531" s="6">
        <v>4.0</v>
      </c>
      <c r="G531" s="13">
        <v>278.71</v>
      </c>
      <c r="H531" s="6">
        <v>0.2</v>
      </c>
      <c r="I531" s="6" t="s">
        <v>1967</v>
      </c>
      <c r="J531" s="13">
        <v>891.872</v>
      </c>
      <c r="K531" s="6" t="str">
        <f t="shared" si="1"/>
        <v>Low Earnings</v>
      </c>
    </row>
    <row r="532" ht="14.25" customHeight="1">
      <c r="A532" s="6" t="s">
        <v>2497</v>
      </c>
      <c r="B532" s="17">
        <v>45379.0</v>
      </c>
      <c r="C532" s="6" t="s">
        <v>842</v>
      </c>
      <c r="D532" s="6" t="s">
        <v>1885</v>
      </c>
      <c r="E532" s="6" t="s">
        <v>1922</v>
      </c>
      <c r="F532" s="6">
        <v>2.0</v>
      </c>
      <c r="G532" s="13">
        <v>916.12</v>
      </c>
      <c r="H532" s="6">
        <v>0.05</v>
      </c>
      <c r="I532" s="6" t="s">
        <v>1967</v>
      </c>
      <c r="J532" s="13">
        <v>1740.628</v>
      </c>
      <c r="K532" s="6" t="str">
        <f t="shared" si="1"/>
        <v>Average Earnings</v>
      </c>
    </row>
    <row r="533" ht="14.25" customHeight="1">
      <c r="A533" s="6" t="s">
        <v>2498</v>
      </c>
      <c r="B533" s="17">
        <v>45567.0</v>
      </c>
      <c r="C533" s="6" t="s">
        <v>466</v>
      </c>
      <c r="D533" s="6" t="s">
        <v>1604</v>
      </c>
      <c r="E533" s="6" t="s">
        <v>1934</v>
      </c>
      <c r="F533" s="6">
        <v>4.0</v>
      </c>
      <c r="G533" s="13">
        <v>228.98</v>
      </c>
      <c r="H533" s="6">
        <v>0.22</v>
      </c>
      <c r="I533" s="6" t="s">
        <v>1967</v>
      </c>
      <c r="J533" s="13">
        <v>714.4176</v>
      </c>
      <c r="K533" s="6" t="str">
        <f t="shared" si="1"/>
        <v>Low Earnings</v>
      </c>
    </row>
    <row r="534" ht="14.25" customHeight="1">
      <c r="A534" s="6" t="s">
        <v>2499</v>
      </c>
      <c r="B534" s="17">
        <v>45510.0</v>
      </c>
      <c r="C534" s="6" t="s">
        <v>767</v>
      </c>
      <c r="D534" s="6" t="s">
        <v>1855</v>
      </c>
      <c r="E534" s="6" t="s">
        <v>1941</v>
      </c>
      <c r="F534" s="6">
        <v>4.0</v>
      </c>
      <c r="G534" s="13">
        <v>904.82</v>
      </c>
      <c r="H534" s="6">
        <v>0.09</v>
      </c>
      <c r="I534" s="6" t="s">
        <v>1967</v>
      </c>
      <c r="J534" s="13">
        <v>3293.5448</v>
      </c>
      <c r="K534" s="6" t="str">
        <f t="shared" si="1"/>
        <v>High Earnings</v>
      </c>
    </row>
    <row r="535" ht="14.25" customHeight="1">
      <c r="A535" s="6" t="s">
        <v>2500</v>
      </c>
      <c r="B535" s="17">
        <v>45806.0</v>
      </c>
      <c r="C535" s="6" t="s">
        <v>303</v>
      </c>
      <c r="D535" s="6" t="s">
        <v>1650</v>
      </c>
      <c r="E535" s="6" t="s">
        <v>1932</v>
      </c>
      <c r="F535" s="6">
        <v>1.0</v>
      </c>
      <c r="G535" s="13">
        <v>588.61</v>
      </c>
      <c r="H535" s="6">
        <v>0.1</v>
      </c>
      <c r="I535" s="6" t="s">
        <v>1967</v>
      </c>
      <c r="J535" s="13">
        <v>529.749</v>
      </c>
      <c r="K535" s="6" t="str">
        <f t="shared" si="1"/>
        <v>Low Earnings</v>
      </c>
    </row>
    <row r="536" ht="14.25" customHeight="1">
      <c r="A536" s="6" t="s">
        <v>2501</v>
      </c>
      <c r="B536" s="17">
        <v>45240.0</v>
      </c>
      <c r="C536" s="6" t="s">
        <v>404</v>
      </c>
      <c r="D536" s="6" t="s">
        <v>1682</v>
      </c>
      <c r="E536" s="6" t="s">
        <v>1906</v>
      </c>
      <c r="F536" s="6">
        <v>4.0</v>
      </c>
      <c r="G536" s="13">
        <v>695.97</v>
      </c>
      <c r="H536" s="6">
        <v>0.02</v>
      </c>
      <c r="I536" s="6" t="s">
        <v>1965</v>
      </c>
      <c r="J536" s="13">
        <v>2728.2024</v>
      </c>
      <c r="K536" s="6" t="str">
        <f t="shared" si="1"/>
        <v>High Earnings</v>
      </c>
    </row>
    <row r="537" ht="14.25" customHeight="1">
      <c r="A537" s="6" t="s">
        <v>2502</v>
      </c>
      <c r="B537" s="17">
        <v>45878.0</v>
      </c>
      <c r="C537" s="6" t="s">
        <v>1532</v>
      </c>
      <c r="D537" s="6" t="s">
        <v>1849</v>
      </c>
      <c r="E537" s="6" t="s">
        <v>1892</v>
      </c>
      <c r="F537" s="6">
        <v>1.0</v>
      </c>
      <c r="G537" s="13">
        <v>652.03</v>
      </c>
      <c r="H537" s="6">
        <v>0.27</v>
      </c>
      <c r="I537" s="6" t="s">
        <v>1965</v>
      </c>
      <c r="J537" s="13">
        <v>475.9819</v>
      </c>
      <c r="K537" s="6" t="str">
        <f t="shared" si="1"/>
        <v>Low Earnings</v>
      </c>
    </row>
    <row r="538" ht="14.25" customHeight="1">
      <c r="A538" s="6" t="s">
        <v>2503</v>
      </c>
      <c r="B538" s="17">
        <v>45309.0</v>
      </c>
      <c r="C538" s="6" t="s">
        <v>966</v>
      </c>
      <c r="D538" s="6" t="s">
        <v>1879</v>
      </c>
      <c r="E538" s="6" t="s">
        <v>1932</v>
      </c>
      <c r="F538" s="6">
        <v>2.0</v>
      </c>
      <c r="G538" s="13">
        <v>181.42</v>
      </c>
      <c r="H538" s="6">
        <v>0.08</v>
      </c>
      <c r="I538" s="6" t="s">
        <v>1967</v>
      </c>
      <c r="J538" s="13">
        <v>333.8128</v>
      </c>
      <c r="K538" s="6" t="str">
        <f t="shared" si="1"/>
        <v>Low Earnings</v>
      </c>
    </row>
    <row r="539" ht="14.25" customHeight="1">
      <c r="A539" s="6" t="s">
        <v>2504</v>
      </c>
      <c r="B539" s="17">
        <v>45375.0</v>
      </c>
      <c r="C539" s="6" t="s">
        <v>108</v>
      </c>
      <c r="D539" s="6" t="s">
        <v>1879</v>
      </c>
      <c r="E539" s="6" t="s">
        <v>1937</v>
      </c>
      <c r="F539" s="6">
        <v>1.0</v>
      </c>
      <c r="G539" s="13">
        <v>439.55</v>
      </c>
      <c r="H539" s="6">
        <v>0.29</v>
      </c>
      <c r="I539" s="6" t="s">
        <v>1973</v>
      </c>
      <c r="J539" s="13">
        <v>312.0805</v>
      </c>
      <c r="K539" s="6" t="str">
        <f t="shared" si="1"/>
        <v>Low Earnings</v>
      </c>
    </row>
    <row r="540" ht="14.25" customHeight="1">
      <c r="A540" s="6" t="s">
        <v>2505</v>
      </c>
      <c r="B540" s="17">
        <v>45733.0</v>
      </c>
      <c r="C540" s="6" t="s">
        <v>407</v>
      </c>
      <c r="D540" s="6" t="s">
        <v>1752</v>
      </c>
      <c r="E540" s="6" t="s">
        <v>1950</v>
      </c>
      <c r="F540" s="6">
        <v>3.0</v>
      </c>
      <c r="G540" s="13">
        <v>471.27</v>
      </c>
      <c r="H540" s="6">
        <v>0.27</v>
      </c>
      <c r="I540" s="6" t="s">
        <v>1973</v>
      </c>
      <c r="J540" s="13">
        <v>1032.0813</v>
      </c>
      <c r="K540" s="6" t="str">
        <f t="shared" si="1"/>
        <v>Average Earnings</v>
      </c>
    </row>
    <row r="541" ht="14.25" customHeight="1">
      <c r="A541" s="6" t="s">
        <v>2506</v>
      </c>
      <c r="B541" s="17">
        <v>45435.0</v>
      </c>
      <c r="C541" s="6" t="s">
        <v>180</v>
      </c>
      <c r="D541" s="6" t="s">
        <v>1764</v>
      </c>
      <c r="E541" s="6" t="s">
        <v>1934</v>
      </c>
      <c r="F541" s="6">
        <v>1.0</v>
      </c>
      <c r="G541" s="13">
        <v>758.89</v>
      </c>
      <c r="H541" s="6">
        <v>0.1</v>
      </c>
      <c r="I541" s="6" t="s">
        <v>1965</v>
      </c>
      <c r="J541" s="13">
        <v>683.001</v>
      </c>
      <c r="K541" s="6" t="str">
        <f t="shared" si="1"/>
        <v>Low Earnings</v>
      </c>
    </row>
    <row r="542" ht="14.25" customHeight="1">
      <c r="A542" s="6" t="s">
        <v>2507</v>
      </c>
      <c r="B542" s="17">
        <v>45864.0</v>
      </c>
      <c r="C542" s="6" t="s">
        <v>1508</v>
      </c>
      <c r="D542" s="6" t="s">
        <v>1873</v>
      </c>
      <c r="E542" s="6" t="s">
        <v>1941</v>
      </c>
      <c r="F542" s="6">
        <v>4.0</v>
      </c>
      <c r="G542" s="13">
        <v>918.1</v>
      </c>
      <c r="H542" s="6">
        <v>0.19</v>
      </c>
      <c r="I542" s="6" t="s">
        <v>1973</v>
      </c>
      <c r="J542" s="13">
        <v>2974.644</v>
      </c>
      <c r="K542" s="6" t="str">
        <f t="shared" si="1"/>
        <v>High Earnings</v>
      </c>
    </row>
    <row r="543" ht="14.25" customHeight="1">
      <c r="A543" s="6" t="s">
        <v>2508</v>
      </c>
      <c r="B543" s="17">
        <v>45569.0</v>
      </c>
      <c r="C543" s="6" t="s">
        <v>842</v>
      </c>
      <c r="D543" s="6" t="s">
        <v>1870</v>
      </c>
      <c r="E543" s="6" t="s">
        <v>1932</v>
      </c>
      <c r="F543" s="6">
        <v>1.0</v>
      </c>
      <c r="G543" s="13">
        <v>861.5</v>
      </c>
      <c r="H543" s="6">
        <v>0.05</v>
      </c>
      <c r="I543" s="6" t="s">
        <v>1973</v>
      </c>
      <c r="J543" s="13">
        <v>818.425</v>
      </c>
      <c r="K543" s="6" t="str">
        <f t="shared" si="1"/>
        <v>Low Earnings</v>
      </c>
    </row>
    <row r="544" ht="14.25" customHeight="1">
      <c r="A544" s="6" t="s">
        <v>2509</v>
      </c>
      <c r="B544" s="17">
        <v>45664.0</v>
      </c>
      <c r="C544" s="6" t="s">
        <v>1441</v>
      </c>
      <c r="D544" s="6" t="s">
        <v>1647</v>
      </c>
      <c r="E544" s="6" t="s">
        <v>1939</v>
      </c>
      <c r="F544" s="6">
        <v>1.0</v>
      </c>
      <c r="G544" s="13">
        <v>588.3</v>
      </c>
      <c r="H544" s="6">
        <v>0.26</v>
      </c>
      <c r="I544" s="6" t="s">
        <v>1973</v>
      </c>
      <c r="J544" s="13">
        <v>435.342</v>
      </c>
      <c r="K544" s="6" t="str">
        <f t="shared" si="1"/>
        <v>Low Earnings</v>
      </c>
    </row>
    <row r="545" ht="14.25" customHeight="1">
      <c r="A545" s="6" t="s">
        <v>2510</v>
      </c>
      <c r="B545" s="17">
        <v>45645.0</v>
      </c>
      <c r="C545" s="6" t="s">
        <v>1441</v>
      </c>
      <c r="D545" s="6" t="s">
        <v>1752</v>
      </c>
      <c r="E545" s="6" t="s">
        <v>1919</v>
      </c>
      <c r="F545" s="6">
        <v>1.0</v>
      </c>
      <c r="G545" s="13">
        <v>917.26</v>
      </c>
      <c r="H545" s="6">
        <v>0.05</v>
      </c>
      <c r="I545" s="6" t="s">
        <v>1967</v>
      </c>
      <c r="J545" s="13">
        <v>871.3969999999999</v>
      </c>
      <c r="K545" s="6" t="str">
        <f t="shared" si="1"/>
        <v>Low Earnings</v>
      </c>
    </row>
    <row r="546" ht="14.25" customHeight="1">
      <c r="A546" s="6" t="s">
        <v>2511</v>
      </c>
      <c r="B546" s="17">
        <v>45449.0</v>
      </c>
      <c r="C546" s="6" t="s">
        <v>764</v>
      </c>
      <c r="D546" s="6" t="s">
        <v>1585</v>
      </c>
      <c r="E546" s="6" t="s">
        <v>1950</v>
      </c>
      <c r="F546" s="6">
        <v>4.0</v>
      </c>
      <c r="G546" s="13">
        <v>96.78</v>
      </c>
      <c r="H546" s="6">
        <v>0.11</v>
      </c>
      <c r="I546" s="6" t="s">
        <v>1967</v>
      </c>
      <c r="J546" s="13">
        <v>344.5368</v>
      </c>
      <c r="K546" s="6" t="str">
        <f t="shared" si="1"/>
        <v>Low Earnings</v>
      </c>
    </row>
    <row r="547" ht="14.25" customHeight="1">
      <c r="A547" s="6" t="s">
        <v>2512</v>
      </c>
      <c r="B547" s="17">
        <v>45629.0</v>
      </c>
      <c r="C547" s="6" t="s">
        <v>1488</v>
      </c>
      <c r="D547" s="6" t="s">
        <v>1666</v>
      </c>
      <c r="E547" s="6" t="s">
        <v>1909</v>
      </c>
      <c r="F547" s="6">
        <v>3.0</v>
      </c>
      <c r="G547" s="13">
        <v>199.41</v>
      </c>
      <c r="H547" s="6">
        <v>0.16</v>
      </c>
      <c r="I547" s="6" t="s">
        <v>1973</v>
      </c>
      <c r="J547" s="13">
        <v>502.5132</v>
      </c>
      <c r="K547" s="6" t="str">
        <f t="shared" si="1"/>
        <v>Low Earnings</v>
      </c>
    </row>
    <row r="548" ht="14.25" customHeight="1">
      <c r="A548" s="6" t="s">
        <v>2513</v>
      </c>
      <c r="B548" s="17">
        <v>45502.0</v>
      </c>
      <c r="C548" s="6" t="s">
        <v>343</v>
      </c>
      <c r="D548" s="6" t="s">
        <v>1581</v>
      </c>
      <c r="E548" s="6" t="s">
        <v>1934</v>
      </c>
      <c r="F548" s="6">
        <v>3.0</v>
      </c>
      <c r="G548" s="13">
        <v>513.36</v>
      </c>
      <c r="H548" s="6">
        <v>0.07</v>
      </c>
      <c r="I548" s="6" t="s">
        <v>1973</v>
      </c>
      <c r="J548" s="13">
        <v>1432.2744</v>
      </c>
      <c r="K548" s="6" t="str">
        <f t="shared" si="1"/>
        <v>Average Earnings</v>
      </c>
    </row>
    <row r="549" ht="14.25" customHeight="1">
      <c r="A549" s="6" t="s">
        <v>2514</v>
      </c>
      <c r="B549" s="17">
        <v>45739.0</v>
      </c>
      <c r="C549" s="6" t="s">
        <v>92</v>
      </c>
      <c r="D549" s="6" t="s">
        <v>1749</v>
      </c>
      <c r="E549" s="6" t="s">
        <v>1926</v>
      </c>
      <c r="F549" s="6">
        <v>1.0</v>
      </c>
      <c r="G549" s="13">
        <v>687.91</v>
      </c>
      <c r="H549" s="6">
        <v>0.25</v>
      </c>
      <c r="I549" s="6" t="s">
        <v>1965</v>
      </c>
      <c r="J549" s="13">
        <v>515.9325</v>
      </c>
      <c r="K549" s="6" t="str">
        <f t="shared" si="1"/>
        <v>Low Earnings</v>
      </c>
    </row>
    <row r="550" ht="14.25" customHeight="1">
      <c r="A550" s="6" t="s">
        <v>2515</v>
      </c>
      <c r="B550" s="17">
        <v>45849.0</v>
      </c>
      <c r="C550" s="6" t="s">
        <v>161</v>
      </c>
      <c r="D550" s="6" t="s">
        <v>1801</v>
      </c>
      <c r="E550" s="6" t="s">
        <v>1901</v>
      </c>
      <c r="F550" s="6">
        <v>3.0</v>
      </c>
      <c r="G550" s="13">
        <v>769.62</v>
      </c>
      <c r="H550" s="6">
        <v>0.09</v>
      </c>
      <c r="I550" s="6" t="s">
        <v>1967</v>
      </c>
      <c r="J550" s="13">
        <v>2101.0626</v>
      </c>
      <c r="K550" s="6" t="str">
        <f t="shared" si="1"/>
        <v>Average Earnings</v>
      </c>
    </row>
    <row r="551" ht="14.25" customHeight="1">
      <c r="A551" s="6" t="s">
        <v>2516</v>
      </c>
      <c r="B551" s="17">
        <v>45230.0</v>
      </c>
      <c r="C551" s="6" t="s">
        <v>726</v>
      </c>
      <c r="D551" s="6" t="s">
        <v>1577</v>
      </c>
      <c r="E551" s="6" t="s">
        <v>1906</v>
      </c>
      <c r="F551" s="6">
        <v>1.0</v>
      </c>
      <c r="G551" s="13">
        <v>492.05</v>
      </c>
      <c r="H551" s="6">
        <v>0.27</v>
      </c>
      <c r="I551" s="6" t="s">
        <v>1965</v>
      </c>
      <c r="J551" s="13">
        <v>359.1965</v>
      </c>
      <c r="K551" s="6" t="str">
        <f t="shared" si="1"/>
        <v>Low Earnings</v>
      </c>
    </row>
    <row r="552" ht="14.25" customHeight="1">
      <c r="A552" s="6" t="s">
        <v>2517</v>
      </c>
      <c r="B552" s="17">
        <v>45292.0</v>
      </c>
      <c r="C552" s="6" t="s">
        <v>377</v>
      </c>
      <c r="D552" s="6" t="s">
        <v>1630</v>
      </c>
      <c r="E552" s="6" t="s">
        <v>1934</v>
      </c>
      <c r="F552" s="6">
        <v>2.0</v>
      </c>
      <c r="G552" s="13">
        <v>428.55</v>
      </c>
      <c r="H552" s="6">
        <v>0.0</v>
      </c>
      <c r="I552" s="6" t="s">
        <v>1967</v>
      </c>
      <c r="J552" s="13">
        <v>857.1</v>
      </c>
      <c r="K552" s="6" t="str">
        <f t="shared" si="1"/>
        <v>Low Earnings</v>
      </c>
    </row>
    <row r="553" ht="14.25" customHeight="1">
      <c r="A553" s="6" t="s">
        <v>2518</v>
      </c>
      <c r="B553" s="17">
        <v>45251.0</v>
      </c>
      <c r="C553" s="6" t="s">
        <v>752</v>
      </c>
      <c r="D553" s="6" t="s">
        <v>1604</v>
      </c>
      <c r="E553" s="6" t="s">
        <v>1941</v>
      </c>
      <c r="F553" s="6">
        <v>4.0</v>
      </c>
      <c r="G553" s="13">
        <v>316.18</v>
      </c>
      <c r="H553" s="6">
        <v>0.12</v>
      </c>
      <c r="I553" s="6" t="s">
        <v>1965</v>
      </c>
      <c r="J553" s="13">
        <v>1112.9536</v>
      </c>
      <c r="K553" s="6" t="str">
        <f t="shared" si="1"/>
        <v>Average Earnings</v>
      </c>
    </row>
    <row r="554" ht="14.25" customHeight="1">
      <c r="A554" s="6" t="s">
        <v>2519</v>
      </c>
      <c r="B554" s="17">
        <v>45555.0</v>
      </c>
      <c r="C554" s="6" t="s">
        <v>47</v>
      </c>
      <c r="D554" s="6" t="s">
        <v>1615</v>
      </c>
      <c r="E554" s="6" t="s">
        <v>1906</v>
      </c>
      <c r="F554" s="6">
        <v>3.0</v>
      </c>
      <c r="G554" s="13">
        <v>162.17</v>
      </c>
      <c r="H554" s="6">
        <v>0.15</v>
      </c>
      <c r="I554" s="6" t="s">
        <v>1967</v>
      </c>
      <c r="J554" s="13">
        <v>413.5335</v>
      </c>
      <c r="K554" s="6" t="str">
        <f t="shared" si="1"/>
        <v>Low Earnings</v>
      </c>
    </row>
    <row r="555" ht="14.25" customHeight="1">
      <c r="A555" s="6" t="s">
        <v>2520</v>
      </c>
      <c r="B555" s="17">
        <v>45385.0</v>
      </c>
      <c r="C555" s="6" t="s">
        <v>1056</v>
      </c>
      <c r="D555" s="6" t="s">
        <v>1577</v>
      </c>
      <c r="E555" s="6" t="s">
        <v>1906</v>
      </c>
      <c r="F555" s="6">
        <v>3.0</v>
      </c>
      <c r="G555" s="13">
        <v>698.14</v>
      </c>
      <c r="H555" s="6">
        <v>0.04</v>
      </c>
      <c r="I555" s="6" t="s">
        <v>1967</v>
      </c>
      <c r="J555" s="13">
        <v>2010.6432</v>
      </c>
      <c r="K555" s="6" t="str">
        <f t="shared" si="1"/>
        <v>Average Earnings</v>
      </c>
    </row>
    <row r="556" ht="14.25" customHeight="1">
      <c r="A556" s="6" t="s">
        <v>2521</v>
      </c>
      <c r="B556" s="17">
        <v>45787.0</v>
      </c>
      <c r="C556" s="6" t="s">
        <v>993</v>
      </c>
      <c r="D556" s="6" t="s">
        <v>1810</v>
      </c>
      <c r="E556" s="6" t="s">
        <v>1950</v>
      </c>
      <c r="F556" s="6">
        <v>1.0</v>
      </c>
      <c r="G556" s="13">
        <v>478.08</v>
      </c>
      <c r="H556" s="6">
        <v>0.07</v>
      </c>
      <c r="I556" s="6" t="s">
        <v>1973</v>
      </c>
      <c r="J556" s="13">
        <v>444.6143999999999</v>
      </c>
      <c r="K556" s="6" t="str">
        <f t="shared" si="1"/>
        <v>Low Earnings</v>
      </c>
    </row>
    <row r="557" ht="14.25" customHeight="1">
      <c r="A557" s="6" t="s">
        <v>2522</v>
      </c>
      <c r="B557" s="17">
        <v>45822.0</v>
      </c>
      <c r="C557" s="6" t="s">
        <v>690</v>
      </c>
      <c r="D557" s="6" t="s">
        <v>1764</v>
      </c>
      <c r="E557" s="6" t="s">
        <v>1919</v>
      </c>
      <c r="F557" s="6">
        <v>2.0</v>
      </c>
      <c r="G557" s="13">
        <v>958.64</v>
      </c>
      <c r="H557" s="6">
        <v>0.2</v>
      </c>
      <c r="I557" s="6" t="s">
        <v>1967</v>
      </c>
      <c r="J557" s="13">
        <v>1533.824</v>
      </c>
      <c r="K557" s="6" t="str">
        <f t="shared" si="1"/>
        <v>Average Earnings</v>
      </c>
    </row>
    <row r="558" ht="14.25" customHeight="1">
      <c r="A558" s="6" t="s">
        <v>2523</v>
      </c>
      <c r="B558" s="17">
        <v>45590.0</v>
      </c>
      <c r="C558" s="6" t="s">
        <v>1447</v>
      </c>
      <c r="D558" s="6" t="s">
        <v>1708</v>
      </c>
      <c r="E558" s="6" t="s">
        <v>1934</v>
      </c>
      <c r="F558" s="6">
        <v>2.0</v>
      </c>
      <c r="G558" s="13">
        <v>581.19</v>
      </c>
      <c r="H558" s="6">
        <v>0.07</v>
      </c>
      <c r="I558" s="6" t="s">
        <v>1973</v>
      </c>
      <c r="J558" s="13">
        <v>1081.0134</v>
      </c>
      <c r="K558" s="6" t="str">
        <f t="shared" si="1"/>
        <v>Average Earnings</v>
      </c>
    </row>
    <row r="559" ht="14.25" customHeight="1">
      <c r="A559" s="6" t="s">
        <v>2524</v>
      </c>
      <c r="B559" s="17">
        <v>45636.0</v>
      </c>
      <c r="C559" s="6" t="s">
        <v>1365</v>
      </c>
      <c r="D559" s="6" t="s">
        <v>1691</v>
      </c>
      <c r="E559" s="6" t="s">
        <v>1926</v>
      </c>
      <c r="F559" s="6">
        <f>J559/(G559*(1-H559))</f>
        <v>3</v>
      </c>
      <c r="G559" s="13">
        <v>871.34</v>
      </c>
      <c r="H559" s="6">
        <v>0.04</v>
      </c>
      <c r="I559" s="6" t="s">
        <v>1973</v>
      </c>
      <c r="J559" s="13">
        <v>2509.4592</v>
      </c>
      <c r="K559" s="6" t="str">
        <f t="shared" si="1"/>
        <v>High Earnings</v>
      </c>
    </row>
    <row r="560" ht="14.25" customHeight="1">
      <c r="A560" s="6" t="s">
        <v>2525</v>
      </c>
      <c r="B560" s="17">
        <v>45433.0</v>
      </c>
      <c r="C560" s="6" t="s">
        <v>259</v>
      </c>
      <c r="D560" s="6" t="s">
        <v>1743</v>
      </c>
      <c r="E560" s="6" t="s">
        <v>1913</v>
      </c>
      <c r="F560" s="6">
        <v>4.0</v>
      </c>
      <c r="G560" s="13">
        <v>355.64</v>
      </c>
      <c r="H560" s="6">
        <v>0.16</v>
      </c>
      <c r="I560" s="6" t="s">
        <v>1973</v>
      </c>
      <c r="J560" s="13">
        <v>1194.9504</v>
      </c>
      <c r="K560" s="6" t="str">
        <f t="shared" si="1"/>
        <v>Average Earnings</v>
      </c>
    </row>
    <row r="561" ht="14.25" customHeight="1">
      <c r="A561" s="6" t="s">
        <v>2526</v>
      </c>
      <c r="B561" s="17">
        <v>45618.0</v>
      </c>
      <c r="C561" s="6" t="s">
        <v>401</v>
      </c>
      <c r="D561" s="6" t="s">
        <v>1885</v>
      </c>
      <c r="E561" s="6" t="s">
        <v>1932</v>
      </c>
      <c r="F561" s="6">
        <v>1.0</v>
      </c>
      <c r="G561" s="13">
        <v>736.54</v>
      </c>
      <c r="H561" s="6">
        <v>0.16</v>
      </c>
      <c r="I561" s="6" t="s">
        <v>1967</v>
      </c>
      <c r="J561" s="13">
        <v>618.6936</v>
      </c>
      <c r="K561" s="6" t="str">
        <f t="shared" si="1"/>
        <v>Low Earnings</v>
      </c>
    </row>
    <row r="562" ht="14.25" customHeight="1">
      <c r="A562" s="6" t="s">
        <v>2527</v>
      </c>
      <c r="B562" s="17">
        <v>45586.0</v>
      </c>
      <c r="C562" s="6" t="s">
        <v>1265</v>
      </c>
      <c r="D562" s="6" t="s">
        <v>1782</v>
      </c>
      <c r="E562" s="6" t="s">
        <v>1941</v>
      </c>
      <c r="F562" s="6">
        <v>1.0</v>
      </c>
      <c r="G562" s="13">
        <v>524.0</v>
      </c>
      <c r="H562" s="6">
        <v>0.28</v>
      </c>
      <c r="I562" s="6" t="s">
        <v>1965</v>
      </c>
      <c r="J562" s="13">
        <v>377.28</v>
      </c>
      <c r="K562" s="6" t="str">
        <f t="shared" si="1"/>
        <v>Low Earnings</v>
      </c>
    </row>
    <row r="563" ht="14.25" customHeight="1">
      <c r="A563" s="6" t="s">
        <v>2528</v>
      </c>
      <c r="B563" s="17">
        <v>45548.0</v>
      </c>
      <c r="C563" s="6" t="s">
        <v>186</v>
      </c>
      <c r="D563" s="6" t="s">
        <v>1666</v>
      </c>
      <c r="E563" s="6" t="s">
        <v>1906</v>
      </c>
      <c r="F563" s="6">
        <v>4.0</v>
      </c>
      <c r="G563" s="13">
        <v>566.09</v>
      </c>
      <c r="H563" s="6">
        <v>0.28</v>
      </c>
      <c r="I563" s="6" t="s">
        <v>1973</v>
      </c>
      <c r="J563" s="13">
        <v>1630.3392</v>
      </c>
      <c r="K563" s="6" t="str">
        <f t="shared" si="1"/>
        <v>Average Earnings</v>
      </c>
    </row>
    <row r="564" ht="14.25" customHeight="1">
      <c r="A564" s="6" t="s">
        <v>2529</v>
      </c>
      <c r="B564" s="17">
        <v>45772.0</v>
      </c>
      <c r="C564" s="6" t="s">
        <v>842</v>
      </c>
      <c r="D564" s="6" t="s">
        <v>1643</v>
      </c>
      <c r="E564" s="6" t="s">
        <v>1929</v>
      </c>
      <c r="F564" s="6">
        <v>1.0</v>
      </c>
      <c r="G564" s="13">
        <v>251.99</v>
      </c>
      <c r="H564" s="6">
        <v>0.09</v>
      </c>
      <c r="I564" s="6" t="s">
        <v>1965</v>
      </c>
      <c r="J564" s="13">
        <v>229.3109</v>
      </c>
      <c r="K564" s="6" t="str">
        <f t="shared" si="1"/>
        <v>Low Earnings</v>
      </c>
    </row>
    <row r="565" ht="14.25" customHeight="1">
      <c r="A565" s="6" t="s">
        <v>2530</v>
      </c>
      <c r="B565" s="17">
        <v>45361.0</v>
      </c>
      <c r="C565" s="6" t="s">
        <v>730</v>
      </c>
      <c r="D565" s="6" t="s">
        <v>1630</v>
      </c>
      <c r="E565" s="6" t="s">
        <v>1953</v>
      </c>
      <c r="F565" s="6">
        <v>1.0</v>
      </c>
      <c r="G565" s="13">
        <v>259.2</v>
      </c>
      <c r="H565" s="6">
        <v>0.27</v>
      </c>
      <c r="I565" s="6" t="s">
        <v>1973</v>
      </c>
      <c r="J565" s="13">
        <v>189.216</v>
      </c>
      <c r="K565" s="6" t="str">
        <f t="shared" si="1"/>
        <v>Low Earnings</v>
      </c>
    </row>
    <row r="566" ht="14.25" customHeight="1">
      <c r="A566" s="6" t="s">
        <v>2531</v>
      </c>
      <c r="B566" s="17">
        <v>45235.0</v>
      </c>
      <c r="C566" s="6" t="s">
        <v>1396</v>
      </c>
      <c r="D566" s="6" t="s">
        <v>1764</v>
      </c>
      <c r="E566" s="6" t="s">
        <v>1941</v>
      </c>
      <c r="F566" s="6">
        <v>1.0</v>
      </c>
      <c r="G566" s="13">
        <v>935.66</v>
      </c>
      <c r="H566" s="6">
        <v>0.26</v>
      </c>
      <c r="I566" s="6" t="s">
        <v>1967</v>
      </c>
      <c r="J566" s="13">
        <v>692.3883999999999</v>
      </c>
      <c r="K566" s="6" t="str">
        <f t="shared" si="1"/>
        <v>Low Earnings</v>
      </c>
    </row>
    <row r="567" ht="14.25" customHeight="1">
      <c r="A567" s="6" t="s">
        <v>2532</v>
      </c>
      <c r="B567" s="17">
        <v>45864.0</v>
      </c>
      <c r="C567" s="6" t="s">
        <v>1462</v>
      </c>
      <c r="D567" s="6" t="s">
        <v>1688</v>
      </c>
      <c r="E567" s="6" t="s">
        <v>1922</v>
      </c>
      <c r="F567" s="6">
        <v>4.0</v>
      </c>
      <c r="G567" s="13">
        <v>480.75</v>
      </c>
      <c r="H567" s="6">
        <v>0.02</v>
      </c>
      <c r="I567" s="6" t="s">
        <v>1965</v>
      </c>
      <c r="J567" s="13">
        <v>1884.54</v>
      </c>
      <c r="K567" s="6" t="str">
        <f t="shared" si="1"/>
        <v>Average Earnings</v>
      </c>
    </row>
    <row r="568" ht="14.25" customHeight="1">
      <c r="A568" s="6" t="s">
        <v>2533</v>
      </c>
      <c r="B568" s="17">
        <v>45681.0</v>
      </c>
      <c r="C568" s="6" t="s">
        <v>1170</v>
      </c>
      <c r="D568" s="6" t="s">
        <v>1831</v>
      </c>
      <c r="E568" s="6" t="s">
        <v>1941</v>
      </c>
      <c r="F568" s="6">
        <v>2.0</v>
      </c>
      <c r="G568" s="13">
        <v>457.83</v>
      </c>
      <c r="H568" s="6">
        <v>0.01</v>
      </c>
      <c r="I568" s="6" t="s">
        <v>1973</v>
      </c>
      <c r="J568" s="13">
        <v>906.5033999999999</v>
      </c>
      <c r="K568" s="6" t="str">
        <f t="shared" si="1"/>
        <v>Low Earnings</v>
      </c>
    </row>
    <row r="569" ht="14.25" customHeight="1">
      <c r="A569" s="6" t="s">
        <v>2534</v>
      </c>
      <c r="B569" s="17">
        <v>45905.0</v>
      </c>
      <c r="C569" s="6" t="s">
        <v>558</v>
      </c>
      <c r="D569" s="6" t="s">
        <v>1730</v>
      </c>
      <c r="E569" s="6" t="s">
        <v>1939</v>
      </c>
      <c r="F569" s="6">
        <v>1.0</v>
      </c>
      <c r="G569" s="13">
        <v>994.63</v>
      </c>
      <c r="H569" s="6">
        <v>0.28</v>
      </c>
      <c r="I569" s="6" t="s">
        <v>1965</v>
      </c>
      <c r="J569" s="13">
        <v>716.1336</v>
      </c>
      <c r="K569" s="6" t="str">
        <f t="shared" si="1"/>
        <v>Low Earnings</v>
      </c>
    </row>
    <row r="570" ht="14.25" customHeight="1">
      <c r="A570" s="6" t="s">
        <v>2535</v>
      </c>
      <c r="B570" s="17">
        <v>45765.0</v>
      </c>
      <c r="C570" s="6" t="s">
        <v>800</v>
      </c>
      <c r="D570" s="6" t="s">
        <v>1858</v>
      </c>
      <c r="E570" s="6" t="s">
        <v>1892</v>
      </c>
      <c r="F570" s="6">
        <v>3.0</v>
      </c>
      <c r="G570" s="13">
        <v>65.57</v>
      </c>
      <c r="H570" s="6">
        <v>0.3</v>
      </c>
      <c r="I570" s="6" t="s">
        <v>1973</v>
      </c>
      <c r="J570" s="13">
        <v>137.697</v>
      </c>
      <c r="K570" s="6" t="str">
        <f t="shared" si="1"/>
        <v>Low Earnings</v>
      </c>
    </row>
    <row r="571" ht="14.25" customHeight="1">
      <c r="A571" s="6" t="s">
        <v>2536</v>
      </c>
      <c r="B571" s="17">
        <v>45594.0</v>
      </c>
      <c r="C571" s="6" t="s">
        <v>104</v>
      </c>
      <c r="D571" s="6" t="s">
        <v>1615</v>
      </c>
      <c r="E571" s="6" t="s">
        <v>1922</v>
      </c>
      <c r="F571" s="6">
        <v>4.0</v>
      </c>
      <c r="G571" s="13">
        <v>535.4</v>
      </c>
      <c r="H571" s="6">
        <v>0.26</v>
      </c>
      <c r="I571" s="6" t="s">
        <v>1967</v>
      </c>
      <c r="J571" s="13">
        <v>1584.784</v>
      </c>
      <c r="K571" s="6" t="str">
        <f t="shared" si="1"/>
        <v>Average Earnings</v>
      </c>
    </row>
    <row r="572" ht="14.25" customHeight="1">
      <c r="A572" s="6" t="s">
        <v>2537</v>
      </c>
      <c r="B572" s="17">
        <v>45821.0</v>
      </c>
      <c r="C572" s="6" t="s">
        <v>546</v>
      </c>
      <c r="D572" s="6" t="s">
        <v>1761</v>
      </c>
      <c r="E572" s="6" t="s">
        <v>1947</v>
      </c>
      <c r="F572" s="6">
        <v>3.0</v>
      </c>
      <c r="G572" s="13">
        <v>622.98</v>
      </c>
      <c r="H572" s="6">
        <v>0.28</v>
      </c>
      <c r="I572" s="6" t="s">
        <v>1967</v>
      </c>
      <c r="J572" s="13">
        <v>1345.6368</v>
      </c>
      <c r="K572" s="6" t="str">
        <f t="shared" si="1"/>
        <v>Average Earnings</v>
      </c>
    </row>
    <row r="573" ht="14.25" customHeight="1">
      <c r="A573" s="6" t="s">
        <v>2538</v>
      </c>
      <c r="B573" s="17">
        <v>45691.0</v>
      </c>
      <c r="C573" s="6" t="s">
        <v>815</v>
      </c>
      <c r="D573" s="6" t="s">
        <v>1752</v>
      </c>
      <c r="E573" s="6" t="s">
        <v>1937</v>
      </c>
      <c r="F573" s="6">
        <v>1.0</v>
      </c>
      <c r="G573" s="13">
        <v>170.68</v>
      </c>
      <c r="H573" s="6">
        <v>0.13</v>
      </c>
      <c r="I573" s="6" t="s">
        <v>1967</v>
      </c>
      <c r="J573" s="13">
        <v>148.4916</v>
      </c>
      <c r="K573" s="6" t="str">
        <f t="shared" si="1"/>
        <v>Low Earnings</v>
      </c>
    </row>
    <row r="574" ht="14.25" customHeight="1">
      <c r="A574" s="6" t="s">
        <v>2539</v>
      </c>
      <c r="B574" s="17">
        <v>45860.0</v>
      </c>
      <c r="C574" s="6" t="s">
        <v>352</v>
      </c>
      <c r="D574" s="6" t="s">
        <v>1590</v>
      </c>
      <c r="E574" s="6" t="s">
        <v>1922</v>
      </c>
      <c r="F574" s="6">
        <v>4.0</v>
      </c>
      <c r="G574" s="13">
        <v>797.83</v>
      </c>
      <c r="H574" s="6">
        <v>0.08</v>
      </c>
      <c r="I574" s="6" t="s">
        <v>1965</v>
      </c>
      <c r="J574" s="13">
        <v>2936.0144</v>
      </c>
      <c r="K574" s="6" t="str">
        <f t="shared" si="1"/>
        <v>High Earnings</v>
      </c>
    </row>
    <row r="575" ht="14.25" customHeight="1">
      <c r="A575" s="6" t="s">
        <v>2540</v>
      </c>
      <c r="B575" s="17">
        <v>45922.0</v>
      </c>
      <c r="C575" s="6" t="s">
        <v>358</v>
      </c>
      <c r="D575" s="6" t="s">
        <v>1570</v>
      </c>
      <c r="E575" s="6" t="s">
        <v>1944</v>
      </c>
      <c r="F575" s="6">
        <v>1.0</v>
      </c>
      <c r="G575" s="13">
        <v>372.75</v>
      </c>
      <c r="H575" s="6">
        <v>0.12</v>
      </c>
      <c r="I575" s="6" t="s">
        <v>1965</v>
      </c>
      <c r="J575" s="13">
        <v>328.02</v>
      </c>
      <c r="K575" s="6" t="str">
        <f t="shared" si="1"/>
        <v>Low Earnings</v>
      </c>
    </row>
    <row r="576" ht="14.25" customHeight="1">
      <c r="A576" s="6" t="s">
        <v>2541</v>
      </c>
      <c r="B576" s="17">
        <v>45477.0</v>
      </c>
      <c r="C576" s="6" t="s">
        <v>1251</v>
      </c>
      <c r="D576" s="6" t="s">
        <v>1770</v>
      </c>
      <c r="E576" s="6" t="s">
        <v>1909</v>
      </c>
      <c r="F576" s="6">
        <v>1.0</v>
      </c>
      <c r="G576" s="13">
        <v>994.18</v>
      </c>
      <c r="H576" s="6">
        <v>0.05</v>
      </c>
      <c r="I576" s="6" t="s">
        <v>1967</v>
      </c>
      <c r="J576" s="13">
        <v>944.4709999999999</v>
      </c>
      <c r="K576" s="6" t="str">
        <f t="shared" si="1"/>
        <v>Low Earnings</v>
      </c>
    </row>
    <row r="577" ht="14.25" customHeight="1">
      <c r="A577" s="6" t="s">
        <v>2542</v>
      </c>
      <c r="B577" s="17">
        <v>45504.0</v>
      </c>
      <c r="C577" s="6" t="s">
        <v>1326</v>
      </c>
      <c r="D577" s="6" t="s">
        <v>1640</v>
      </c>
      <c r="E577" s="6" t="s">
        <v>1937</v>
      </c>
      <c r="F577" s="6">
        <v>1.0</v>
      </c>
      <c r="G577" s="13">
        <v>136.12</v>
      </c>
      <c r="H577" s="6">
        <v>0.07</v>
      </c>
      <c r="I577" s="6" t="s">
        <v>1965</v>
      </c>
      <c r="J577" s="13">
        <v>126.5916</v>
      </c>
      <c r="K577" s="6" t="str">
        <f t="shared" si="1"/>
        <v>Low Earnings</v>
      </c>
    </row>
    <row r="578" ht="14.25" customHeight="1">
      <c r="A578" s="6" t="s">
        <v>2543</v>
      </c>
      <c r="B578" s="17">
        <v>45862.0</v>
      </c>
      <c r="C578" s="6" t="s">
        <v>132</v>
      </c>
      <c r="D578" s="6" t="s">
        <v>1743</v>
      </c>
      <c r="E578" s="6" t="s">
        <v>1950</v>
      </c>
      <c r="F578" s="6">
        <v>3.0</v>
      </c>
      <c r="G578" s="13">
        <v>634.45</v>
      </c>
      <c r="H578" s="6">
        <v>0.17</v>
      </c>
      <c r="I578" s="6" t="s">
        <v>1967</v>
      </c>
      <c r="J578" s="13">
        <v>1579.7805</v>
      </c>
      <c r="K578" s="6" t="str">
        <f t="shared" si="1"/>
        <v>Average Earnings</v>
      </c>
    </row>
    <row r="579" ht="14.25" customHeight="1">
      <c r="A579" s="6" t="s">
        <v>2544</v>
      </c>
      <c r="B579" s="17">
        <v>45579.0</v>
      </c>
      <c r="C579" s="6" t="s">
        <v>1050</v>
      </c>
      <c r="D579" s="6" t="s">
        <v>1779</v>
      </c>
      <c r="E579" s="6" t="s">
        <v>1892</v>
      </c>
      <c r="F579" s="6">
        <v>4.0</v>
      </c>
      <c r="G579" s="13">
        <v>179.62</v>
      </c>
      <c r="H579" s="6">
        <v>0.05</v>
      </c>
      <c r="I579" s="6" t="s">
        <v>1965</v>
      </c>
      <c r="J579" s="13">
        <v>682.556</v>
      </c>
      <c r="K579" s="6" t="str">
        <f t="shared" si="1"/>
        <v>Low Earnings</v>
      </c>
    </row>
    <row r="580" ht="14.25" customHeight="1">
      <c r="A580" s="6" t="s">
        <v>2545</v>
      </c>
      <c r="B580" s="17">
        <v>45658.0</v>
      </c>
      <c r="C580" s="6" t="s">
        <v>947</v>
      </c>
      <c r="D580" s="6" t="s">
        <v>1640</v>
      </c>
      <c r="E580" s="6" t="s">
        <v>1950</v>
      </c>
      <c r="F580" s="6">
        <v>4.0</v>
      </c>
      <c r="G580" s="13">
        <v>558.83</v>
      </c>
      <c r="H580" s="6">
        <v>0.16</v>
      </c>
      <c r="I580" s="6" t="s">
        <v>1967</v>
      </c>
      <c r="J580" s="13">
        <v>1877.6688</v>
      </c>
      <c r="K580" s="6" t="str">
        <f t="shared" si="1"/>
        <v>Average Earnings</v>
      </c>
    </row>
    <row r="581" ht="14.25" customHeight="1">
      <c r="A581" s="6" t="s">
        <v>2546</v>
      </c>
      <c r="B581" s="17">
        <v>45664.0</v>
      </c>
      <c r="C581" s="6" t="s">
        <v>579</v>
      </c>
      <c r="D581" s="6" t="s">
        <v>1870</v>
      </c>
      <c r="E581" s="6" t="s">
        <v>1916</v>
      </c>
      <c r="F581" s="6">
        <v>2.0</v>
      </c>
      <c r="G581" s="13">
        <v>859.74</v>
      </c>
      <c r="H581" s="6">
        <v>0.25</v>
      </c>
      <c r="I581" s="6" t="s">
        <v>1973</v>
      </c>
      <c r="J581" s="13">
        <v>1289.61</v>
      </c>
      <c r="K581" s="6" t="str">
        <f t="shared" si="1"/>
        <v>Average Earnings</v>
      </c>
    </row>
    <row r="582" ht="14.25" customHeight="1">
      <c r="A582" s="6" t="s">
        <v>2547</v>
      </c>
      <c r="B582" s="17">
        <v>45798.0</v>
      </c>
      <c r="C582" s="6" t="s">
        <v>794</v>
      </c>
      <c r="D582" s="6" t="s">
        <v>1795</v>
      </c>
      <c r="E582" s="6" t="s">
        <v>1953</v>
      </c>
      <c r="F582" s="6">
        <v>2.0</v>
      </c>
      <c r="G582" s="13">
        <v>108.74</v>
      </c>
      <c r="H582" s="6">
        <v>0.11</v>
      </c>
      <c r="I582" s="6" t="s">
        <v>1967</v>
      </c>
      <c r="J582" s="13">
        <v>193.5572</v>
      </c>
      <c r="K582" s="6" t="str">
        <f t="shared" si="1"/>
        <v>Low Earnings</v>
      </c>
    </row>
    <row r="583" ht="14.25" customHeight="1">
      <c r="A583" s="6" t="s">
        <v>2548</v>
      </c>
      <c r="B583" s="17">
        <v>45936.0</v>
      </c>
      <c r="C583" s="6" t="s">
        <v>383</v>
      </c>
      <c r="D583" s="6" t="s">
        <v>1782</v>
      </c>
      <c r="E583" s="6" t="s">
        <v>1944</v>
      </c>
      <c r="F583" s="6">
        <v>3.0</v>
      </c>
      <c r="G583" s="13">
        <v>578.47</v>
      </c>
      <c r="H583" s="6">
        <v>0.06</v>
      </c>
      <c r="I583" s="6" t="s">
        <v>1973</v>
      </c>
      <c r="J583" s="13">
        <v>1631.2854</v>
      </c>
      <c r="K583" s="6" t="str">
        <f t="shared" si="1"/>
        <v>Average Earnings</v>
      </c>
    </row>
    <row r="584" ht="14.25" customHeight="1">
      <c r="A584" s="6" t="s">
        <v>2549</v>
      </c>
      <c r="B584" s="17">
        <v>45344.0</v>
      </c>
      <c r="C584" s="6" t="s">
        <v>216</v>
      </c>
      <c r="D584" s="6" t="s">
        <v>1643</v>
      </c>
      <c r="E584" s="6" t="s">
        <v>1934</v>
      </c>
      <c r="F584" s="6">
        <v>1.0</v>
      </c>
      <c r="G584" s="13">
        <v>440.48</v>
      </c>
      <c r="H584" s="6">
        <v>0.11</v>
      </c>
      <c r="I584" s="6" t="s">
        <v>1973</v>
      </c>
      <c r="J584" s="13">
        <v>392.0272000000001</v>
      </c>
      <c r="K584" s="6" t="str">
        <f t="shared" si="1"/>
        <v>Low Earnings</v>
      </c>
    </row>
    <row r="585" ht="14.25" customHeight="1">
      <c r="A585" s="6" t="s">
        <v>2550</v>
      </c>
      <c r="B585" s="17">
        <v>45329.0</v>
      </c>
      <c r="C585" s="6" t="s">
        <v>82</v>
      </c>
      <c r="D585" s="6" t="s">
        <v>1626</v>
      </c>
      <c r="E585" s="6" t="s">
        <v>1953</v>
      </c>
      <c r="F585" s="6">
        <v>2.0</v>
      </c>
      <c r="G585" s="13">
        <v>303.67</v>
      </c>
      <c r="H585" s="6">
        <v>0.05</v>
      </c>
      <c r="I585" s="6" t="s">
        <v>1967</v>
      </c>
      <c r="J585" s="13">
        <v>576.973</v>
      </c>
      <c r="K585" s="6" t="str">
        <f t="shared" si="1"/>
        <v>Low Earnings</v>
      </c>
    </row>
    <row r="586" ht="14.25" customHeight="1">
      <c r="A586" s="6" t="s">
        <v>2551</v>
      </c>
      <c r="B586" s="17">
        <v>45895.0</v>
      </c>
      <c r="C586" s="6" t="s">
        <v>1071</v>
      </c>
      <c r="D586" s="6" t="s">
        <v>1810</v>
      </c>
      <c r="E586" s="6" t="s">
        <v>1939</v>
      </c>
      <c r="F586" s="6">
        <v>2.0</v>
      </c>
      <c r="G586" s="13">
        <v>611.21</v>
      </c>
      <c r="H586" s="6">
        <v>0.22</v>
      </c>
      <c r="I586" s="6" t="s">
        <v>1973</v>
      </c>
      <c r="J586" s="13">
        <v>953.4876</v>
      </c>
      <c r="K586" s="6" t="str">
        <f t="shared" si="1"/>
        <v>Low Earnings</v>
      </c>
    </row>
    <row r="587" ht="14.25" customHeight="1">
      <c r="A587" s="6" t="s">
        <v>2552</v>
      </c>
      <c r="B587" s="17">
        <v>45239.0</v>
      </c>
      <c r="C587" s="6" t="s">
        <v>672</v>
      </c>
      <c r="D587" s="6" t="s">
        <v>1701</v>
      </c>
      <c r="E587" s="6" t="s">
        <v>1941</v>
      </c>
      <c r="F587" s="6">
        <v>2.0</v>
      </c>
      <c r="G587" s="13">
        <v>768.08</v>
      </c>
      <c r="H587" s="6">
        <v>0.26</v>
      </c>
      <c r="I587" s="6" t="s">
        <v>1967</v>
      </c>
      <c r="J587" s="13">
        <v>1136.7584</v>
      </c>
      <c r="K587" s="6" t="str">
        <f t="shared" si="1"/>
        <v>Average Earnings</v>
      </c>
    </row>
    <row r="588" ht="14.25" customHeight="1">
      <c r="A588" s="6" t="s">
        <v>2553</v>
      </c>
      <c r="B588" s="17">
        <v>45296.0</v>
      </c>
      <c r="C588" s="6" t="s">
        <v>952</v>
      </c>
      <c r="D588" s="6" t="s">
        <v>1650</v>
      </c>
      <c r="E588" s="6" t="s">
        <v>1950</v>
      </c>
      <c r="F588" s="6">
        <v>1.0</v>
      </c>
      <c r="G588" s="13">
        <v>616.82</v>
      </c>
      <c r="H588" s="6">
        <v>0.24</v>
      </c>
      <c r="I588" s="6" t="s">
        <v>1965</v>
      </c>
      <c r="J588" s="13">
        <v>468.7832</v>
      </c>
      <c r="K588" s="6" t="str">
        <f t="shared" si="1"/>
        <v>Low Earnings</v>
      </c>
    </row>
    <row r="589" ht="14.25" customHeight="1">
      <c r="A589" s="6" t="s">
        <v>2554</v>
      </c>
      <c r="B589" s="17">
        <v>45672.0</v>
      </c>
      <c r="C589" s="6" t="s">
        <v>616</v>
      </c>
      <c r="D589" s="6" t="s">
        <v>1705</v>
      </c>
      <c r="E589" s="6" t="s">
        <v>1950</v>
      </c>
      <c r="F589" s="6">
        <v>1.0</v>
      </c>
      <c r="G589" s="13">
        <v>470.34</v>
      </c>
      <c r="H589" s="6">
        <v>0.18</v>
      </c>
      <c r="I589" s="6" t="s">
        <v>1973</v>
      </c>
      <c r="J589" s="13">
        <v>385.6788</v>
      </c>
      <c r="K589" s="6" t="str">
        <f t="shared" si="1"/>
        <v>Low Earnings</v>
      </c>
    </row>
    <row r="590" ht="14.25" customHeight="1">
      <c r="A590" s="6" t="s">
        <v>2555</v>
      </c>
      <c r="B590" s="17">
        <v>45499.0</v>
      </c>
      <c r="C590" s="6" t="s">
        <v>723</v>
      </c>
      <c r="D590" s="6" t="s">
        <v>1746</v>
      </c>
      <c r="E590" s="6" t="s">
        <v>1922</v>
      </c>
      <c r="F590" s="6">
        <v>2.0</v>
      </c>
      <c r="G590" s="13">
        <v>616.36</v>
      </c>
      <c r="H590" s="6">
        <v>0.12</v>
      </c>
      <c r="I590" s="6" t="s">
        <v>1967</v>
      </c>
      <c r="J590" s="13">
        <v>1084.7936</v>
      </c>
      <c r="K590" s="6" t="str">
        <f t="shared" si="1"/>
        <v>Average Earnings</v>
      </c>
    </row>
    <row r="591" ht="14.25" customHeight="1">
      <c r="A591" s="6" t="s">
        <v>2556</v>
      </c>
      <c r="B591" s="17">
        <v>45434.0</v>
      </c>
      <c r="C591" s="6" t="s">
        <v>306</v>
      </c>
      <c r="D591" s="6" t="s">
        <v>1574</v>
      </c>
      <c r="E591" s="6" t="s">
        <v>1926</v>
      </c>
      <c r="F591" s="6">
        <v>3.0</v>
      </c>
      <c r="G591" s="13">
        <v>657.24</v>
      </c>
      <c r="H591" s="6">
        <v>0.18</v>
      </c>
      <c r="I591" s="6" t="s">
        <v>1967</v>
      </c>
      <c r="J591" s="13">
        <v>1616.8104</v>
      </c>
      <c r="K591" s="6" t="str">
        <f t="shared" si="1"/>
        <v>Average Earnings</v>
      </c>
    </row>
    <row r="592" ht="14.25" customHeight="1">
      <c r="A592" s="6" t="s">
        <v>2557</v>
      </c>
      <c r="B592" s="17">
        <v>45893.0</v>
      </c>
      <c r="C592" s="6" t="s">
        <v>145</v>
      </c>
      <c r="D592" s="6" t="s">
        <v>1708</v>
      </c>
      <c r="E592" s="6" t="s">
        <v>1953</v>
      </c>
      <c r="F592" s="6">
        <v>2.0</v>
      </c>
      <c r="G592" s="13">
        <v>392.45</v>
      </c>
      <c r="H592" s="6">
        <v>0.04</v>
      </c>
      <c r="I592" s="6" t="s">
        <v>1967</v>
      </c>
      <c r="J592" s="13">
        <v>753.5039999999999</v>
      </c>
      <c r="K592" s="6" t="str">
        <f t="shared" si="1"/>
        <v>Low Earnings</v>
      </c>
    </row>
    <row r="593" ht="14.25" customHeight="1">
      <c r="A593" s="6" t="s">
        <v>2558</v>
      </c>
      <c r="B593" s="17">
        <v>45579.0</v>
      </c>
      <c r="C593" s="6" t="s">
        <v>1005</v>
      </c>
      <c r="D593" s="6" t="s">
        <v>1608</v>
      </c>
      <c r="E593" s="6" t="s">
        <v>1953</v>
      </c>
      <c r="F593" s="6">
        <v>3.0</v>
      </c>
      <c r="G593" s="13">
        <v>591.98</v>
      </c>
      <c r="H593" s="6">
        <v>0.16</v>
      </c>
      <c r="I593" s="6" t="s">
        <v>1965</v>
      </c>
      <c r="J593" s="13">
        <v>1491.7896</v>
      </c>
      <c r="K593" s="6" t="str">
        <f t="shared" si="1"/>
        <v>Average Earnings</v>
      </c>
    </row>
    <row r="594" ht="14.25" customHeight="1">
      <c r="A594" s="6" t="s">
        <v>2559</v>
      </c>
      <c r="B594" s="17">
        <v>45346.0</v>
      </c>
      <c r="C594" s="6" t="s">
        <v>800</v>
      </c>
      <c r="D594" s="6" t="s">
        <v>1705</v>
      </c>
      <c r="E594" s="6" t="s">
        <v>1939</v>
      </c>
      <c r="F594" s="6">
        <v>3.0</v>
      </c>
      <c r="G594" s="13">
        <v>62.03</v>
      </c>
      <c r="H594" s="6">
        <v>0.01</v>
      </c>
      <c r="I594" s="6" t="s">
        <v>1973</v>
      </c>
      <c r="J594" s="13">
        <v>184.2291</v>
      </c>
      <c r="K594" s="6" t="str">
        <f t="shared" si="1"/>
        <v>Low Earnings</v>
      </c>
    </row>
    <row r="595" ht="14.25" customHeight="1">
      <c r="A595" s="6" t="s">
        <v>2560</v>
      </c>
      <c r="B595" s="17">
        <v>45613.0</v>
      </c>
      <c r="C595" s="6" t="s">
        <v>340</v>
      </c>
      <c r="D595" s="6" t="s">
        <v>1876</v>
      </c>
      <c r="E595" s="6" t="s">
        <v>1906</v>
      </c>
      <c r="F595" s="6">
        <v>4.0</v>
      </c>
      <c r="G595" s="13">
        <v>933.73</v>
      </c>
      <c r="H595" s="6">
        <v>0.25</v>
      </c>
      <c r="I595" s="6" t="s">
        <v>1967</v>
      </c>
      <c r="J595" s="13">
        <v>2801.19</v>
      </c>
      <c r="K595" s="6" t="str">
        <f t="shared" si="1"/>
        <v>High Earnings</v>
      </c>
    </row>
    <row r="596" ht="14.25" customHeight="1">
      <c r="A596" s="6" t="s">
        <v>2561</v>
      </c>
      <c r="B596" s="17">
        <v>45928.0</v>
      </c>
      <c r="C596" s="6" t="s">
        <v>531</v>
      </c>
      <c r="D596" s="6" t="s">
        <v>1843</v>
      </c>
      <c r="E596" s="6" t="s">
        <v>1944</v>
      </c>
      <c r="F596" s="6">
        <v>3.0</v>
      </c>
      <c r="G596" s="13">
        <v>615.31</v>
      </c>
      <c r="H596" s="6">
        <v>0.14</v>
      </c>
      <c r="I596" s="6" t="s">
        <v>1967</v>
      </c>
      <c r="J596" s="13">
        <v>1587.4998</v>
      </c>
      <c r="K596" s="6" t="str">
        <f t="shared" si="1"/>
        <v>Average Earnings</v>
      </c>
    </row>
    <row r="597" ht="14.25" customHeight="1">
      <c r="A597" s="6" t="s">
        <v>2562</v>
      </c>
      <c r="B597" s="17">
        <v>45619.0</v>
      </c>
      <c r="C597" s="6" t="s">
        <v>1182</v>
      </c>
      <c r="D597" s="6" t="s">
        <v>1764</v>
      </c>
      <c r="E597" s="6" t="s">
        <v>1950</v>
      </c>
      <c r="F597" s="6">
        <v>4.0</v>
      </c>
      <c r="G597" s="13">
        <v>790.38</v>
      </c>
      <c r="H597" s="6">
        <v>0.22</v>
      </c>
      <c r="I597" s="6" t="s">
        <v>1973</v>
      </c>
      <c r="J597" s="13">
        <v>2465.9856</v>
      </c>
      <c r="K597" s="6" t="str">
        <f t="shared" si="1"/>
        <v>Average Earnings</v>
      </c>
    </row>
    <row r="598" ht="14.25" customHeight="1">
      <c r="A598" s="6" t="s">
        <v>2563</v>
      </c>
      <c r="B598" s="17">
        <v>45533.0</v>
      </c>
      <c r="C598" s="6" t="s">
        <v>872</v>
      </c>
      <c r="D598" s="6" t="s">
        <v>1764</v>
      </c>
      <c r="E598" s="6" t="s">
        <v>1947</v>
      </c>
      <c r="F598" s="6">
        <v>2.0</v>
      </c>
      <c r="G598" s="13">
        <v>102.85</v>
      </c>
      <c r="H598" s="6">
        <v>0.08</v>
      </c>
      <c r="I598" s="6" t="s">
        <v>1967</v>
      </c>
      <c r="J598" s="13">
        <v>189.244</v>
      </c>
      <c r="K598" s="6" t="str">
        <f t="shared" si="1"/>
        <v>Low Earnings</v>
      </c>
    </row>
    <row r="599" ht="14.25" customHeight="1">
      <c r="A599" s="6" t="s">
        <v>2564</v>
      </c>
      <c r="B599" s="17">
        <v>45781.0</v>
      </c>
      <c r="C599" s="6" t="s">
        <v>161</v>
      </c>
      <c r="D599" s="6" t="s">
        <v>1608</v>
      </c>
      <c r="E599" s="6" t="s">
        <v>1944</v>
      </c>
      <c r="F599" s="6">
        <v>3.0</v>
      </c>
      <c r="G599" s="13">
        <v>866.78</v>
      </c>
      <c r="H599" s="6">
        <v>0.27</v>
      </c>
      <c r="I599" s="6" t="s">
        <v>1967</v>
      </c>
      <c r="J599" s="13">
        <v>1898.2482</v>
      </c>
      <c r="K599" s="6" t="str">
        <f t="shared" si="1"/>
        <v>Average Earnings</v>
      </c>
    </row>
    <row r="600" ht="14.25" customHeight="1">
      <c r="A600" s="6" t="s">
        <v>2565</v>
      </c>
      <c r="B600" s="17">
        <v>45378.0</v>
      </c>
      <c r="C600" s="6" t="s">
        <v>690</v>
      </c>
      <c r="D600" s="6" t="s">
        <v>1822</v>
      </c>
      <c r="E600" s="6" t="s">
        <v>1944</v>
      </c>
      <c r="F600" s="6">
        <v>3.0</v>
      </c>
      <c r="G600" s="13">
        <v>392.84</v>
      </c>
      <c r="H600" s="6">
        <v>0.27</v>
      </c>
      <c r="I600" s="6" t="s">
        <v>1967</v>
      </c>
      <c r="J600" s="13">
        <v>860.3195999999999</v>
      </c>
      <c r="K600" s="6" t="str">
        <f t="shared" si="1"/>
        <v>Low Earnings</v>
      </c>
    </row>
    <row r="601" ht="14.25" customHeight="1">
      <c r="A601" s="6" t="s">
        <v>2566</v>
      </c>
      <c r="B601" s="17">
        <v>45688.0</v>
      </c>
      <c r="C601" s="6" t="s">
        <v>1032</v>
      </c>
      <c r="D601" s="6" t="s">
        <v>1599</v>
      </c>
      <c r="E601" s="6" t="s">
        <v>1913</v>
      </c>
      <c r="F601" s="6">
        <v>2.0</v>
      </c>
      <c r="G601" s="13">
        <v>753.1</v>
      </c>
      <c r="H601" s="6">
        <v>0.19</v>
      </c>
      <c r="I601" s="6" t="s">
        <v>1967</v>
      </c>
      <c r="J601" s="13">
        <v>1220.022</v>
      </c>
      <c r="K601" s="6" t="str">
        <f t="shared" si="1"/>
        <v>Average Earnings</v>
      </c>
    </row>
    <row r="602" ht="14.25" customHeight="1">
      <c r="A602" s="6" t="s">
        <v>2567</v>
      </c>
      <c r="B602" s="17">
        <v>45927.0</v>
      </c>
      <c r="C602" s="6" t="s">
        <v>47</v>
      </c>
      <c r="D602" s="6" t="s">
        <v>1749</v>
      </c>
      <c r="E602" s="6" t="s">
        <v>1947</v>
      </c>
      <c r="F602" s="6">
        <v>2.0</v>
      </c>
      <c r="G602" s="13">
        <v>700.91</v>
      </c>
      <c r="H602" s="6">
        <v>0.1</v>
      </c>
      <c r="I602" s="6" t="s">
        <v>1967</v>
      </c>
      <c r="J602" s="13">
        <v>1261.638</v>
      </c>
      <c r="K602" s="6" t="str">
        <f t="shared" si="1"/>
        <v>Average Earnings</v>
      </c>
    </row>
    <row r="603" ht="14.25" customHeight="1">
      <c r="A603" s="6" t="s">
        <v>2568</v>
      </c>
      <c r="B603" s="17">
        <v>45775.0</v>
      </c>
      <c r="C603" s="6" t="s">
        <v>272</v>
      </c>
      <c r="D603" s="6" t="s">
        <v>1622</v>
      </c>
      <c r="E603" s="6" t="s">
        <v>1934</v>
      </c>
      <c r="F603" s="6">
        <v>4.0</v>
      </c>
      <c r="G603" s="13">
        <v>935.98</v>
      </c>
      <c r="H603" s="6">
        <v>0.11</v>
      </c>
      <c r="I603" s="6" t="s">
        <v>1967</v>
      </c>
      <c r="J603" s="13">
        <v>3332.0888</v>
      </c>
      <c r="K603" s="6" t="str">
        <f t="shared" si="1"/>
        <v>High Earnings</v>
      </c>
    </row>
    <row r="604" ht="14.25" customHeight="1">
      <c r="A604" s="6" t="s">
        <v>2569</v>
      </c>
      <c r="B604" s="17">
        <v>45613.0</v>
      </c>
      <c r="C604" s="6" t="s">
        <v>1276</v>
      </c>
      <c r="D604" s="6" t="s">
        <v>1730</v>
      </c>
      <c r="E604" s="6" t="s">
        <v>1901</v>
      </c>
      <c r="F604" s="6">
        <v>1.0</v>
      </c>
      <c r="G604" s="13">
        <v>345.06</v>
      </c>
      <c r="H604" s="6">
        <v>0.13</v>
      </c>
      <c r="I604" s="6" t="s">
        <v>1973</v>
      </c>
      <c r="J604" s="13">
        <v>300.2022</v>
      </c>
      <c r="K604" s="6" t="str">
        <f t="shared" si="1"/>
        <v>Low Earnings</v>
      </c>
    </row>
    <row r="605" ht="14.25" customHeight="1">
      <c r="A605" s="6" t="s">
        <v>2570</v>
      </c>
      <c r="B605" s="17">
        <v>45849.0</v>
      </c>
      <c r="C605" s="6" t="s">
        <v>1508</v>
      </c>
      <c r="D605" s="6" t="s">
        <v>1816</v>
      </c>
      <c r="E605" s="6" t="s">
        <v>1944</v>
      </c>
      <c r="F605" s="6">
        <v>1.0</v>
      </c>
      <c r="G605" s="13">
        <v>539.9</v>
      </c>
      <c r="H605" s="6">
        <v>0.07</v>
      </c>
      <c r="I605" s="6" t="s">
        <v>1965</v>
      </c>
      <c r="J605" s="13">
        <v>502.107</v>
      </c>
      <c r="K605" s="6" t="str">
        <f t="shared" si="1"/>
        <v>Low Earnings</v>
      </c>
    </row>
    <row r="606" ht="14.25" customHeight="1">
      <c r="A606" s="6" t="s">
        <v>2571</v>
      </c>
      <c r="B606" s="17">
        <v>45573.0</v>
      </c>
      <c r="C606" s="6" t="s">
        <v>579</v>
      </c>
      <c r="D606" s="6" t="s">
        <v>1705</v>
      </c>
      <c r="E606" s="6" t="s">
        <v>1916</v>
      </c>
      <c r="F606" s="6">
        <v>1.0</v>
      </c>
      <c r="G606" s="13">
        <v>312.81</v>
      </c>
      <c r="H606" s="6">
        <v>0.14</v>
      </c>
      <c r="I606" s="6" t="s">
        <v>1967</v>
      </c>
      <c r="J606" s="13">
        <v>269.0166</v>
      </c>
      <c r="K606" s="6" t="str">
        <f t="shared" si="1"/>
        <v>Low Earnings</v>
      </c>
    </row>
    <row r="607" ht="14.25" customHeight="1">
      <c r="A607" s="6" t="s">
        <v>2572</v>
      </c>
      <c r="B607" s="17">
        <v>45356.0</v>
      </c>
      <c r="C607" s="6" t="s">
        <v>812</v>
      </c>
      <c r="D607" s="6" t="s">
        <v>1730</v>
      </c>
      <c r="E607" s="6" t="s">
        <v>1919</v>
      </c>
      <c r="F607" s="6">
        <v>3.0</v>
      </c>
      <c r="G607" s="13">
        <v>855.96</v>
      </c>
      <c r="H607" s="6">
        <v>0.29</v>
      </c>
      <c r="I607" s="6" t="s">
        <v>1973</v>
      </c>
      <c r="J607" s="13">
        <v>1823.1948</v>
      </c>
      <c r="K607" s="6" t="str">
        <f t="shared" si="1"/>
        <v>Average Earnings</v>
      </c>
    </row>
    <row r="608" ht="14.25" customHeight="1">
      <c r="A608" s="6" t="s">
        <v>2573</v>
      </c>
      <c r="B608" s="17">
        <v>45326.0</v>
      </c>
      <c r="C608" s="6" t="s">
        <v>1128</v>
      </c>
      <c r="D608" s="6" t="s">
        <v>1565</v>
      </c>
      <c r="E608" s="6" t="s">
        <v>1932</v>
      </c>
      <c r="F608" s="6">
        <v>3.0</v>
      </c>
      <c r="G608" s="13">
        <v>305.0</v>
      </c>
      <c r="H608" s="6">
        <v>0.01</v>
      </c>
      <c r="I608" s="6" t="s">
        <v>1973</v>
      </c>
      <c r="J608" s="13">
        <v>905.85</v>
      </c>
      <c r="K608" s="6" t="str">
        <f t="shared" si="1"/>
        <v>Low Earnings</v>
      </c>
    </row>
    <row r="609" ht="14.25" customHeight="1">
      <c r="A609" s="6" t="s">
        <v>2574</v>
      </c>
      <c r="B609" s="17">
        <v>45361.0</v>
      </c>
      <c r="C609" s="6" t="s">
        <v>1459</v>
      </c>
      <c r="D609" s="6" t="s">
        <v>1885</v>
      </c>
      <c r="E609" s="6" t="s">
        <v>1934</v>
      </c>
      <c r="F609" s="6">
        <v>3.0</v>
      </c>
      <c r="G609" s="13">
        <v>831.15</v>
      </c>
      <c r="H609" s="6">
        <v>0.19</v>
      </c>
      <c r="I609" s="6" t="s">
        <v>1965</v>
      </c>
      <c r="J609" s="13">
        <v>2019.6945</v>
      </c>
      <c r="K609" s="6" t="str">
        <f t="shared" si="1"/>
        <v>Average Earnings</v>
      </c>
    </row>
    <row r="610" ht="14.25" customHeight="1">
      <c r="A610" s="6" t="s">
        <v>2575</v>
      </c>
      <c r="B610" s="17">
        <v>45926.0</v>
      </c>
      <c r="C610" s="6" t="s">
        <v>687</v>
      </c>
      <c r="D610" s="6" t="s">
        <v>1876</v>
      </c>
      <c r="E610" s="6" t="s">
        <v>1906</v>
      </c>
      <c r="F610" s="6">
        <v>2.0</v>
      </c>
      <c r="G610" s="13">
        <v>644.97</v>
      </c>
      <c r="H610" s="6">
        <v>0.24</v>
      </c>
      <c r="I610" s="6" t="s">
        <v>1973</v>
      </c>
      <c r="J610" s="13">
        <v>980.3544</v>
      </c>
      <c r="K610" s="6" t="str">
        <f t="shared" si="1"/>
        <v>Low Earnings</v>
      </c>
    </row>
    <row r="611" ht="14.25" customHeight="1">
      <c r="A611" s="6" t="s">
        <v>2576</v>
      </c>
      <c r="B611" s="17">
        <v>45839.0</v>
      </c>
      <c r="C611" s="6" t="s">
        <v>349</v>
      </c>
      <c r="D611" s="6" t="s">
        <v>1852</v>
      </c>
      <c r="E611" s="6" t="s">
        <v>1897</v>
      </c>
      <c r="F611" s="6">
        <v>1.0</v>
      </c>
      <c r="G611" s="13">
        <v>149.56</v>
      </c>
      <c r="H611" s="6">
        <v>0.09</v>
      </c>
      <c r="I611" s="6" t="s">
        <v>1965</v>
      </c>
      <c r="J611" s="13">
        <v>136.0996</v>
      </c>
      <c r="K611" s="6" t="str">
        <f t="shared" si="1"/>
        <v>Low Earnings</v>
      </c>
    </row>
    <row r="612" ht="14.25" customHeight="1">
      <c r="A612" s="6" t="s">
        <v>2577</v>
      </c>
      <c r="B612" s="17">
        <v>45434.0</v>
      </c>
      <c r="C612" s="6" t="s">
        <v>717</v>
      </c>
      <c r="D612" s="6" t="s">
        <v>1714</v>
      </c>
      <c r="E612" s="6" t="s">
        <v>1953</v>
      </c>
      <c r="F612" s="6">
        <v>1.0</v>
      </c>
      <c r="G612" s="13">
        <v>661.77</v>
      </c>
      <c r="H612" s="6">
        <v>0.03</v>
      </c>
      <c r="I612" s="6" t="s">
        <v>1967</v>
      </c>
      <c r="J612" s="13">
        <v>641.9168999999999</v>
      </c>
      <c r="K612" s="6" t="str">
        <f t="shared" si="1"/>
        <v>Low Earnings</v>
      </c>
    </row>
    <row r="613" ht="14.25" customHeight="1">
      <c r="A613" s="6" t="s">
        <v>2578</v>
      </c>
      <c r="B613" s="17">
        <v>45819.0</v>
      </c>
      <c r="C613" s="6" t="s">
        <v>389</v>
      </c>
      <c r="D613" s="6" t="s">
        <v>1870</v>
      </c>
      <c r="E613" s="6" t="s">
        <v>1919</v>
      </c>
      <c r="F613" s="6">
        <v>3.0</v>
      </c>
      <c r="G613" s="13">
        <v>99.67</v>
      </c>
      <c r="H613" s="6">
        <v>0.17</v>
      </c>
      <c r="I613" s="6" t="s">
        <v>1965</v>
      </c>
      <c r="J613" s="13">
        <v>248.1783</v>
      </c>
      <c r="K613" s="6" t="str">
        <f t="shared" si="1"/>
        <v>Low Earnings</v>
      </c>
    </row>
    <row r="614" ht="14.25" customHeight="1">
      <c r="A614" s="6" t="s">
        <v>2579</v>
      </c>
      <c r="B614" s="17">
        <v>45553.0</v>
      </c>
      <c r="C614" s="6" t="s">
        <v>730</v>
      </c>
      <c r="D614" s="6" t="s">
        <v>1773</v>
      </c>
      <c r="E614" s="6" t="s">
        <v>1897</v>
      </c>
      <c r="F614" s="6">
        <v>3.0</v>
      </c>
      <c r="G614" s="13">
        <v>103.66</v>
      </c>
      <c r="H614" s="6">
        <v>0.26</v>
      </c>
      <c r="I614" s="6" t="s">
        <v>1973</v>
      </c>
      <c r="J614" s="13">
        <v>230.1252</v>
      </c>
      <c r="K614" s="6" t="str">
        <f t="shared" si="1"/>
        <v>Low Earnings</v>
      </c>
    </row>
    <row r="615" ht="14.25" customHeight="1">
      <c r="A615" s="6" t="s">
        <v>2580</v>
      </c>
      <c r="B615" s="17">
        <v>45745.0</v>
      </c>
      <c r="C615" s="6" t="s">
        <v>984</v>
      </c>
      <c r="D615" s="6" t="s">
        <v>1867</v>
      </c>
      <c r="E615" s="6" t="s">
        <v>1934</v>
      </c>
      <c r="F615" s="6">
        <v>4.0</v>
      </c>
      <c r="G615" s="13">
        <v>986.41</v>
      </c>
      <c r="H615" s="6">
        <v>0.22</v>
      </c>
      <c r="I615" s="6" t="s">
        <v>1965</v>
      </c>
      <c r="J615" s="13">
        <v>3077.5992</v>
      </c>
      <c r="K615" s="6" t="str">
        <f t="shared" si="1"/>
        <v>High Earnings</v>
      </c>
    </row>
    <row r="616" ht="14.25" customHeight="1">
      <c r="A616" s="6" t="s">
        <v>2581</v>
      </c>
      <c r="B616" s="17">
        <v>45258.0</v>
      </c>
      <c r="C616" s="6" t="s">
        <v>1368</v>
      </c>
      <c r="D616" s="6" t="s">
        <v>1705</v>
      </c>
      <c r="E616" s="6" t="s">
        <v>1901</v>
      </c>
      <c r="F616" s="6">
        <v>4.0</v>
      </c>
      <c r="G616" s="13">
        <v>54.4</v>
      </c>
      <c r="H616" s="6">
        <v>0.22</v>
      </c>
      <c r="I616" s="6" t="s">
        <v>1965</v>
      </c>
      <c r="J616" s="13">
        <v>169.728</v>
      </c>
      <c r="K616" s="6" t="str">
        <f t="shared" si="1"/>
        <v>Low Earnings</v>
      </c>
    </row>
    <row r="617" ht="14.25" customHeight="1">
      <c r="A617" s="6" t="s">
        <v>2582</v>
      </c>
      <c r="B617" s="17">
        <v>45435.0</v>
      </c>
      <c r="C617" s="6" t="s">
        <v>1523</v>
      </c>
      <c r="D617" s="6" t="s">
        <v>1840</v>
      </c>
      <c r="E617" s="6" t="s">
        <v>1939</v>
      </c>
      <c r="F617" s="6">
        <v>1.0</v>
      </c>
      <c r="G617" s="13">
        <v>46.66</v>
      </c>
      <c r="H617" s="6">
        <v>0.2</v>
      </c>
      <c r="I617" s="6" t="s">
        <v>1965</v>
      </c>
      <c r="J617" s="13">
        <v>37.328</v>
      </c>
      <c r="K617" s="6" t="str">
        <f t="shared" si="1"/>
        <v>Low Earnings</v>
      </c>
    </row>
    <row r="618" ht="14.25" customHeight="1">
      <c r="A618" s="6" t="s">
        <v>2583</v>
      </c>
      <c r="B618" s="17">
        <v>45447.0</v>
      </c>
      <c r="C618" s="6" t="s">
        <v>47</v>
      </c>
      <c r="D618" s="6" t="s">
        <v>1807</v>
      </c>
      <c r="E618" s="6" t="s">
        <v>1932</v>
      </c>
      <c r="F618" s="6">
        <v>4.0</v>
      </c>
      <c r="G618" s="13">
        <v>871.2</v>
      </c>
      <c r="H618" s="6">
        <v>0.29</v>
      </c>
      <c r="I618" s="6" t="s">
        <v>1965</v>
      </c>
      <c r="J618" s="13">
        <v>2474.208</v>
      </c>
      <c r="K618" s="6" t="str">
        <f t="shared" si="1"/>
        <v>Average Earnings</v>
      </c>
    </row>
    <row r="619" ht="14.25" customHeight="1">
      <c r="A619" s="6" t="s">
        <v>2584</v>
      </c>
      <c r="B619" s="17">
        <v>45724.0</v>
      </c>
      <c r="C619" s="6" t="s">
        <v>1200</v>
      </c>
      <c r="D619" s="6" t="s">
        <v>1633</v>
      </c>
      <c r="E619" s="6" t="s">
        <v>1939</v>
      </c>
      <c r="F619" s="6">
        <v>4.0</v>
      </c>
      <c r="G619" s="13">
        <v>317.11</v>
      </c>
      <c r="H619" s="6">
        <v>0.16</v>
      </c>
      <c r="I619" s="6" t="s">
        <v>1967</v>
      </c>
      <c r="J619" s="13">
        <v>1065.4896</v>
      </c>
      <c r="K619" s="6" t="str">
        <f t="shared" si="1"/>
        <v>Average Earnings</v>
      </c>
    </row>
    <row r="620" ht="14.25" customHeight="1">
      <c r="A620" s="6" t="s">
        <v>2585</v>
      </c>
      <c r="B620" s="17">
        <v>45338.0</v>
      </c>
      <c r="C620" s="6" t="s">
        <v>839</v>
      </c>
      <c r="D620" s="6" t="s">
        <v>1657</v>
      </c>
      <c r="E620" s="6" t="s">
        <v>1937</v>
      </c>
      <c r="F620" s="6">
        <v>2.0</v>
      </c>
      <c r="G620" s="13">
        <v>388.34</v>
      </c>
      <c r="H620" s="6">
        <v>0.09</v>
      </c>
      <c r="I620" s="6" t="s">
        <v>1967</v>
      </c>
      <c r="J620" s="13">
        <v>706.7787999999999</v>
      </c>
      <c r="K620" s="6" t="str">
        <f t="shared" si="1"/>
        <v>Low Earnings</v>
      </c>
    </row>
    <row r="621" ht="14.25" customHeight="1">
      <c r="A621" s="6" t="s">
        <v>2586</v>
      </c>
      <c r="B621" s="17">
        <v>45252.0</v>
      </c>
      <c r="C621" s="6" t="s">
        <v>1020</v>
      </c>
      <c r="D621" s="6" t="s">
        <v>1672</v>
      </c>
      <c r="E621" s="6" t="s">
        <v>1916</v>
      </c>
      <c r="F621" s="6">
        <v>4.0</v>
      </c>
      <c r="G621" s="13">
        <v>998.2</v>
      </c>
      <c r="H621" s="6">
        <v>0.15</v>
      </c>
      <c r="I621" s="6" t="s">
        <v>1965</v>
      </c>
      <c r="J621" s="13">
        <v>3393.88</v>
      </c>
      <c r="K621" s="6" t="str">
        <f t="shared" si="1"/>
        <v>High Earnings</v>
      </c>
    </row>
    <row r="622" ht="14.25" customHeight="1">
      <c r="A622" s="6" t="s">
        <v>2587</v>
      </c>
      <c r="B622" s="17">
        <v>45606.0</v>
      </c>
      <c r="C622" s="6" t="s">
        <v>1532</v>
      </c>
      <c r="D622" s="6" t="s">
        <v>1691</v>
      </c>
      <c r="E622" s="6" t="s">
        <v>1892</v>
      </c>
      <c r="F622" s="6">
        <v>1.0</v>
      </c>
      <c r="G622" s="13">
        <v>887.38</v>
      </c>
      <c r="H622" s="6">
        <v>0.01</v>
      </c>
      <c r="I622" s="6" t="s">
        <v>1973</v>
      </c>
      <c r="J622" s="13">
        <v>878.5062</v>
      </c>
      <c r="K622" s="6" t="str">
        <f t="shared" si="1"/>
        <v>Low Earnings</v>
      </c>
    </row>
    <row r="623" ht="14.25" customHeight="1">
      <c r="A623" s="6" t="s">
        <v>2588</v>
      </c>
      <c r="B623" s="17">
        <v>45524.0</v>
      </c>
      <c r="C623" s="6" t="s">
        <v>999</v>
      </c>
      <c r="D623" s="6" t="s">
        <v>1694</v>
      </c>
      <c r="E623" s="6" t="s">
        <v>1934</v>
      </c>
      <c r="F623" s="6">
        <v>4.0</v>
      </c>
      <c r="G623" s="13">
        <v>332.97</v>
      </c>
      <c r="H623" s="6">
        <v>0.28</v>
      </c>
      <c r="I623" s="6" t="s">
        <v>1965</v>
      </c>
      <c r="J623" s="13">
        <v>958.9536</v>
      </c>
      <c r="K623" s="6" t="str">
        <f t="shared" si="1"/>
        <v>Low Earnings</v>
      </c>
    </row>
    <row r="624" ht="14.25" customHeight="1">
      <c r="A624" s="6" t="s">
        <v>2589</v>
      </c>
      <c r="B624" s="17">
        <v>45934.0</v>
      </c>
      <c r="C624" s="6" t="s">
        <v>100</v>
      </c>
      <c r="D624" s="6" t="s">
        <v>1723</v>
      </c>
      <c r="E624" s="6" t="s">
        <v>1892</v>
      </c>
      <c r="F624" s="6">
        <v>2.0</v>
      </c>
      <c r="G624" s="13">
        <v>157.91</v>
      </c>
      <c r="H624" s="6">
        <v>0.09</v>
      </c>
      <c r="I624" s="6" t="s">
        <v>1973</v>
      </c>
      <c r="J624" s="13">
        <v>287.3962</v>
      </c>
      <c r="K624" s="6" t="str">
        <f t="shared" si="1"/>
        <v>Low Earnings</v>
      </c>
    </row>
    <row r="625" ht="14.25" customHeight="1">
      <c r="A625" s="6" t="s">
        <v>2590</v>
      </c>
      <c r="B625" s="17">
        <v>45539.0</v>
      </c>
      <c r="C625" s="6" t="s">
        <v>1131</v>
      </c>
      <c r="D625" s="6" t="s">
        <v>1611</v>
      </c>
      <c r="E625" s="6" t="s">
        <v>1950</v>
      </c>
      <c r="F625" s="6">
        <v>1.0</v>
      </c>
      <c r="G625" s="13">
        <v>548.15</v>
      </c>
      <c r="H625" s="6">
        <v>0.11</v>
      </c>
      <c r="I625" s="6" t="s">
        <v>1965</v>
      </c>
      <c r="J625" s="13">
        <v>487.8535</v>
      </c>
      <c r="K625" s="6" t="str">
        <f t="shared" si="1"/>
        <v>Low Earnings</v>
      </c>
    </row>
    <row r="626" ht="14.25" customHeight="1">
      <c r="A626" s="6" t="s">
        <v>2591</v>
      </c>
      <c r="B626" s="17">
        <v>45494.0</v>
      </c>
      <c r="C626" s="6" t="s">
        <v>1020</v>
      </c>
      <c r="D626" s="6" t="s">
        <v>1733</v>
      </c>
      <c r="E626" s="6" t="s">
        <v>1892</v>
      </c>
      <c r="F626" s="6">
        <v>2.0</v>
      </c>
      <c r="G626" s="13">
        <v>921.52</v>
      </c>
      <c r="H626" s="6">
        <v>0.0</v>
      </c>
      <c r="I626" s="6" t="s">
        <v>1967</v>
      </c>
      <c r="J626" s="13">
        <v>1843.04</v>
      </c>
      <c r="K626" s="6" t="str">
        <f t="shared" si="1"/>
        <v>Average Earnings</v>
      </c>
    </row>
    <row r="627" ht="14.25" customHeight="1">
      <c r="A627" s="6" t="s">
        <v>2592</v>
      </c>
      <c r="B627" s="17">
        <v>45555.0</v>
      </c>
      <c r="C627" s="6" t="s">
        <v>693</v>
      </c>
      <c r="D627" s="6" t="s">
        <v>1730</v>
      </c>
      <c r="E627" s="6" t="s">
        <v>1941</v>
      </c>
      <c r="F627" s="6">
        <v>1.0</v>
      </c>
      <c r="G627" s="13">
        <v>135.13</v>
      </c>
      <c r="H627" s="6">
        <v>0.04</v>
      </c>
      <c r="I627" s="6" t="s">
        <v>1965</v>
      </c>
      <c r="J627" s="13">
        <v>129.7248</v>
      </c>
      <c r="K627" s="6" t="str">
        <f t="shared" si="1"/>
        <v>Low Earnings</v>
      </c>
    </row>
    <row r="628" ht="14.25" customHeight="1">
      <c r="A628" s="6" t="s">
        <v>2593</v>
      </c>
      <c r="B628" s="17">
        <v>45281.0</v>
      </c>
      <c r="C628" s="6" t="s">
        <v>723</v>
      </c>
      <c r="D628" s="6" t="s">
        <v>1755</v>
      </c>
      <c r="E628" s="6" t="s">
        <v>1906</v>
      </c>
      <c r="F628" s="6">
        <v>3.0</v>
      </c>
      <c r="G628" s="13">
        <v>579.26</v>
      </c>
      <c r="H628" s="6">
        <v>0.19</v>
      </c>
      <c r="I628" s="6" t="s">
        <v>1965</v>
      </c>
      <c r="J628" s="13">
        <v>1407.6018</v>
      </c>
      <c r="K628" s="6" t="str">
        <f t="shared" si="1"/>
        <v>Average Earnings</v>
      </c>
    </row>
    <row r="629" ht="14.25" customHeight="1">
      <c r="A629" s="6" t="s">
        <v>2594</v>
      </c>
      <c r="B629" s="17">
        <v>45582.0</v>
      </c>
      <c r="C629" s="6" t="s">
        <v>1230</v>
      </c>
      <c r="D629" s="6" t="s">
        <v>1630</v>
      </c>
      <c r="E629" s="6" t="s">
        <v>1892</v>
      </c>
      <c r="F629" s="6">
        <v>1.0</v>
      </c>
      <c r="G629" s="13">
        <v>465.63</v>
      </c>
      <c r="H629" s="6">
        <v>0.25</v>
      </c>
      <c r="I629" s="6" t="s">
        <v>1965</v>
      </c>
      <c r="J629" s="13">
        <v>349.2225</v>
      </c>
      <c r="K629" s="6" t="str">
        <f t="shared" si="1"/>
        <v>Low Earnings</v>
      </c>
    </row>
    <row r="630" ht="14.25" customHeight="1">
      <c r="A630" s="6" t="s">
        <v>2595</v>
      </c>
      <c r="B630" s="17">
        <v>45372.0</v>
      </c>
      <c r="C630" s="6" t="s">
        <v>189</v>
      </c>
      <c r="D630" s="6" t="s">
        <v>1816</v>
      </c>
      <c r="E630" s="6" t="s">
        <v>1944</v>
      </c>
      <c r="F630" s="6">
        <v>2.0</v>
      </c>
      <c r="G630" s="13">
        <v>675.61</v>
      </c>
      <c r="H630" s="6">
        <v>0.08</v>
      </c>
      <c r="I630" s="6" t="s">
        <v>1973</v>
      </c>
      <c r="J630" s="13">
        <v>1243.1224</v>
      </c>
      <c r="K630" s="6" t="str">
        <f t="shared" si="1"/>
        <v>Average Earnings</v>
      </c>
    </row>
    <row r="631" ht="14.25" customHeight="1">
      <c r="A631" s="6" t="s">
        <v>2596</v>
      </c>
      <c r="B631" s="17">
        <v>45458.0</v>
      </c>
      <c r="C631" s="6" t="s">
        <v>1308</v>
      </c>
      <c r="D631" s="6" t="s">
        <v>1682</v>
      </c>
      <c r="E631" s="6" t="s">
        <v>1916</v>
      </c>
      <c r="F631" s="6">
        <v>1.0</v>
      </c>
      <c r="G631" s="13">
        <v>718.99</v>
      </c>
      <c r="H631" s="6">
        <v>0.08</v>
      </c>
      <c r="I631" s="6" t="s">
        <v>1967</v>
      </c>
      <c r="J631" s="13">
        <v>661.4708</v>
      </c>
      <c r="K631" s="6" t="str">
        <f t="shared" si="1"/>
        <v>Low Earnings</v>
      </c>
    </row>
    <row r="632" ht="14.25" customHeight="1">
      <c r="A632" s="6" t="s">
        <v>2597</v>
      </c>
      <c r="B632" s="17">
        <v>45943.0</v>
      </c>
      <c r="C632" s="6" t="s">
        <v>1191</v>
      </c>
      <c r="D632" s="6" t="s">
        <v>1618</v>
      </c>
      <c r="E632" s="6" t="s">
        <v>1929</v>
      </c>
      <c r="F632" s="6">
        <v>2.0</v>
      </c>
      <c r="G632" s="13">
        <v>675.65</v>
      </c>
      <c r="H632" s="6">
        <v>0.2</v>
      </c>
      <c r="I632" s="6" t="s">
        <v>1973</v>
      </c>
      <c r="J632" s="13">
        <v>1081.04</v>
      </c>
      <c r="K632" s="6" t="str">
        <f t="shared" si="1"/>
        <v>Average Earnings</v>
      </c>
    </row>
    <row r="633" ht="14.25" customHeight="1">
      <c r="A633" s="6" t="s">
        <v>2598</v>
      </c>
      <c r="B633" s="17">
        <v>45374.0</v>
      </c>
      <c r="C633" s="6" t="s">
        <v>1071</v>
      </c>
      <c r="D633" s="6" t="s">
        <v>1873</v>
      </c>
      <c r="E633" s="6" t="s">
        <v>1941</v>
      </c>
      <c r="F633" s="6">
        <v>4.0</v>
      </c>
      <c r="G633" s="13">
        <v>284.24</v>
      </c>
      <c r="H633" s="6">
        <v>0.1</v>
      </c>
      <c r="I633" s="6" t="s">
        <v>1965</v>
      </c>
      <c r="J633" s="13">
        <v>1023.264</v>
      </c>
      <c r="K633" s="6" t="str">
        <f t="shared" si="1"/>
        <v>Average Earnings</v>
      </c>
    </row>
    <row r="634" ht="14.25" customHeight="1">
      <c r="A634" s="6" t="s">
        <v>2599</v>
      </c>
      <c r="B634" s="17">
        <v>45374.0</v>
      </c>
      <c r="C634" s="6" t="s">
        <v>705</v>
      </c>
      <c r="D634" s="6" t="s">
        <v>1565</v>
      </c>
      <c r="E634" s="6" t="s">
        <v>1906</v>
      </c>
      <c r="F634" s="6">
        <v>1.0</v>
      </c>
      <c r="G634" s="13">
        <v>94.26</v>
      </c>
      <c r="H634" s="6">
        <v>0.18</v>
      </c>
      <c r="I634" s="6" t="s">
        <v>1967</v>
      </c>
      <c r="J634" s="13">
        <v>77.29320000000001</v>
      </c>
      <c r="K634" s="6" t="str">
        <f t="shared" si="1"/>
        <v>Low Earnings</v>
      </c>
    </row>
    <row r="635" ht="14.25" customHeight="1">
      <c r="A635" s="6" t="s">
        <v>2600</v>
      </c>
      <c r="B635" s="17">
        <v>45789.0</v>
      </c>
      <c r="C635" s="6" t="s">
        <v>1308</v>
      </c>
      <c r="D635" s="6" t="s">
        <v>1585</v>
      </c>
      <c r="E635" s="6" t="s">
        <v>1929</v>
      </c>
      <c r="F635" s="6">
        <v>4.0</v>
      </c>
      <c r="G635" s="13">
        <v>458.58</v>
      </c>
      <c r="H635" s="6">
        <v>0.29</v>
      </c>
      <c r="I635" s="6" t="s">
        <v>1973</v>
      </c>
      <c r="J635" s="13">
        <v>1302.3672</v>
      </c>
      <c r="K635" s="6" t="str">
        <f t="shared" si="1"/>
        <v>Average Earnings</v>
      </c>
    </row>
    <row r="636" ht="14.25" customHeight="1">
      <c r="A636" s="6" t="s">
        <v>2601</v>
      </c>
      <c r="B636" s="17">
        <v>45452.0</v>
      </c>
      <c r="C636" s="6" t="s">
        <v>404</v>
      </c>
      <c r="D636" s="6" t="s">
        <v>1782</v>
      </c>
      <c r="E636" s="6" t="s">
        <v>1929</v>
      </c>
      <c r="F636" s="6">
        <v>4.0</v>
      </c>
      <c r="G636" s="13">
        <v>704.49</v>
      </c>
      <c r="H636" s="6">
        <v>0.05</v>
      </c>
      <c r="I636" s="6" t="s">
        <v>1973</v>
      </c>
      <c r="J636" s="13">
        <v>2677.062</v>
      </c>
      <c r="K636" s="6" t="str">
        <f t="shared" si="1"/>
        <v>High Earnings</v>
      </c>
    </row>
    <row r="637" ht="14.25" customHeight="1">
      <c r="A637" s="6" t="s">
        <v>2602</v>
      </c>
      <c r="B637" s="17">
        <v>45883.0</v>
      </c>
      <c r="C637" s="6" t="s">
        <v>355</v>
      </c>
      <c r="D637" s="6" t="s">
        <v>1752</v>
      </c>
      <c r="E637" s="6" t="s">
        <v>1913</v>
      </c>
      <c r="F637" s="6">
        <v>1.0</v>
      </c>
      <c r="G637" s="13">
        <v>83.1</v>
      </c>
      <c r="H637" s="6">
        <v>0.04</v>
      </c>
      <c r="I637" s="6" t="s">
        <v>1967</v>
      </c>
      <c r="J637" s="13">
        <v>79.776</v>
      </c>
      <c r="K637" s="6" t="str">
        <f t="shared" si="1"/>
        <v>Low Earnings</v>
      </c>
    </row>
    <row r="638" ht="14.25" customHeight="1">
      <c r="A638" s="6" t="s">
        <v>2603</v>
      </c>
      <c r="B638" s="17">
        <v>45284.0</v>
      </c>
      <c r="C638" s="6" t="s">
        <v>138</v>
      </c>
      <c r="D638" s="6" t="s">
        <v>1663</v>
      </c>
      <c r="E638" s="6" t="s">
        <v>1953</v>
      </c>
      <c r="F638" s="6">
        <v>4.0</v>
      </c>
      <c r="G638" s="13">
        <v>822.32</v>
      </c>
      <c r="H638" s="6">
        <v>0.26</v>
      </c>
      <c r="I638" s="6" t="s">
        <v>1967</v>
      </c>
      <c r="J638" s="13">
        <v>2434.0672</v>
      </c>
      <c r="K638" s="6" t="str">
        <f t="shared" si="1"/>
        <v>Average Earnings</v>
      </c>
    </row>
    <row r="639" ht="14.25" customHeight="1">
      <c r="A639" s="6" t="s">
        <v>2604</v>
      </c>
      <c r="B639" s="17">
        <v>45325.0</v>
      </c>
      <c r="C639" s="6" t="s">
        <v>800</v>
      </c>
      <c r="D639" s="6" t="s">
        <v>1574</v>
      </c>
      <c r="E639" s="6" t="s">
        <v>1937</v>
      </c>
      <c r="F639" s="6">
        <v>4.0</v>
      </c>
      <c r="G639" s="13">
        <v>785.41</v>
      </c>
      <c r="H639" s="6">
        <v>0.13</v>
      </c>
      <c r="I639" s="6" t="s">
        <v>1973</v>
      </c>
      <c r="J639" s="13">
        <v>2733.2268</v>
      </c>
      <c r="K639" s="6" t="str">
        <f t="shared" si="1"/>
        <v>High Earnings</v>
      </c>
    </row>
    <row r="640" ht="14.25" customHeight="1">
      <c r="A640" s="6" t="s">
        <v>2605</v>
      </c>
      <c r="B640" s="17">
        <v>45465.0</v>
      </c>
      <c r="C640" s="6" t="s">
        <v>135</v>
      </c>
      <c r="D640" s="6" t="s">
        <v>1701</v>
      </c>
      <c r="E640" s="6" t="s">
        <v>1939</v>
      </c>
      <c r="F640" s="6">
        <v>1.0</v>
      </c>
      <c r="G640" s="13">
        <v>405.8</v>
      </c>
      <c r="H640" s="6">
        <v>0.11</v>
      </c>
      <c r="I640" s="6" t="s">
        <v>1967</v>
      </c>
      <c r="J640" s="13">
        <v>361.162</v>
      </c>
      <c r="K640" s="6" t="str">
        <f t="shared" si="1"/>
        <v>Low Earnings</v>
      </c>
    </row>
    <row r="641" ht="14.25" customHeight="1">
      <c r="A641" s="6" t="s">
        <v>2606</v>
      </c>
      <c r="B641" s="17">
        <v>45612.0</v>
      </c>
      <c r="C641" s="6" t="s">
        <v>1359</v>
      </c>
      <c r="D641" s="6" t="s">
        <v>1861</v>
      </c>
      <c r="E641" s="6" t="s">
        <v>1926</v>
      </c>
      <c r="F641" s="6">
        <v>2.0</v>
      </c>
      <c r="G641" s="13">
        <v>976.83</v>
      </c>
      <c r="H641" s="6">
        <v>0.1</v>
      </c>
      <c r="I641" s="6" t="s">
        <v>1967</v>
      </c>
      <c r="J641" s="13">
        <v>1758.294</v>
      </c>
      <c r="K641" s="6" t="str">
        <f t="shared" si="1"/>
        <v>Average Earnings</v>
      </c>
    </row>
    <row r="642" ht="14.25" customHeight="1">
      <c r="A642" s="6" t="s">
        <v>2607</v>
      </c>
      <c r="B642" s="17">
        <v>45472.0</v>
      </c>
      <c r="C642" s="6" t="s">
        <v>884</v>
      </c>
      <c r="D642" s="6" t="s">
        <v>1779</v>
      </c>
      <c r="E642" s="6" t="s">
        <v>1901</v>
      </c>
      <c r="F642" s="6">
        <v>1.0</v>
      </c>
      <c r="G642" s="13">
        <v>644.15</v>
      </c>
      <c r="H642" s="6">
        <v>0.06</v>
      </c>
      <c r="I642" s="6" t="s">
        <v>1965</v>
      </c>
      <c r="J642" s="13">
        <v>605.501</v>
      </c>
      <c r="K642" s="6" t="str">
        <f t="shared" si="1"/>
        <v>Low Earnings</v>
      </c>
    </row>
    <row r="643" ht="14.25" customHeight="1">
      <c r="A643" s="6" t="s">
        <v>2608</v>
      </c>
      <c r="B643" s="17">
        <v>45897.0</v>
      </c>
      <c r="C643" s="6" t="s">
        <v>1074</v>
      </c>
      <c r="D643" s="6" t="s">
        <v>1788</v>
      </c>
      <c r="E643" s="6" t="s">
        <v>1937</v>
      </c>
      <c r="F643" s="6">
        <v>1.0</v>
      </c>
      <c r="G643" s="13">
        <v>470.55</v>
      </c>
      <c r="H643" s="6">
        <v>0.23</v>
      </c>
      <c r="I643" s="6" t="s">
        <v>1967</v>
      </c>
      <c r="J643" s="13">
        <v>362.3235</v>
      </c>
      <c r="K643" s="6" t="str">
        <f t="shared" si="1"/>
        <v>Low Earnings</v>
      </c>
    </row>
    <row r="644" ht="14.25" customHeight="1">
      <c r="A644" s="6" t="s">
        <v>2609</v>
      </c>
      <c r="B644" s="17">
        <v>45241.0</v>
      </c>
      <c r="C644" s="6" t="s">
        <v>1488</v>
      </c>
      <c r="D644" s="6" t="s">
        <v>1590</v>
      </c>
      <c r="E644" s="6" t="s">
        <v>1916</v>
      </c>
      <c r="F644" s="6">
        <v>3.0</v>
      </c>
      <c r="G644" s="13">
        <v>598.82</v>
      </c>
      <c r="H644" s="6">
        <v>0.19</v>
      </c>
      <c r="I644" s="6" t="s">
        <v>1973</v>
      </c>
      <c r="J644" s="13">
        <v>1455.1326</v>
      </c>
      <c r="K644" s="6" t="str">
        <f t="shared" si="1"/>
        <v>Average Earnings</v>
      </c>
    </row>
    <row r="645" ht="14.25" customHeight="1">
      <c r="A645" s="6" t="s">
        <v>2610</v>
      </c>
      <c r="B645" s="17">
        <v>45851.0</v>
      </c>
      <c r="C645" s="6" t="s">
        <v>368</v>
      </c>
      <c r="D645" s="6" t="s">
        <v>1640</v>
      </c>
      <c r="E645" s="6" t="s">
        <v>1934</v>
      </c>
      <c r="F645" s="6">
        <v>4.0</v>
      </c>
      <c r="G645" s="13">
        <v>659.17</v>
      </c>
      <c r="H645" s="6">
        <v>0.12</v>
      </c>
      <c r="I645" s="6" t="s">
        <v>1965</v>
      </c>
      <c r="J645" s="13">
        <v>2320.2784</v>
      </c>
      <c r="K645" s="6" t="str">
        <f t="shared" si="1"/>
        <v>Average Earnings</v>
      </c>
    </row>
    <row r="646" ht="14.25" customHeight="1">
      <c r="A646" s="6" t="s">
        <v>2611</v>
      </c>
      <c r="B646" s="17">
        <v>45572.0</v>
      </c>
      <c r="C646" s="6" t="s">
        <v>377</v>
      </c>
      <c r="D646" s="6" t="s">
        <v>1723</v>
      </c>
      <c r="E646" s="6" t="s">
        <v>1897</v>
      </c>
      <c r="F646" s="6">
        <v>2.0</v>
      </c>
      <c r="G646" s="13">
        <v>216.02</v>
      </c>
      <c r="H646" s="6">
        <v>0.25</v>
      </c>
      <c r="I646" s="6" t="s">
        <v>1965</v>
      </c>
      <c r="J646" s="13">
        <v>324.03</v>
      </c>
      <c r="K646" s="6" t="str">
        <f t="shared" si="1"/>
        <v>Low Earnings</v>
      </c>
    </row>
    <row r="647" ht="14.25" customHeight="1">
      <c r="A647" s="6" t="s">
        <v>2612</v>
      </c>
      <c r="B647" s="17">
        <v>45774.0</v>
      </c>
      <c r="C647" s="6" t="s">
        <v>132</v>
      </c>
      <c r="D647" s="6" t="s">
        <v>1675</v>
      </c>
      <c r="E647" s="6" t="s">
        <v>1929</v>
      </c>
      <c r="F647" s="6">
        <v>2.0</v>
      </c>
      <c r="G647" s="13">
        <v>613.47</v>
      </c>
      <c r="H647" s="6">
        <v>0.02</v>
      </c>
      <c r="I647" s="6" t="s">
        <v>1967</v>
      </c>
      <c r="J647" s="13">
        <v>1202.4012</v>
      </c>
      <c r="K647" s="6" t="str">
        <f t="shared" si="1"/>
        <v>Average Earnings</v>
      </c>
    </row>
    <row r="648" ht="14.25" customHeight="1">
      <c r="A648" s="6" t="s">
        <v>2613</v>
      </c>
      <c r="B648" s="17">
        <v>45601.0</v>
      </c>
      <c r="C648" s="6" t="s">
        <v>1170</v>
      </c>
      <c r="D648" s="6" t="s">
        <v>1666</v>
      </c>
      <c r="E648" s="6" t="s">
        <v>1932</v>
      </c>
      <c r="F648" s="6">
        <v>2.0</v>
      </c>
      <c r="G648" s="13">
        <v>60.98</v>
      </c>
      <c r="H648" s="6">
        <v>0.23</v>
      </c>
      <c r="I648" s="6" t="s">
        <v>1967</v>
      </c>
      <c r="J648" s="13">
        <v>93.9092</v>
      </c>
      <c r="K648" s="6" t="str">
        <f t="shared" si="1"/>
        <v>Low Earnings</v>
      </c>
    </row>
    <row r="649" ht="14.25" customHeight="1">
      <c r="A649" s="6" t="s">
        <v>2614</v>
      </c>
      <c r="B649" s="17">
        <v>45921.0</v>
      </c>
      <c r="C649" s="6" t="s">
        <v>358</v>
      </c>
      <c r="D649" s="6" t="s">
        <v>1761</v>
      </c>
      <c r="E649" s="6" t="s">
        <v>1934</v>
      </c>
      <c r="F649" s="6">
        <v>2.0</v>
      </c>
      <c r="G649" s="13">
        <v>485.17</v>
      </c>
      <c r="H649" s="6">
        <v>0.11</v>
      </c>
      <c r="I649" s="6" t="s">
        <v>1967</v>
      </c>
      <c r="J649" s="13">
        <v>863.6026</v>
      </c>
      <c r="K649" s="6" t="str">
        <f t="shared" si="1"/>
        <v>Low Earnings</v>
      </c>
    </row>
    <row r="650" ht="14.25" customHeight="1">
      <c r="A650" s="6" t="s">
        <v>2615</v>
      </c>
      <c r="B650" s="17">
        <v>45268.0</v>
      </c>
      <c r="C650" s="6" t="s">
        <v>984</v>
      </c>
      <c r="D650" s="6" t="s">
        <v>1723</v>
      </c>
      <c r="E650" s="6" t="s">
        <v>1929</v>
      </c>
      <c r="F650" s="6">
        <v>1.0</v>
      </c>
      <c r="G650" s="13">
        <v>209.7</v>
      </c>
      <c r="H650" s="6">
        <v>0.2</v>
      </c>
      <c r="I650" s="6" t="s">
        <v>1967</v>
      </c>
      <c r="J650" s="13">
        <v>167.76</v>
      </c>
      <c r="K650" s="6" t="str">
        <f t="shared" si="1"/>
        <v>Low Earnings</v>
      </c>
    </row>
    <row r="651" ht="14.25" customHeight="1">
      <c r="A651" s="6" t="s">
        <v>2616</v>
      </c>
      <c r="B651" s="17">
        <v>45402.0</v>
      </c>
      <c r="C651" s="6" t="s">
        <v>1041</v>
      </c>
      <c r="D651" s="6" t="s">
        <v>1864</v>
      </c>
      <c r="E651" s="6" t="s">
        <v>1892</v>
      </c>
      <c r="F651" s="6">
        <v>1.0</v>
      </c>
      <c r="G651" s="13">
        <v>681.47</v>
      </c>
      <c r="H651" s="6">
        <v>0.15</v>
      </c>
      <c r="I651" s="6" t="s">
        <v>1965</v>
      </c>
      <c r="J651" s="13">
        <v>579.2495</v>
      </c>
      <c r="K651" s="6" t="str">
        <f t="shared" si="1"/>
        <v>Low Earnings</v>
      </c>
    </row>
    <row r="652" ht="14.25" customHeight="1">
      <c r="A652" s="6" t="s">
        <v>2617</v>
      </c>
      <c r="B652" s="17">
        <v>45667.0</v>
      </c>
      <c r="C652" s="6" t="s">
        <v>1378</v>
      </c>
      <c r="D652" s="6" t="s">
        <v>1816</v>
      </c>
      <c r="E652" s="6" t="s">
        <v>1947</v>
      </c>
      <c r="F652" s="6">
        <v>2.0</v>
      </c>
      <c r="G652" s="13">
        <v>877.21</v>
      </c>
      <c r="H652" s="6">
        <v>0.1</v>
      </c>
      <c r="I652" s="6" t="s">
        <v>1965</v>
      </c>
      <c r="J652" s="13">
        <v>1578.978</v>
      </c>
      <c r="K652" s="6" t="str">
        <f t="shared" si="1"/>
        <v>Average Earnings</v>
      </c>
    </row>
    <row r="653" ht="14.25" customHeight="1">
      <c r="A653" s="6" t="s">
        <v>2618</v>
      </c>
      <c r="B653" s="17">
        <v>45902.0</v>
      </c>
      <c r="C653" s="6" t="s">
        <v>1017</v>
      </c>
      <c r="D653" s="6" t="s">
        <v>1822</v>
      </c>
      <c r="E653" s="6" t="s">
        <v>1913</v>
      </c>
      <c r="F653" s="6">
        <v>2.0</v>
      </c>
      <c r="G653" s="13">
        <v>479.77</v>
      </c>
      <c r="H653" s="6">
        <v>0.21</v>
      </c>
      <c r="I653" s="6" t="s">
        <v>1967</v>
      </c>
      <c r="J653" s="13">
        <v>758.0366</v>
      </c>
      <c r="K653" s="6" t="str">
        <f t="shared" si="1"/>
        <v>Low Earnings</v>
      </c>
    </row>
    <row r="654" ht="14.25" customHeight="1">
      <c r="A654" s="6" t="s">
        <v>2619</v>
      </c>
      <c r="B654" s="17">
        <v>45589.0</v>
      </c>
      <c r="C654" s="6" t="s">
        <v>1029</v>
      </c>
      <c r="D654" s="6" t="s">
        <v>1837</v>
      </c>
      <c r="E654" s="6" t="s">
        <v>1941</v>
      </c>
      <c r="F654" s="6">
        <v>1.0</v>
      </c>
      <c r="G654" s="13">
        <v>140.72</v>
      </c>
      <c r="H654" s="6">
        <v>0.0</v>
      </c>
      <c r="I654" s="6" t="s">
        <v>1973</v>
      </c>
      <c r="J654" s="13">
        <v>140.72</v>
      </c>
      <c r="K654" s="6" t="str">
        <f t="shared" si="1"/>
        <v>Low Earnings</v>
      </c>
    </row>
    <row r="655" ht="14.25" customHeight="1">
      <c r="A655" s="6" t="s">
        <v>2620</v>
      </c>
      <c r="B655" s="17">
        <v>45668.0</v>
      </c>
      <c r="C655" s="6" t="s">
        <v>122</v>
      </c>
      <c r="D655" s="6" t="s">
        <v>1636</v>
      </c>
      <c r="E655" s="6" t="s">
        <v>1916</v>
      </c>
      <c r="F655" s="6">
        <v>2.0</v>
      </c>
      <c r="G655" s="13">
        <v>764.25</v>
      </c>
      <c r="H655" s="6">
        <v>0.23</v>
      </c>
      <c r="I655" s="6" t="s">
        <v>1967</v>
      </c>
      <c r="J655" s="13">
        <v>1176.945</v>
      </c>
      <c r="K655" s="6" t="str">
        <f t="shared" si="1"/>
        <v>Average Earnings</v>
      </c>
    </row>
    <row r="656" ht="14.25" customHeight="1">
      <c r="A656" s="6" t="s">
        <v>2621</v>
      </c>
      <c r="B656" s="17">
        <v>45300.0</v>
      </c>
      <c r="C656" s="6" t="s">
        <v>733</v>
      </c>
      <c r="D656" s="6" t="s">
        <v>1837</v>
      </c>
      <c r="E656" s="6" t="s">
        <v>1913</v>
      </c>
      <c r="F656" s="6">
        <v>3.0</v>
      </c>
      <c r="G656" s="13">
        <v>107.8</v>
      </c>
      <c r="H656" s="6">
        <v>0.29</v>
      </c>
      <c r="I656" s="6" t="s">
        <v>1967</v>
      </c>
      <c r="J656" s="13">
        <v>229.614</v>
      </c>
      <c r="K656" s="6" t="str">
        <f t="shared" si="1"/>
        <v>Low Earnings</v>
      </c>
    </row>
    <row r="657" ht="14.25" customHeight="1">
      <c r="A657" s="6" t="s">
        <v>2622</v>
      </c>
      <c r="B657" s="17">
        <v>45757.0</v>
      </c>
      <c r="C657" s="6" t="s">
        <v>507</v>
      </c>
      <c r="D657" s="6" t="s">
        <v>1647</v>
      </c>
      <c r="E657" s="6" t="s">
        <v>1922</v>
      </c>
      <c r="F657" s="6">
        <v>4.0</v>
      </c>
      <c r="G657" s="13">
        <v>565.37</v>
      </c>
      <c r="H657" s="6">
        <v>0.07</v>
      </c>
      <c r="I657" s="6" t="s">
        <v>1967</v>
      </c>
      <c r="J657" s="13">
        <v>2103.1764</v>
      </c>
      <c r="K657" s="6" t="str">
        <f t="shared" si="1"/>
        <v>Average Earnings</v>
      </c>
    </row>
    <row r="658" ht="14.25" customHeight="1">
      <c r="A658" s="6" t="s">
        <v>2623</v>
      </c>
      <c r="B658" s="17">
        <v>45235.0</v>
      </c>
      <c r="C658" s="6" t="s">
        <v>145</v>
      </c>
      <c r="D658" s="6" t="s">
        <v>1691</v>
      </c>
      <c r="E658" s="6" t="s">
        <v>1909</v>
      </c>
      <c r="F658" s="6">
        <v>3.0</v>
      </c>
      <c r="G658" s="13">
        <v>811.45</v>
      </c>
      <c r="H658" s="6">
        <v>0.26</v>
      </c>
      <c r="I658" s="6" t="s">
        <v>1965</v>
      </c>
      <c r="J658" s="13">
        <v>1801.419</v>
      </c>
      <c r="K658" s="6" t="str">
        <f t="shared" si="1"/>
        <v>Average Earnings</v>
      </c>
    </row>
    <row r="659" ht="14.25" customHeight="1">
      <c r="A659" s="6" t="s">
        <v>2624</v>
      </c>
      <c r="B659" s="17">
        <v>45454.0</v>
      </c>
      <c r="C659" s="6" t="s">
        <v>1245</v>
      </c>
      <c r="D659" s="6" t="s">
        <v>1855</v>
      </c>
      <c r="E659" s="6" t="s">
        <v>1944</v>
      </c>
      <c r="F659" s="6">
        <v>2.0</v>
      </c>
      <c r="G659" s="13">
        <v>122.23</v>
      </c>
      <c r="H659" s="6">
        <v>0.21</v>
      </c>
      <c r="I659" s="6" t="s">
        <v>1973</v>
      </c>
      <c r="J659" s="13">
        <v>193.1234</v>
      </c>
      <c r="K659" s="6" t="str">
        <f t="shared" si="1"/>
        <v>Low Earnings</v>
      </c>
    </row>
    <row r="660" ht="14.25" customHeight="1">
      <c r="A660" s="6" t="s">
        <v>2625</v>
      </c>
      <c r="B660" s="17">
        <v>45749.0</v>
      </c>
      <c r="C660" s="6" t="s">
        <v>1291</v>
      </c>
      <c r="D660" s="6" t="s">
        <v>1682</v>
      </c>
      <c r="E660" s="6" t="s">
        <v>1953</v>
      </c>
      <c r="F660" s="6">
        <v>4.0</v>
      </c>
      <c r="G660" s="13">
        <v>62.25</v>
      </c>
      <c r="H660" s="6">
        <v>0.11</v>
      </c>
      <c r="I660" s="6" t="s">
        <v>1967</v>
      </c>
      <c r="J660" s="13">
        <v>221.61</v>
      </c>
      <c r="K660" s="6" t="str">
        <f t="shared" si="1"/>
        <v>Low Earnings</v>
      </c>
    </row>
    <row r="661" ht="14.25" customHeight="1">
      <c r="A661" s="6" t="s">
        <v>2626</v>
      </c>
      <c r="B661" s="17">
        <v>45807.0</v>
      </c>
      <c r="C661" s="6" t="s">
        <v>115</v>
      </c>
      <c r="D661" s="6" t="s">
        <v>1873</v>
      </c>
      <c r="E661" s="6" t="s">
        <v>1929</v>
      </c>
      <c r="F661" s="6">
        <v>1.0</v>
      </c>
      <c r="G661" s="13">
        <v>749.78</v>
      </c>
      <c r="H661" s="6">
        <v>0.03</v>
      </c>
      <c r="I661" s="6" t="s">
        <v>1965</v>
      </c>
      <c r="J661" s="13">
        <v>727.2865999999999</v>
      </c>
      <c r="K661" s="6" t="str">
        <f t="shared" si="1"/>
        <v>Low Earnings</v>
      </c>
    </row>
    <row r="662" ht="14.25" customHeight="1">
      <c r="A662" s="6" t="s">
        <v>2627</v>
      </c>
      <c r="B662" s="17">
        <v>45496.0</v>
      </c>
      <c r="C662" s="6" t="s">
        <v>1113</v>
      </c>
      <c r="D662" s="6" t="s">
        <v>1764</v>
      </c>
      <c r="E662" s="6" t="s">
        <v>1913</v>
      </c>
      <c r="F662" s="6">
        <v>3.0</v>
      </c>
      <c r="G662" s="13">
        <v>630.28</v>
      </c>
      <c r="H662" s="6">
        <v>0.07</v>
      </c>
      <c r="I662" s="6" t="s">
        <v>1973</v>
      </c>
      <c r="J662" s="13">
        <v>1758.4812</v>
      </c>
      <c r="K662" s="6" t="str">
        <f t="shared" si="1"/>
        <v>Average Earnings</v>
      </c>
    </row>
    <row r="663" ht="14.25" customHeight="1">
      <c r="A663" s="6" t="s">
        <v>2628</v>
      </c>
      <c r="B663" s="17">
        <v>45355.0</v>
      </c>
      <c r="C663" s="6" t="s">
        <v>495</v>
      </c>
      <c r="D663" s="6" t="s">
        <v>1672</v>
      </c>
      <c r="E663" s="6" t="s">
        <v>1944</v>
      </c>
      <c r="F663" s="6">
        <v>1.0</v>
      </c>
      <c r="G663" s="13">
        <v>101.84</v>
      </c>
      <c r="H663" s="6">
        <v>0.17</v>
      </c>
      <c r="I663" s="6" t="s">
        <v>1965</v>
      </c>
      <c r="J663" s="13">
        <v>84.5272</v>
      </c>
      <c r="K663" s="6" t="str">
        <f t="shared" si="1"/>
        <v>Low Earnings</v>
      </c>
    </row>
    <row r="664" ht="14.25" customHeight="1">
      <c r="A664" s="6" t="s">
        <v>2629</v>
      </c>
      <c r="B664" s="17">
        <v>45256.0</v>
      </c>
      <c r="C664" s="6" t="s">
        <v>216</v>
      </c>
      <c r="D664" s="6" t="s">
        <v>1653</v>
      </c>
      <c r="E664" s="6" t="s">
        <v>1950</v>
      </c>
      <c r="F664" s="6">
        <v>4.0</v>
      </c>
      <c r="G664" s="13">
        <v>641.45</v>
      </c>
      <c r="H664" s="6">
        <v>0.16</v>
      </c>
      <c r="I664" s="6" t="s">
        <v>1973</v>
      </c>
      <c r="J664" s="13">
        <v>2155.272</v>
      </c>
      <c r="K664" s="6" t="str">
        <f t="shared" si="1"/>
        <v>Average Earnings</v>
      </c>
    </row>
    <row r="665" ht="14.25" customHeight="1">
      <c r="A665" s="6" t="s">
        <v>2630</v>
      </c>
      <c r="B665" s="17">
        <v>45849.0</v>
      </c>
      <c r="C665" s="6" t="s">
        <v>1468</v>
      </c>
      <c r="D665" s="6" t="s">
        <v>1714</v>
      </c>
      <c r="E665" s="6" t="s">
        <v>1897</v>
      </c>
      <c r="F665" s="6">
        <v>1.0</v>
      </c>
      <c r="G665" s="13">
        <v>135.87</v>
      </c>
      <c r="H665" s="6">
        <v>0.23</v>
      </c>
      <c r="I665" s="6" t="s">
        <v>1967</v>
      </c>
      <c r="J665" s="13">
        <v>104.6199</v>
      </c>
      <c r="K665" s="6" t="str">
        <f t="shared" si="1"/>
        <v>Low Earnings</v>
      </c>
    </row>
    <row r="666" ht="14.25" customHeight="1">
      <c r="A666" s="6" t="s">
        <v>2631</v>
      </c>
      <c r="B666" s="17">
        <v>45344.0</v>
      </c>
      <c r="C666" s="6" t="s">
        <v>349</v>
      </c>
      <c r="D666" s="6" t="s">
        <v>1643</v>
      </c>
      <c r="E666" s="6" t="s">
        <v>1916</v>
      </c>
      <c r="F666" s="6">
        <v>1.0</v>
      </c>
      <c r="G666" s="13">
        <v>388.35</v>
      </c>
      <c r="H666" s="6">
        <v>0.01</v>
      </c>
      <c r="I666" s="6" t="s">
        <v>1967</v>
      </c>
      <c r="J666" s="13">
        <v>384.4665</v>
      </c>
      <c r="K666" s="6" t="str">
        <f t="shared" si="1"/>
        <v>Low Earnings</v>
      </c>
    </row>
    <row r="667" ht="14.25" customHeight="1">
      <c r="A667" s="6" t="s">
        <v>2632</v>
      </c>
      <c r="B667" s="17">
        <v>45367.0</v>
      </c>
      <c r="C667" s="6" t="s">
        <v>1511</v>
      </c>
      <c r="D667" s="6" t="s">
        <v>1698</v>
      </c>
      <c r="E667" s="6" t="s">
        <v>1926</v>
      </c>
      <c r="F667" s="6">
        <v>2.0</v>
      </c>
      <c r="G667" s="13">
        <v>999.08</v>
      </c>
      <c r="H667" s="6">
        <v>0.3</v>
      </c>
      <c r="I667" s="6" t="s">
        <v>1967</v>
      </c>
      <c r="J667" s="13">
        <v>1398.712</v>
      </c>
      <c r="K667" s="6" t="str">
        <f t="shared" si="1"/>
        <v>Average Earnings</v>
      </c>
    </row>
    <row r="668" ht="14.25" customHeight="1">
      <c r="A668" s="6" t="s">
        <v>2633</v>
      </c>
      <c r="B668" s="17">
        <v>45887.0</v>
      </c>
      <c r="C668" s="6" t="s">
        <v>576</v>
      </c>
      <c r="D668" s="6" t="s">
        <v>1698</v>
      </c>
      <c r="E668" s="6" t="s">
        <v>1947</v>
      </c>
      <c r="F668" s="6">
        <v>3.0</v>
      </c>
      <c r="G668" s="13">
        <v>453.19</v>
      </c>
      <c r="H668" s="6">
        <v>0.08</v>
      </c>
      <c r="I668" s="6" t="s">
        <v>1973</v>
      </c>
      <c r="J668" s="13">
        <v>1250.8044</v>
      </c>
      <c r="K668" s="6" t="str">
        <f t="shared" si="1"/>
        <v>Average Earnings</v>
      </c>
    </row>
    <row r="669" ht="14.25" customHeight="1">
      <c r="A669" s="6" t="s">
        <v>2634</v>
      </c>
      <c r="B669" s="17">
        <v>45567.0</v>
      </c>
      <c r="C669" s="6" t="s">
        <v>770</v>
      </c>
      <c r="D669" s="6" t="s">
        <v>1828</v>
      </c>
      <c r="E669" s="6" t="s">
        <v>1929</v>
      </c>
      <c r="F669" s="6">
        <v>2.0</v>
      </c>
      <c r="G669" s="13">
        <v>61.31</v>
      </c>
      <c r="H669" s="6">
        <v>0.15</v>
      </c>
      <c r="I669" s="6" t="s">
        <v>1973</v>
      </c>
      <c r="J669" s="13">
        <v>104.227</v>
      </c>
      <c r="K669" s="6" t="str">
        <f t="shared" si="1"/>
        <v>Low Earnings</v>
      </c>
    </row>
    <row r="670" ht="14.25" customHeight="1">
      <c r="A670" s="6" t="s">
        <v>2635</v>
      </c>
      <c r="B670" s="17">
        <v>45913.0</v>
      </c>
      <c r="C670" s="6" t="s">
        <v>893</v>
      </c>
      <c r="D670" s="6" t="s">
        <v>1782</v>
      </c>
      <c r="E670" s="6" t="s">
        <v>1953</v>
      </c>
      <c r="F670" s="6">
        <v>2.0</v>
      </c>
      <c r="G670" s="13">
        <v>451.98</v>
      </c>
      <c r="H670" s="6">
        <v>0.25</v>
      </c>
      <c r="I670" s="6" t="s">
        <v>1965</v>
      </c>
      <c r="J670" s="13">
        <v>677.97</v>
      </c>
      <c r="K670" s="6" t="str">
        <f t="shared" si="1"/>
        <v>Low Earnings</v>
      </c>
    </row>
    <row r="671" ht="14.25" customHeight="1">
      <c r="A671" s="6" t="s">
        <v>2636</v>
      </c>
      <c r="B671" s="17">
        <v>45918.0</v>
      </c>
      <c r="C671" s="6" t="s">
        <v>96</v>
      </c>
      <c r="D671" s="6" t="s">
        <v>1798</v>
      </c>
      <c r="E671" s="6" t="s">
        <v>1950</v>
      </c>
      <c r="F671" s="6">
        <v>2.0</v>
      </c>
      <c r="G671" s="13">
        <v>623.38</v>
      </c>
      <c r="H671" s="6">
        <v>0.13</v>
      </c>
      <c r="I671" s="6" t="s">
        <v>1965</v>
      </c>
      <c r="J671" s="13">
        <v>1084.6812</v>
      </c>
      <c r="K671" s="6" t="str">
        <f t="shared" si="1"/>
        <v>Average Earnings</v>
      </c>
    </row>
    <row r="672" ht="14.25" customHeight="1">
      <c r="A672" s="6" t="s">
        <v>2637</v>
      </c>
      <c r="B672" s="17">
        <v>45223.0</v>
      </c>
      <c r="C672" s="6" t="s">
        <v>1089</v>
      </c>
      <c r="D672" s="6" t="s">
        <v>1831</v>
      </c>
      <c r="E672" s="6" t="s">
        <v>1929</v>
      </c>
      <c r="F672" s="6">
        <v>2.0</v>
      </c>
      <c r="G672" s="13">
        <v>870.13</v>
      </c>
      <c r="H672" s="6">
        <v>0.23</v>
      </c>
      <c r="I672" s="6" t="s">
        <v>1965</v>
      </c>
      <c r="J672" s="13">
        <v>1340.0002</v>
      </c>
      <c r="K672" s="6" t="str">
        <f t="shared" si="1"/>
        <v>Average Earnings</v>
      </c>
    </row>
    <row r="673" ht="14.25" customHeight="1">
      <c r="A673" s="6" t="s">
        <v>2638</v>
      </c>
      <c r="B673" s="17">
        <v>45664.0</v>
      </c>
      <c r="C673" s="6" t="s">
        <v>255</v>
      </c>
      <c r="D673" s="6" t="s">
        <v>1622</v>
      </c>
      <c r="E673" s="6" t="s">
        <v>1953</v>
      </c>
      <c r="F673" s="6">
        <v>1.0</v>
      </c>
      <c r="G673" s="13">
        <v>336.51</v>
      </c>
      <c r="H673" s="6">
        <v>0.11</v>
      </c>
      <c r="I673" s="6" t="s">
        <v>1967</v>
      </c>
      <c r="J673" s="13">
        <v>299.4939</v>
      </c>
      <c r="K673" s="6" t="str">
        <f t="shared" si="1"/>
        <v>Low Earnings</v>
      </c>
    </row>
    <row r="674" ht="14.25" customHeight="1">
      <c r="A674" s="6" t="s">
        <v>2639</v>
      </c>
      <c r="B674" s="17">
        <v>45313.0</v>
      </c>
      <c r="C674" s="6" t="s">
        <v>610</v>
      </c>
      <c r="D674" s="6" t="s">
        <v>1788</v>
      </c>
      <c r="E674" s="6" t="s">
        <v>1892</v>
      </c>
      <c r="F674" s="6">
        <v>1.0</v>
      </c>
      <c r="G674" s="13">
        <v>305.71</v>
      </c>
      <c r="H674" s="6">
        <v>0.26</v>
      </c>
      <c r="I674" s="6" t="s">
        <v>1973</v>
      </c>
      <c r="J674" s="13">
        <v>226.2254</v>
      </c>
      <c r="K674" s="6" t="str">
        <f t="shared" si="1"/>
        <v>Low Earnings</v>
      </c>
    </row>
    <row r="675" ht="14.25" customHeight="1">
      <c r="A675" s="6" t="s">
        <v>2640</v>
      </c>
      <c r="B675" s="17">
        <v>45224.0</v>
      </c>
      <c r="C675" s="6" t="s">
        <v>428</v>
      </c>
      <c r="D675" s="6" t="s">
        <v>1604</v>
      </c>
      <c r="E675" s="6" t="s">
        <v>1950</v>
      </c>
      <c r="F675" s="6">
        <v>2.0</v>
      </c>
      <c r="G675" s="13">
        <v>635.39</v>
      </c>
      <c r="H675" s="6">
        <v>0.29</v>
      </c>
      <c r="I675" s="6" t="s">
        <v>1973</v>
      </c>
      <c r="J675" s="13">
        <v>902.2538</v>
      </c>
      <c r="K675" s="6" t="str">
        <f t="shared" si="1"/>
        <v>Low Earnings</v>
      </c>
    </row>
    <row r="676" ht="14.25" customHeight="1">
      <c r="A676" s="6" t="s">
        <v>2641</v>
      </c>
      <c r="B676" s="17">
        <v>45491.0</v>
      </c>
      <c r="C676" s="6" t="s">
        <v>413</v>
      </c>
      <c r="D676" s="6" t="s">
        <v>1864</v>
      </c>
      <c r="E676" s="6" t="s">
        <v>1953</v>
      </c>
      <c r="F676" s="6">
        <v>2.0</v>
      </c>
      <c r="G676" s="13">
        <v>253.87</v>
      </c>
      <c r="H676" s="6">
        <v>0.23</v>
      </c>
      <c r="I676" s="6" t="s">
        <v>1973</v>
      </c>
      <c r="J676" s="13">
        <v>390.9598</v>
      </c>
      <c r="K676" s="6" t="str">
        <f t="shared" si="1"/>
        <v>Low Earnings</v>
      </c>
    </row>
    <row r="677" ht="14.25" customHeight="1">
      <c r="A677" s="6" t="s">
        <v>2642</v>
      </c>
      <c r="B677" s="17">
        <v>45472.0</v>
      </c>
      <c r="C677" s="6" t="s">
        <v>1505</v>
      </c>
      <c r="D677" s="6" t="s">
        <v>1816</v>
      </c>
      <c r="E677" s="6" t="s">
        <v>1947</v>
      </c>
      <c r="F677" s="6">
        <v>3.0</v>
      </c>
      <c r="G677" s="13">
        <v>915.81</v>
      </c>
      <c r="H677" s="6">
        <v>0.17</v>
      </c>
      <c r="I677" s="6" t="s">
        <v>1973</v>
      </c>
      <c r="J677" s="13">
        <v>2280.3669</v>
      </c>
      <c r="K677" s="6" t="str">
        <f t="shared" si="1"/>
        <v>Average Earnings</v>
      </c>
    </row>
    <row r="678" ht="14.25" customHeight="1">
      <c r="A678" s="6" t="s">
        <v>2643</v>
      </c>
      <c r="B678" s="17">
        <v>45795.0</v>
      </c>
      <c r="C678" s="6" t="s">
        <v>693</v>
      </c>
      <c r="D678" s="6" t="s">
        <v>1711</v>
      </c>
      <c r="E678" s="6" t="s">
        <v>1922</v>
      </c>
      <c r="F678" s="6">
        <v>3.0</v>
      </c>
      <c r="G678" s="13">
        <v>779.5</v>
      </c>
      <c r="H678" s="6">
        <v>0.02</v>
      </c>
      <c r="I678" s="6" t="s">
        <v>1965</v>
      </c>
      <c r="J678" s="13">
        <v>2291.73</v>
      </c>
      <c r="K678" s="6" t="str">
        <f t="shared" si="1"/>
        <v>Average Earnings</v>
      </c>
    </row>
    <row r="679" ht="14.25" customHeight="1">
      <c r="A679" s="6" t="s">
        <v>2644</v>
      </c>
      <c r="B679" s="17">
        <v>45470.0</v>
      </c>
      <c r="C679" s="6" t="s">
        <v>1462</v>
      </c>
      <c r="D679" s="6" t="s">
        <v>1770</v>
      </c>
      <c r="E679" s="6" t="s">
        <v>1944</v>
      </c>
      <c r="F679" s="6">
        <v>2.0</v>
      </c>
      <c r="G679" s="13">
        <v>780.57</v>
      </c>
      <c r="H679" s="6">
        <v>0.26</v>
      </c>
      <c r="I679" s="6" t="s">
        <v>1965</v>
      </c>
      <c r="J679" s="13">
        <v>1155.2436</v>
      </c>
      <c r="K679" s="6" t="str">
        <f t="shared" si="1"/>
        <v>Average Earnings</v>
      </c>
    </row>
    <row r="680" ht="14.25" customHeight="1">
      <c r="A680" s="6" t="s">
        <v>2645</v>
      </c>
      <c r="B680" s="17">
        <v>45390.0</v>
      </c>
      <c r="C680" s="6" t="s">
        <v>1212</v>
      </c>
      <c r="D680" s="6" t="s">
        <v>1873</v>
      </c>
      <c r="E680" s="6" t="s">
        <v>1953</v>
      </c>
      <c r="F680" s="6">
        <v>1.0</v>
      </c>
      <c r="G680" s="13">
        <v>511.35</v>
      </c>
      <c r="H680" s="6">
        <v>0.0</v>
      </c>
      <c r="I680" s="6" t="s">
        <v>1965</v>
      </c>
      <c r="J680" s="13">
        <v>511.35</v>
      </c>
      <c r="K680" s="6" t="str">
        <f t="shared" si="1"/>
        <v>Low Earnings</v>
      </c>
    </row>
    <row r="681" ht="14.25" customHeight="1">
      <c r="A681" s="6" t="s">
        <v>2646</v>
      </c>
      <c r="B681" s="17">
        <v>45803.0</v>
      </c>
      <c r="C681" s="6" t="s">
        <v>82</v>
      </c>
      <c r="D681" s="6" t="s">
        <v>1879</v>
      </c>
      <c r="E681" s="6" t="s">
        <v>1906</v>
      </c>
      <c r="F681" s="6">
        <v>4.0</v>
      </c>
      <c r="G681" s="13">
        <v>44.07</v>
      </c>
      <c r="H681" s="6">
        <v>0.29</v>
      </c>
      <c r="I681" s="6" t="s">
        <v>1973</v>
      </c>
      <c r="J681" s="13">
        <v>125.1588</v>
      </c>
      <c r="K681" s="6" t="str">
        <f t="shared" si="1"/>
        <v>Low Earnings</v>
      </c>
    </row>
    <row r="682" ht="14.25" customHeight="1">
      <c r="A682" s="6" t="s">
        <v>2647</v>
      </c>
      <c r="B682" s="17">
        <v>45729.0</v>
      </c>
      <c r="C682" s="6" t="s">
        <v>226</v>
      </c>
      <c r="D682" s="6" t="s">
        <v>1798</v>
      </c>
      <c r="E682" s="6" t="s">
        <v>1892</v>
      </c>
      <c r="F682" s="6">
        <v>1.0</v>
      </c>
      <c r="G682" s="13">
        <v>479.58</v>
      </c>
      <c r="H682" s="6">
        <v>0.05</v>
      </c>
      <c r="I682" s="6" t="s">
        <v>1967</v>
      </c>
      <c r="J682" s="13">
        <v>455.6009999999999</v>
      </c>
      <c r="K682" s="6" t="str">
        <f t="shared" si="1"/>
        <v>Low Earnings</v>
      </c>
    </row>
    <row r="683" ht="14.25" customHeight="1">
      <c r="A683" s="6" t="s">
        <v>2648</v>
      </c>
      <c r="B683" s="17">
        <v>45320.0</v>
      </c>
      <c r="C683" s="6" t="s">
        <v>658</v>
      </c>
      <c r="D683" s="6" t="s">
        <v>1795</v>
      </c>
      <c r="E683" s="6" t="s">
        <v>1932</v>
      </c>
      <c r="F683" s="6">
        <v>2.0</v>
      </c>
      <c r="G683" s="13">
        <v>895.92</v>
      </c>
      <c r="H683" s="6">
        <v>0.15</v>
      </c>
      <c r="I683" s="6" t="s">
        <v>1965</v>
      </c>
      <c r="J683" s="13">
        <v>1523.064</v>
      </c>
      <c r="K683" s="6" t="str">
        <f t="shared" si="1"/>
        <v>Average Earnings</v>
      </c>
    </row>
    <row r="684" ht="14.25" customHeight="1">
      <c r="A684" s="6" t="s">
        <v>2649</v>
      </c>
      <c r="B684" s="17">
        <v>45619.0</v>
      </c>
      <c r="C684" s="6" t="s">
        <v>978</v>
      </c>
      <c r="D684" s="6" t="s">
        <v>1746</v>
      </c>
      <c r="E684" s="6" t="s">
        <v>1901</v>
      </c>
      <c r="F684" s="6">
        <v>4.0</v>
      </c>
      <c r="G684" s="13">
        <v>456.32</v>
      </c>
      <c r="H684" s="6">
        <v>0.22</v>
      </c>
      <c r="I684" s="6" t="s">
        <v>1973</v>
      </c>
      <c r="J684" s="13">
        <v>1423.7184</v>
      </c>
      <c r="K684" s="6" t="str">
        <f t="shared" si="1"/>
        <v>Average Earnings</v>
      </c>
    </row>
    <row r="685" ht="14.25" customHeight="1">
      <c r="A685" s="6" t="s">
        <v>2650</v>
      </c>
      <c r="B685" s="17">
        <v>45777.0</v>
      </c>
      <c r="C685" s="6" t="s">
        <v>1320</v>
      </c>
      <c r="D685" s="6" t="s">
        <v>1685</v>
      </c>
      <c r="E685" s="6" t="s">
        <v>1892</v>
      </c>
      <c r="F685" s="6">
        <v>1.0</v>
      </c>
      <c r="G685" s="13">
        <v>905.5</v>
      </c>
      <c r="H685" s="6">
        <v>0.29</v>
      </c>
      <c r="I685" s="6" t="s">
        <v>1973</v>
      </c>
      <c r="J685" s="13">
        <v>642.905</v>
      </c>
      <c r="K685" s="6" t="str">
        <f t="shared" si="1"/>
        <v>Low Earnings</v>
      </c>
    </row>
    <row r="686" ht="14.25" customHeight="1">
      <c r="A686" s="6" t="s">
        <v>2651</v>
      </c>
      <c r="B686" s="17">
        <v>45523.0</v>
      </c>
      <c r="C686" s="6" t="s">
        <v>678</v>
      </c>
      <c r="D686" s="6" t="s">
        <v>1626</v>
      </c>
      <c r="E686" s="6" t="s">
        <v>1937</v>
      </c>
      <c r="F686" s="6">
        <v>3.0</v>
      </c>
      <c r="G686" s="13">
        <v>63.19</v>
      </c>
      <c r="H686" s="6">
        <v>0.08</v>
      </c>
      <c r="I686" s="6" t="s">
        <v>1965</v>
      </c>
      <c r="J686" s="13">
        <v>174.4044</v>
      </c>
      <c r="K686" s="6" t="str">
        <f t="shared" si="1"/>
        <v>Low Earnings</v>
      </c>
    </row>
    <row r="687" ht="14.25" customHeight="1">
      <c r="A687" s="6" t="s">
        <v>2652</v>
      </c>
      <c r="B687" s="17">
        <v>45628.0</v>
      </c>
      <c r="C687" s="6" t="s">
        <v>199</v>
      </c>
      <c r="D687" s="6" t="s">
        <v>1798</v>
      </c>
      <c r="E687" s="6" t="s">
        <v>1919</v>
      </c>
      <c r="F687" s="6">
        <v>3.0</v>
      </c>
      <c r="G687" s="13">
        <v>687.66</v>
      </c>
      <c r="H687" s="6">
        <v>0.06</v>
      </c>
      <c r="I687" s="6" t="s">
        <v>1967</v>
      </c>
      <c r="J687" s="13">
        <v>1939.2012</v>
      </c>
      <c r="K687" s="6" t="str">
        <f t="shared" si="1"/>
        <v>Average Earnings</v>
      </c>
    </row>
    <row r="688" ht="14.25" customHeight="1">
      <c r="A688" s="6" t="s">
        <v>2653</v>
      </c>
      <c r="B688" s="17">
        <v>45742.0</v>
      </c>
      <c r="C688" s="6" t="s">
        <v>723</v>
      </c>
      <c r="D688" s="6" t="s">
        <v>1714</v>
      </c>
      <c r="E688" s="6" t="s">
        <v>1926</v>
      </c>
      <c r="F688" s="6">
        <v>4.0</v>
      </c>
      <c r="G688" s="13">
        <v>639.06</v>
      </c>
      <c r="H688" s="6">
        <v>0.12</v>
      </c>
      <c r="I688" s="6" t="s">
        <v>1967</v>
      </c>
      <c r="J688" s="13">
        <v>2249.4912</v>
      </c>
      <c r="K688" s="6" t="str">
        <f t="shared" si="1"/>
        <v>Average Earnings</v>
      </c>
    </row>
    <row r="689" ht="14.25" customHeight="1">
      <c r="A689" s="6" t="s">
        <v>2654</v>
      </c>
      <c r="B689" s="17">
        <v>45456.0</v>
      </c>
      <c r="C689" s="6" t="s">
        <v>255</v>
      </c>
      <c r="D689" s="6" t="s">
        <v>1801</v>
      </c>
      <c r="E689" s="6" t="s">
        <v>1919</v>
      </c>
      <c r="F689" s="6">
        <v>1.0</v>
      </c>
      <c r="G689" s="13">
        <v>475.15</v>
      </c>
      <c r="H689" s="6">
        <v>0.04</v>
      </c>
      <c r="I689" s="6" t="s">
        <v>1973</v>
      </c>
      <c r="J689" s="13">
        <v>456.1439999999999</v>
      </c>
      <c r="K689" s="6" t="str">
        <f t="shared" si="1"/>
        <v>Low Earnings</v>
      </c>
    </row>
    <row r="690" ht="14.25" customHeight="1">
      <c r="A690" s="6" t="s">
        <v>2655</v>
      </c>
      <c r="B690" s="17">
        <v>45534.0</v>
      </c>
      <c r="C690" s="6" t="s">
        <v>637</v>
      </c>
      <c r="D690" s="6" t="s">
        <v>1717</v>
      </c>
      <c r="E690" s="6" t="s">
        <v>1916</v>
      </c>
      <c r="F690" s="6">
        <v>1.0</v>
      </c>
      <c r="G690" s="13">
        <v>62.38</v>
      </c>
      <c r="H690" s="6">
        <v>0.08</v>
      </c>
      <c r="I690" s="6" t="s">
        <v>1973</v>
      </c>
      <c r="J690" s="13">
        <v>57.3896</v>
      </c>
      <c r="K690" s="6" t="str">
        <f t="shared" si="1"/>
        <v>Low Earnings</v>
      </c>
    </row>
    <row r="691" ht="14.25" customHeight="1">
      <c r="A691" s="6" t="s">
        <v>2656</v>
      </c>
      <c r="B691" s="17">
        <v>45375.0</v>
      </c>
      <c r="C691" s="6" t="s">
        <v>1125</v>
      </c>
      <c r="D691" s="6" t="s">
        <v>1622</v>
      </c>
      <c r="E691" s="6" t="s">
        <v>1919</v>
      </c>
      <c r="F691" s="6">
        <v>1.0</v>
      </c>
      <c r="G691" s="13">
        <v>977.02</v>
      </c>
      <c r="H691" s="6">
        <v>0.2</v>
      </c>
      <c r="I691" s="6" t="s">
        <v>1973</v>
      </c>
      <c r="J691" s="13">
        <v>781.616</v>
      </c>
      <c r="K691" s="6" t="str">
        <f t="shared" si="1"/>
        <v>Low Earnings</v>
      </c>
    </row>
    <row r="692" ht="14.25" customHeight="1">
      <c r="A692" s="6" t="s">
        <v>2657</v>
      </c>
      <c r="B692" s="17">
        <v>45546.0</v>
      </c>
      <c r="C692" s="6" t="s">
        <v>279</v>
      </c>
      <c r="D692" s="6" t="s">
        <v>1837</v>
      </c>
      <c r="E692" s="6" t="s">
        <v>1909</v>
      </c>
      <c r="F692" s="6">
        <v>2.0</v>
      </c>
      <c r="G692" s="13">
        <v>898.81</v>
      </c>
      <c r="H692" s="6">
        <v>0.25</v>
      </c>
      <c r="I692" s="6" t="s">
        <v>1965</v>
      </c>
      <c r="J692" s="13">
        <v>1348.215</v>
      </c>
      <c r="K692" s="6" t="str">
        <f t="shared" si="1"/>
        <v>Average Earnings</v>
      </c>
    </row>
    <row r="693" ht="14.25" customHeight="1">
      <c r="A693" s="6" t="s">
        <v>2658</v>
      </c>
      <c r="B693" s="17">
        <v>45276.0</v>
      </c>
      <c r="C693" s="6" t="s">
        <v>957</v>
      </c>
      <c r="D693" s="6" t="s">
        <v>1807</v>
      </c>
      <c r="E693" s="6" t="s">
        <v>1916</v>
      </c>
      <c r="F693" s="6">
        <v>3.0</v>
      </c>
      <c r="G693" s="13">
        <v>369.32</v>
      </c>
      <c r="H693" s="6">
        <v>0.14</v>
      </c>
      <c r="I693" s="6" t="s">
        <v>1967</v>
      </c>
      <c r="J693" s="13">
        <v>952.8456</v>
      </c>
      <c r="K693" s="6" t="str">
        <f t="shared" si="1"/>
        <v>Low Earnings</v>
      </c>
    </row>
    <row r="694" ht="14.25" customHeight="1">
      <c r="A694" s="6" t="s">
        <v>2659</v>
      </c>
      <c r="B694" s="17">
        <v>45769.0</v>
      </c>
      <c r="C694" s="6" t="s">
        <v>1116</v>
      </c>
      <c r="D694" s="6" t="s">
        <v>1758</v>
      </c>
      <c r="E694" s="6" t="s">
        <v>1906</v>
      </c>
      <c r="F694" s="6">
        <v>2.0</v>
      </c>
      <c r="G694" s="13">
        <v>422.13</v>
      </c>
      <c r="H694" s="6">
        <v>0.28</v>
      </c>
      <c r="I694" s="6" t="s">
        <v>1965</v>
      </c>
      <c r="J694" s="13">
        <v>607.8672</v>
      </c>
      <c r="K694" s="6" t="str">
        <f t="shared" si="1"/>
        <v>Low Earnings</v>
      </c>
    </row>
    <row r="695" ht="14.25" customHeight="1">
      <c r="A695" s="6" t="s">
        <v>2660</v>
      </c>
      <c r="B695" s="17">
        <v>45524.0</v>
      </c>
      <c r="C695" s="6" t="s">
        <v>199</v>
      </c>
      <c r="D695" s="6" t="s">
        <v>1685</v>
      </c>
      <c r="E695" s="6" t="s">
        <v>1932</v>
      </c>
      <c r="F695" s="6">
        <v>1.0</v>
      </c>
      <c r="G695" s="13">
        <v>324.56</v>
      </c>
      <c r="H695" s="6">
        <v>0.03</v>
      </c>
      <c r="I695" s="6" t="s">
        <v>1973</v>
      </c>
      <c r="J695" s="13">
        <v>314.8232</v>
      </c>
      <c r="K695" s="6" t="str">
        <f t="shared" si="1"/>
        <v>Low Earnings</v>
      </c>
    </row>
    <row r="696" ht="14.25" customHeight="1">
      <c r="A696" s="6" t="s">
        <v>2661</v>
      </c>
      <c r="B696" s="17">
        <v>45531.0</v>
      </c>
      <c r="C696" s="6" t="s">
        <v>1459</v>
      </c>
      <c r="D696" s="6" t="s">
        <v>1752</v>
      </c>
      <c r="E696" s="6" t="s">
        <v>1944</v>
      </c>
      <c r="F696" s="6">
        <v>4.0</v>
      </c>
      <c r="G696" s="13">
        <v>570.38</v>
      </c>
      <c r="H696" s="6">
        <v>0.26</v>
      </c>
      <c r="I696" s="6" t="s">
        <v>1967</v>
      </c>
      <c r="J696" s="13">
        <v>1688.3248</v>
      </c>
      <c r="K696" s="6" t="str">
        <f t="shared" si="1"/>
        <v>Average Earnings</v>
      </c>
    </row>
    <row r="697" ht="14.25" customHeight="1">
      <c r="A697" s="6" t="s">
        <v>2662</v>
      </c>
      <c r="B697" s="17">
        <v>45479.0</v>
      </c>
      <c r="C697" s="6" t="s">
        <v>1245</v>
      </c>
      <c r="D697" s="6" t="s">
        <v>1685</v>
      </c>
      <c r="E697" s="6" t="s">
        <v>1941</v>
      </c>
      <c r="F697" s="6">
        <v>2.0</v>
      </c>
      <c r="G697" s="13">
        <v>223.73</v>
      </c>
      <c r="H697" s="6">
        <v>0.11</v>
      </c>
      <c r="I697" s="6" t="s">
        <v>1967</v>
      </c>
      <c r="J697" s="13">
        <v>398.2394</v>
      </c>
      <c r="K697" s="6" t="str">
        <f t="shared" si="1"/>
        <v>Low Earnings</v>
      </c>
    </row>
    <row r="698" ht="14.25" customHeight="1">
      <c r="A698" s="6" t="s">
        <v>2663</v>
      </c>
      <c r="B698" s="17">
        <v>45868.0</v>
      </c>
      <c r="C698" s="6" t="s">
        <v>1116</v>
      </c>
      <c r="D698" s="6" t="s">
        <v>1846</v>
      </c>
      <c r="E698" s="6" t="s">
        <v>1944</v>
      </c>
      <c r="F698" s="6">
        <v>4.0</v>
      </c>
      <c r="G698" s="13">
        <v>164.93</v>
      </c>
      <c r="H698" s="6">
        <v>0.11</v>
      </c>
      <c r="I698" s="6" t="s">
        <v>1965</v>
      </c>
      <c r="J698" s="13">
        <v>587.1508</v>
      </c>
      <c r="K698" s="6" t="str">
        <f t="shared" si="1"/>
        <v>Low Earnings</v>
      </c>
    </row>
    <row r="699" ht="14.25" customHeight="1">
      <c r="A699" s="6" t="s">
        <v>2664</v>
      </c>
      <c r="B699" s="17">
        <v>45569.0</v>
      </c>
      <c r="C699" s="6" t="s">
        <v>812</v>
      </c>
      <c r="D699" s="6" t="s">
        <v>1622</v>
      </c>
      <c r="E699" s="6" t="s">
        <v>1919</v>
      </c>
      <c r="F699" s="6">
        <v>3.0</v>
      </c>
      <c r="G699" s="13">
        <v>326.66</v>
      </c>
      <c r="H699" s="6">
        <v>0.28</v>
      </c>
      <c r="I699" s="6" t="s">
        <v>1973</v>
      </c>
      <c r="J699" s="13">
        <v>705.5856</v>
      </c>
      <c r="K699" s="6" t="str">
        <f t="shared" si="1"/>
        <v>Low Earnings</v>
      </c>
    </row>
    <row r="700" ht="14.25" customHeight="1">
      <c r="A700" s="6" t="s">
        <v>2665</v>
      </c>
      <c r="B700" s="17">
        <v>45382.0</v>
      </c>
      <c r="C700" s="6" t="s">
        <v>613</v>
      </c>
      <c r="D700" s="6" t="s">
        <v>1565</v>
      </c>
      <c r="E700" s="6" t="s">
        <v>1941</v>
      </c>
      <c r="F700" s="6">
        <v>2.0</v>
      </c>
      <c r="G700" s="13">
        <v>462.93</v>
      </c>
      <c r="H700" s="6">
        <v>0.17</v>
      </c>
      <c r="I700" s="6" t="s">
        <v>1967</v>
      </c>
      <c r="J700" s="13">
        <v>768.4638</v>
      </c>
      <c r="K700" s="6" t="str">
        <f t="shared" si="1"/>
        <v>Low Earnings</v>
      </c>
    </row>
    <row r="701" ht="14.25" customHeight="1">
      <c r="A701" s="6" t="s">
        <v>2666</v>
      </c>
      <c r="B701" s="17">
        <v>45885.0</v>
      </c>
      <c r="C701" s="6" t="s">
        <v>507</v>
      </c>
      <c r="D701" s="6" t="s">
        <v>1560</v>
      </c>
      <c r="E701" s="6" t="s">
        <v>1944</v>
      </c>
      <c r="F701" s="6">
        <v>3.0</v>
      </c>
      <c r="G701" s="13">
        <v>60.26</v>
      </c>
      <c r="H701" s="6">
        <v>0.04</v>
      </c>
      <c r="I701" s="6" t="s">
        <v>1965</v>
      </c>
      <c r="J701" s="13">
        <v>173.5488</v>
      </c>
      <c r="K701" s="6" t="str">
        <f t="shared" si="1"/>
        <v>Low Earnings</v>
      </c>
    </row>
    <row r="702" ht="14.25" customHeight="1">
      <c r="A702" s="6" t="s">
        <v>2667</v>
      </c>
      <c r="B702" s="17">
        <v>45829.0</v>
      </c>
      <c r="C702" s="6" t="s">
        <v>269</v>
      </c>
      <c r="D702" s="6" t="s">
        <v>1685</v>
      </c>
      <c r="E702" s="6" t="s">
        <v>1926</v>
      </c>
      <c r="F702" s="6">
        <v>3.0</v>
      </c>
      <c r="G702" s="13">
        <v>109.5</v>
      </c>
      <c r="H702" s="6">
        <v>0.06</v>
      </c>
      <c r="I702" s="6" t="s">
        <v>1973</v>
      </c>
      <c r="J702" s="13">
        <v>308.79</v>
      </c>
      <c r="K702" s="6" t="str">
        <f t="shared" si="1"/>
        <v>Low Earnings</v>
      </c>
    </row>
    <row r="703" ht="14.25" customHeight="1">
      <c r="A703" s="6" t="s">
        <v>2668</v>
      </c>
      <c r="B703" s="17">
        <v>45721.0</v>
      </c>
      <c r="C703" s="6" t="s">
        <v>1209</v>
      </c>
      <c r="D703" s="6" t="s">
        <v>1798</v>
      </c>
      <c r="E703" s="6" t="s">
        <v>1944</v>
      </c>
      <c r="F703" s="6">
        <v>1.0</v>
      </c>
      <c r="G703" s="13">
        <v>505.83</v>
      </c>
      <c r="H703" s="6">
        <v>0.14</v>
      </c>
      <c r="I703" s="6" t="s">
        <v>1973</v>
      </c>
      <c r="J703" s="13">
        <v>435.0138</v>
      </c>
      <c r="K703" s="6" t="str">
        <f t="shared" si="1"/>
        <v>Low Earnings</v>
      </c>
    </row>
    <row r="704" ht="14.25" customHeight="1">
      <c r="A704" s="6" t="s">
        <v>2669</v>
      </c>
      <c r="B704" s="17">
        <v>45851.0</v>
      </c>
      <c r="C704" s="6" t="s">
        <v>286</v>
      </c>
      <c r="D704" s="6" t="s">
        <v>1679</v>
      </c>
      <c r="E704" s="6" t="s">
        <v>1897</v>
      </c>
      <c r="F704" s="6">
        <v>1.0</v>
      </c>
      <c r="G704" s="13">
        <v>488.31</v>
      </c>
      <c r="H704" s="6">
        <v>0.03</v>
      </c>
      <c r="I704" s="6" t="s">
        <v>1967</v>
      </c>
      <c r="J704" s="13">
        <v>473.6607</v>
      </c>
      <c r="K704" s="6" t="str">
        <f t="shared" si="1"/>
        <v>Low Earnings</v>
      </c>
    </row>
    <row r="705" ht="14.25" customHeight="1">
      <c r="A705" s="6" t="s">
        <v>2670</v>
      </c>
      <c r="B705" s="17">
        <v>45511.0</v>
      </c>
      <c r="C705" s="6" t="s">
        <v>555</v>
      </c>
      <c r="D705" s="6" t="s">
        <v>1882</v>
      </c>
      <c r="E705" s="6" t="s">
        <v>1929</v>
      </c>
      <c r="F705" s="6">
        <v>2.0</v>
      </c>
      <c r="G705" s="13">
        <v>443.15</v>
      </c>
      <c r="H705" s="6">
        <v>0.27</v>
      </c>
      <c r="I705" s="6" t="s">
        <v>1967</v>
      </c>
      <c r="J705" s="13">
        <v>646.9989999999999</v>
      </c>
      <c r="K705" s="6" t="str">
        <f t="shared" si="1"/>
        <v>Low Earnings</v>
      </c>
    </row>
    <row r="706" ht="14.25" customHeight="1">
      <c r="A706" s="6" t="s">
        <v>2671</v>
      </c>
      <c r="B706" s="17">
        <v>45739.0</v>
      </c>
      <c r="C706" s="6" t="s">
        <v>1543</v>
      </c>
      <c r="D706" s="6" t="s">
        <v>1590</v>
      </c>
      <c r="E706" s="6" t="s">
        <v>1919</v>
      </c>
      <c r="F706" s="6">
        <v>2.0</v>
      </c>
      <c r="G706" s="13">
        <v>784.26</v>
      </c>
      <c r="H706" s="6">
        <v>0.23</v>
      </c>
      <c r="I706" s="6" t="s">
        <v>1967</v>
      </c>
      <c r="J706" s="13">
        <v>1207.7604</v>
      </c>
      <c r="K706" s="6" t="str">
        <f t="shared" si="1"/>
        <v>Average Earnings</v>
      </c>
    </row>
    <row r="707" ht="14.25" customHeight="1">
      <c r="A707" s="6" t="s">
        <v>2672</v>
      </c>
      <c r="B707" s="17">
        <v>45533.0</v>
      </c>
      <c r="C707" s="6" t="s">
        <v>1421</v>
      </c>
      <c r="D707" s="6" t="s">
        <v>1701</v>
      </c>
      <c r="E707" s="6" t="s">
        <v>1932</v>
      </c>
      <c r="F707" s="6">
        <v>3.0</v>
      </c>
      <c r="G707" s="13">
        <v>590.31</v>
      </c>
      <c r="H707" s="6">
        <v>0.17</v>
      </c>
      <c r="I707" s="6" t="s">
        <v>1967</v>
      </c>
      <c r="J707" s="13">
        <v>1469.8719</v>
      </c>
      <c r="K707" s="6" t="str">
        <f t="shared" si="1"/>
        <v>Average Earnings</v>
      </c>
    </row>
    <row r="708" ht="14.25" customHeight="1">
      <c r="A708" s="6" t="s">
        <v>2673</v>
      </c>
      <c r="B708" s="17">
        <v>45553.0</v>
      </c>
      <c r="C708" s="6" t="s">
        <v>425</v>
      </c>
      <c r="D708" s="6" t="s">
        <v>1795</v>
      </c>
      <c r="E708" s="6" t="s">
        <v>1944</v>
      </c>
      <c r="F708" s="6">
        <v>1.0</v>
      </c>
      <c r="G708" s="13">
        <v>696.13</v>
      </c>
      <c r="H708" s="6">
        <v>0.06</v>
      </c>
      <c r="I708" s="6" t="s">
        <v>1973</v>
      </c>
      <c r="J708" s="13">
        <v>654.3621999999999</v>
      </c>
      <c r="K708" s="6" t="str">
        <f t="shared" si="1"/>
        <v>Low Earnings</v>
      </c>
    </row>
    <row r="709" ht="14.25" customHeight="1">
      <c r="A709" s="6" t="s">
        <v>2674</v>
      </c>
      <c r="B709" s="17">
        <v>45341.0</v>
      </c>
      <c r="C709" s="6" t="s">
        <v>377</v>
      </c>
      <c r="D709" s="6" t="s">
        <v>1740</v>
      </c>
      <c r="E709" s="6" t="s">
        <v>1916</v>
      </c>
      <c r="F709" s="6">
        <v>4.0</v>
      </c>
      <c r="G709" s="13">
        <v>194.39</v>
      </c>
      <c r="H709" s="6">
        <v>0.25</v>
      </c>
      <c r="I709" s="6" t="s">
        <v>1965</v>
      </c>
      <c r="J709" s="13">
        <v>583.17</v>
      </c>
      <c r="K709" s="6" t="str">
        <f t="shared" si="1"/>
        <v>Low Earnings</v>
      </c>
    </row>
    <row r="710" ht="14.25" customHeight="1">
      <c r="A710" s="6" t="s">
        <v>2675</v>
      </c>
      <c r="B710" s="17">
        <v>45430.0</v>
      </c>
      <c r="C710" s="6" t="s">
        <v>1053</v>
      </c>
      <c r="D710" s="6" t="s">
        <v>1682</v>
      </c>
      <c r="E710" s="6" t="s">
        <v>1897</v>
      </c>
      <c r="F710" s="6">
        <v>1.0</v>
      </c>
      <c r="G710" s="13">
        <v>339.7</v>
      </c>
      <c r="H710" s="6">
        <v>0.1</v>
      </c>
      <c r="I710" s="6" t="s">
        <v>1965</v>
      </c>
      <c r="J710" s="13">
        <v>305.73</v>
      </c>
      <c r="K710" s="6" t="str">
        <f t="shared" si="1"/>
        <v>Low Earnings</v>
      </c>
    </row>
    <row r="711" ht="14.25" customHeight="1">
      <c r="A711" s="6" t="s">
        <v>2676</v>
      </c>
      <c r="B711" s="17">
        <v>45912.0</v>
      </c>
      <c r="C711" s="6" t="s">
        <v>193</v>
      </c>
      <c r="D711" s="6" t="s">
        <v>1791</v>
      </c>
      <c r="E711" s="6" t="s">
        <v>1937</v>
      </c>
      <c r="F711" s="6">
        <v>4.0</v>
      </c>
      <c r="G711" s="13">
        <v>463.16</v>
      </c>
      <c r="H711" s="6">
        <v>0.27</v>
      </c>
      <c r="I711" s="6" t="s">
        <v>1967</v>
      </c>
      <c r="J711" s="13">
        <v>1352.4272</v>
      </c>
      <c r="K711" s="6" t="str">
        <f t="shared" si="1"/>
        <v>Average Earnings</v>
      </c>
    </row>
    <row r="712" ht="14.25" customHeight="1">
      <c r="A712" s="6" t="s">
        <v>2677</v>
      </c>
      <c r="B712" s="17">
        <v>45709.0</v>
      </c>
      <c r="C712" s="6" t="s">
        <v>386</v>
      </c>
      <c r="D712" s="6" t="s">
        <v>1581</v>
      </c>
      <c r="E712" s="6" t="s">
        <v>1929</v>
      </c>
      <c r="F712" s="6">
        <v>2.0</v>
      </c>
      <c r="G712" s="13">
        <v>824.91</v>
      </c>
      <c r="H712" s="6">
        <v>0.09</v>
      </c>
      <c r="I712" s="6" t="s">
        <v>1965</v>
      </c>
      <c r="J712" s="13">
        <v>1501.3362</v>
      </c>
      <c r="K712" s="6" t="str">
        <f t="shared" si="1"/>
        <v>Average Earnings</v>
      </c>
    </row>
    <row r="713" ht="14.25" customHeight="1">
      <c r="A713" s="6" t="s">
        <v>2678</v>
      </c>
      <c r="B713" s="17">
        <v>45520.0</v>
      </c>
      <c r="C713" s="6" t="s">
        <v>266</v>
      </c>
      <c r="D713" s="6" t="s">
        <v>1581</v>
      </c>
      <c r="E713" s="6" t="s">
        <v>1901</v>
      </c>
      <c r="F713" s="6">
        <v>4.0</v>
      </c>
      <c r="G713" s="13">
        <v>796.89</v>
      </c>
      <c r="H713" s="6">
        <v>0.17</v>
      </c>
      <c r="I713" s="6" t="s">
        <v>1965</v>
      </c>
      <c r="J713" s="13">
        <v>2645.6748</v>
      </c>
      <c r="K713" s="6" t="str">
        <f t="shared" si="1"/>
        <v>High Earnings</v>
      </c>
    </row>
    <row r="714" ht="14.25" customHeight="1">
      <c r="A714" s="6" t="s">
        <v>2679</v>
      </c>
      <c r="B714" s="17">
        <v>45478.0</v>
      </c>
      <c r="C714" s="6" t="s">
        <v>785</v>
      </c>
      <c r="D714" s="6" t="s">
        <v>1660</v>
      </c>
      <c r="E714" s="6" t="s">
        <v>1947</v>
      </c>
      <c r="F714" s="6">
        <v>3.0</v>
      </c>
      <c r="G714" s="13">
        <v>543.93</v>
      </c>
      <c r="H714" s="6">
        <v>0.3</v>
      </c>
      <c r="I714" s="6" t="s">
        <v>1973</v>
      </c>
      <c r="J714" s="13">
        <v>1142.253</v>
      </c>
      <c r="K714" s="6" t="str">
        <f t="shared" si="1"/>
        <v>Average Earnings</v>
      </c>
    </row>
    <row r="715" ht="14.25" customHeight="1">
      <c r="A715" s="6" t="s">
        <v>2680</v>
      </c>
      <c r="B715" s="17">
        <v>45418.0</v>
      </c>
      <c r="C715" s="6" t="s">
        <v>893</v>
      </c>
      <c r="D715" s="6" t="s">
        <v>1749</v>
      </c>
      <c r="E715" s="6" t="s">
        <v>1934</v>
      </c>
      <c r="F715" s="6">
        <v>4.0</v>
      </c>
      <c r="G715" s="13">
        <v>164.04</v>
      </c>
      <c r="H715" s="6">
        <v>0.26</v>
      </c>
      <c r="I715" s="6" t="s">
        <v>1965</v>
      </c>
      <c r="J715" s="13">
        <v>485.5583999999999</v>
      </c>
      <c r="K715" s="6" t="str">
        <f t="shared" si="1"/>
        <v>Low Earnings</v>
      </c>
    </row>
    <row r="716" ht="14.25" customHeight="1">
      <c r="A716" s="6" t="s">
        <v>2681</v>
      </c>
      <c r="B716" s="17">
        <v>45496.0</v>
      </c>
      <c r="C716" s="6" t="s">
        <v>585</v>
      </c>
      <c r="D716" s="6" t="s">
        <v>1618</v>
      </c>
      <c r="E716" s="6" t="s">
        <v>1919</v>
      </c>
      <c r="F716" s="6">
        <v>2.0</v>
      </c>
      <c r="G716" s="13">
        <v>44.65</v>
      </c>
      <c r="H716" s="6">
        <v>0.03</v>
      </c>
      <c r="I716" s="6" t="s">
        <v>1967</v>
      </c>
      <c r="J716" s="13">
        <v>86.621</v>
      </c>
      <c r="K716" s="6" t="str">
        <f t="shared" si="1"/>
        <v>Low Earnings</v>
      </c>
    </row>
    <row r="717" ht="14.25" customHeight="1">
      <c r="A717" s="6" t="s">
        <v>2682</v>
      </c>
      <c r="B717" s="17">
        <v>45742.0</v>
      </c>
      <c r="C717" s="6" t="s">
        <v>815</v>
      </c>
      <c r="D717" s="6" t="s">
        <v>1755</v>
      </c>
      <c r="E717" s="6" t="s">
        <v>1892</v>
      </c>
      <c r="F717" s="6">
        <v>4.0</v>
      </c>
      <c r="G717" s="13">
        <v>827.39</v>
      </c>
      <c r="H717" s="6">
        <v>0.06</v>
      </c>
      <c r="I717" s="6" t="s">
        <v>1973</v>
      </c>
      <c r="J717" s="13">
        <v>3110.9864</v>
      </c>
      <c r="K717" s="6" t="str">
        <f t="shared" si="1"/>
        <v>High Earnings</v>
      </c>
    </row>
    <row r="718" ht="14.25" customHeight="1">
      <c r="A718" s="6" t="s">
        <v>2683</v>
      </c>
      <c r="B718" s="17">
        <v>45301.0</v>
      </c>
      <c r="C718" s="6" t="s">
        <v>987</v>
      </c>
      <c r="D718" s="6" t="s">
        <v>1618</v>
      </c>
      <c r="E718" s="6" t="s">
        <v>1934</v>
      </c>
      <c r="F718" s="6">
        <v>2.0</v>
      </c>
      <c r="G718" s="13">
        <v>403.2</v>
      </c>
      <c r="H718" s="6">
        <v>0.21</v>
      </c>
      <c r="I718" s="6" t="s">
        <v>1967</v>
      </c>
      <c r="J718" s="13">
        <v>637.056</v>
      </c>
      <c r="K718" s="6" t="str">
        <f t="shared" si="1"/>
        <v>Low Earnings</v>
      </c>
    </row>
    <row r="719" ht="14.25" customHeight="1">
      <c r="A719" s="6" t="s">
        <v>2684</v>
      </c>
      <c r="B719" s="17">
        <v>45547.0</v>
      </c>
      <c r="C719" s="6" t="s">
        <v>85</v>
      </c>
      <c r="D719" s="6" t="s">
        <v>1846</v>
      </c>
      <c r="E719" s="6" t="s">
        <v>1937</v>
      </c>
      <c r="F719" s="6">
        <v>4.0</v>
      </c>
      <c r="G719" s="13">
        <v>292.31</v>
      </c>
      <c r="H719" s="6">
        <v>0.27</v>
      </c>
      <c r="I719" s="6" t="s">
        <v>1967</v>
      </c>
      <c r="J719" s="13">
        <v>853.5452</v>
      </c>
      <c r="K719" s="6" t="str">
        <f t="shared" si="1"/>
        <v>Low Earnings</v>
      </c>
    </row>
    <row r="720" ht="14.25" customHeight="1">
      <c r="A720" s="6" t="s">
        <v>2685</v>
      </c>
      <c r="B720" s="17">
        <v>45806.0</v>
      </c>
      <c r="C720" s="6" t="s">
        <v>1529</v>
      </c>
      <c r="D720" s="6" t="s">
        <v>1570</v>
      </c>
      <c r="E720" s="6" t="s">
        <v>1929</v>
      </c>
      <c r="F720" s="6">
        <v>1.0</v>
      </c>
      <c r="G720" s="13">
        <v>948.33</v>
      </c>
      <c r="H720" s="6">
        <v>0.11</v>
      </c>
      <c r="I720" s="6" t="s">
        <v>1965</v>
      </c>
      <c r="J720" s="13">
        <v>844.0137000000001</v>
      </c>
      <c r="K720" s="6" t="str">
        <f t="shared" si="1"/>
        <v>Low Earnings</v>
      </c>
    </row>
    <row r="721" ht="14.25" customHeight="1">
      <c r="A721" s="6" t="s">
        <v>2686</v>
      </c>
      <c r="B721" s="17">
        <v>45294.0</v>
      </c>
      <c r="C721" s="6" t="s">
        <v>1092</v>
      </c>
      <c r="D721" s="6" t="s">
        <v>1701</v>
      </c>
      <c r="E721" s="6" t="s">
        <v>1913</v>
      </c>
      <c r="F721" s="6">
        <v>1.0</v>
      </c>
      <c r="G721" s="13">
        <v>702.27</v>
      </c>
      <c r="H721" s="6">
        <v>0.17</v>
      </c>
      <c r="I721" s="6" t="s">
        <v>1973</v>
      </c>
      <c r="J721" s="13">
        <v>582.8841</v>
      </c>
      <c r="K721" s="6" t="str">
        <f t="shared" si="1"/>
        <v>Low Earnings</v>
      </c>
    </row>
    <row r="722" ht="14.25" customHeight="1">
      <c r="A722" s="6" t="s">
        <v>2687</v>
      </c>
      <c r="B722" s="17">
        <v>45875.0</v>
      </c>
      <c r="C722" s="6" t="s">
        <v>168</v>
      </c>
      <c r="D722" s="6" t="s">
        <v>1672</v>
      </c>
      <c r="E722" s="6" t="s">
        <v>1906</v>
      </c>
      <c r="F722" s="6">
        <v>2.0</v>
      </c>
      <c r="G722" s="13">
        <v>379.28</v>
      </c>
      <c r="H722" s="6">
        <v>0.26</v>
      </c>
      <c r="I722" s="6" t="s">
        <v>1965</v>
      </c>
      <c r="J722" s="13">
        <v>561.3344</v>
      </c>
      <c r="K722" s="6" t="str">
        <f t="shared" si="1"/>
        <v>Low Earnings</v>
      </c>
    </row>
    <row r="723" ht="14.25" customHeight="1">
      <c r="A723" s="6" t="s">
        <v>2688</v>
      </c>
      <c r="B723" s="17">
        <v>45669.0</v>
      </c>
      <c r="C723" s="6" t="s">
        <v>463</v>
      </c>
      <c r="D723" s="6" t="s">
        <v>1726</v>
      </c>
      <c r="E723" s="6" t="s">
        <v>1892</v>
      </c>
      <c r="F723" s="6">
        <v>4.0</v>
      </c>
      <c r="G723" s="13">
        <v>92.35</v>
      </c>
      <c r="H723" s="6">
        <v>0.15</v>
      </c>
      <c r="I723" s="6" t="s">
        <v>1965</v>
      </c>
      <c r="J723" s="13">
        <v>313.99</v>
      </c>
      <c r="K723" s="6" t="str">
        <f t="shared" si="1"/>
        <v>Low Earnings</v>
      </c>
    </row>
    <row r="724" ht="14.25" customHeight="1">
      <c r="A724" s="6" t="s">
        <v>2689</v>
      </c>
      <c r="B724" s="17">
        <v>45606.0</v>
      </c>
      <c r="C724" s="6" t="s">
        <v>723</v>
      </c>
      <c r="D724" s="6" t="s">
        <v>1701</v>
      </c>
      <c r="E724" s="6" t="s">
        <v>1934</v>
      </c>
      <c r="F724" s="6">
        <v>4.0</v>
      </c>
      <c r="G724" s="13">
        <v>721.54</v>
      </c>
      <c r="H724" s="6">
        <v>0.21</v>
      </c>
      <c r="I724" s="6" t="s">
        <v>1965</v>
      </c>
      <c r="J724" s="13">
        <v>2280.0664</v>
      </c>
      <c r="K724" s="6" t="str">
        <f t="shared" si="1"/>
        <v>Average Earnings</v>
      </c>
    </row>
    <row r="725" ht="14.25" customHeight="1">
      <c r="A725" s="6" t="s">
        <v>2690</v>
      </c>
      <c r="B725" s="17">
        <v>45787.0</v>
      </c>
      <c r="C725" s="6" t="s">
        <v>210</v>
      </c>
      <c r="D725" s="6" t="s">
        <v>1698</v>
      </c>
      <c r="E725" s="6" t="s">
        <v>1926</v>
      </c>
      <c r="F725" s="6">
        <v>1.0</v>
      </c>
      <c r="G725" s="13">
        <v>228.69</v>
      </c>
      <c r="H725" s="6">
        <v>0.14</v>
      </c>
      <c r="I725" s="6" t="s">
        <v>1965</v>
      </c>
      <c r="J725" s="13">
        <v>196.6734</v>
      </c>
      <c r="K725" s="6" t="str">
        <f t="shared" si="1"/>
        <v>Low Earnings</v>
      </c>
    </row>
    <row r="726" ht="14.25" customHeight="1">
      <c r="A726" s="6" t="s">
        <v>2691</v>
      </c>
      <c r="B726" s="17">
        <v>45508.0</v>
      </c>
      <c r="C726" s="6" t="s">
        <v>276</v>
      </c>
      <c r="D726" s="6" t="s">
        <v>1604</v>
      </c>
      <c r="E726" s="6" t="s">
        <v>1947</v>
      </c>
      <c r="F726" s="6">
        <v>3.0</v>
      </c>
      <c r="G726" s="13">
        <v>707.95</v>
      </c>
      <c r="H726" s="6">
        <v>0.18</v>
      </c>
      <c r="I726" s="6" t="s">
        <v>1967</v>
      </c>
      <c r="J726" s="13">
        <v>1741.557</v>
      </c>
      <c r="K726" s="6" t="str">
        <f t="shared" si="1"/>
        <v>Average Earnings</v>
      </c>
    </row>
    <row r="727" ht="14.25" customHeight="1">
      <c r="A727" s="6" t="s">
        <v>2692</v>
      </c>
      <c r="B727" s="17">
        <v>45929.0</v>
      </c>
      <c r="C727" s="6" t="s">
        <v>1128</v>
      </c>
      <c r="D727" s="6" t="s">
        <v>1746</v>
      </c>
      <c r="E727" s="6" t="s">
        <v>1929</v>
      </c>
      <c r="F727" s="6">
        <v>1.0</v>
      </c>
      <c r="G727" s="13">
        <v>899.09</v>
      </c>
      <c r="H727" s="6">
        <v>0.2</v>
      </c>
      <c r="I727" s="6" t="s">
        <v>1967</v>
      </c>
      <c r="J727" s="13">
        <v>719.272</v>
      </c>
      <c r="K727" s="6" t="str">
        <f t="shared" si="1"/>
        <v>Low Earnings</v>
      </c>
    </row>
    <row r="728" ht="14.25" customHeight="1">
      <c r="A728" s="6" t="s">
        <v>2693</v>
      </c>
      <c r="B728" s="17">
        <v>45379.0</v>
      </c>
      <c r="C728" s="6" t="s">
        <v>1215</v>
      </c>
      <c r="D728" s="6" t="s">
        <v>1595</v>
      </c>
      <c r="E728" s="6" t="s">
        <v>1922</v>
      </c>
      <c r="F728" s="6">
        <v>4.0</v>
      </c>
      <c r="G728" s="13">
        <v>195.75</v>
      </c>
      <c r="H728" s="6">
        <v>0.17</v>
      </c>
      <c r="I728" s="6" t="s">
        <v>1965</v>
      </c>
      <c r="J728" s="13">
        <v>649.89</v>
      </c>
      <c r="K728" s="6" t="str">
        <f t="shared" si="1"/>
        <v>Low Earnings</v>
      </c>
    </row>
    <row r="729" ht="14.25" customHeight="1">
      <c r="A729" s="6" t="s">
        <v>2694</v>
      </c>
      <c r="B729" s="17">
        <v>45532.0</v>
      </c>
      <c r="C729" s="6" t="s">
        <v>1338</v>
      </c>
      <c r="D729" s="6" t="s">
        <v>1867</v>
      </c>
      <c r="E729" s="6" t="s">
        <v>1941</v>
      </c>
      <c r="F729" s="6">
        <v>3.0</v>
      </c>
      <c r="G729" s="13">
        <v>199.13</v>
      </c>
      <c r="H729" s="6">
        <v>0.24</v>
      </c>
      <c r="I729" s="6" t="s">
        <v>1965</v>
      </c>
      <c r="J729" s="13">
        <v>454.0164</v>
      </c>
      <c r="K729" s="6" t="str">
        <f t="shared" si="1"/>
        <v>Low Earnings</v>
      </c>
    </row>
    <row r="730" ht="14.25" customHeight="1">
      <c r="A730" s="6" t="s">
        <v>2695</v>
      </c>
      <c r="B730" s="17">
        <v>45466.0</v>
      </c>
      <c r="C730" s="6" t="s">
        <v>546</v>
      </c>
      <c r="D730" s="6" t="s">
        <v>1647</v>
      </c>
      <c r="E730" s="6" t="s">
        <v>1939</v>
      </c>
      <c r="F730" s="6">
        <v>2.0</v>
      </c>
      <c r="G730" s="13">
        <v>833.62</v>
      </c>
      <c r="H730" s="6">
        <v>0.18</v>
      </c>
      <c r="I730" s="6" t="s">
        <v>1965</v>
      </c>
      <c r="J730" s="13">
        <v>1367.1368</v>
      </c>
      <c r="K730" s="6" t="str">
        <f t="shared" si="1"/>
        <v>Average Earnings</v>
      </c>
    </row>
    <row r="731" ht="14.25" customHeight="1">
      <c r="A731" s="6" t="s">
        <v>2696</v>
      </c>
      <c r="B731" s="17">
        <v>45395.0</v>
      </c>
      <c r="C731" s="6" t="s">
        <v>1505</v>
      </c>
      <c r="D731" s="6" t="s">
        <v>1813</v>
      </c>
      <c r="E731" s="6" t="s">
        <v>1892</v>
      </c>
      <c r="F731" s="6">
        <v>1.0</v>
      </c>
      <c r="G731" s="13">
        <v>676.26</v>
      </c>
      <c r="H731" s="6">
        <v>0.14</v>
      </c>
      <c r="I731" s="6" t="s">
        <v>1965</v>
      </c>
      <c r="J731" s="13">
        <v>581.5835999999999</v>
      </c>
      <c r="K731" s="6" t="str">
        <f t="shared" si="1"/>
        <v>Low Earnings</v>
      </c>
    </row>
    <row r="732" ht="14.25" customHeight="1">
      <c r="A732" s="6" t="s">
        <v>2697</v>
      </c>
      <c r="B732" s="17">
        <v>45708.0</v>
      </c>
      <c r="C732" s="6" t="s">
        <v>138</v>
      </c>
      <c r="D732" s="6" t="s">
        <v>1767</v>
      </c>
      <c r="E732" s="6" t="s">
        <v>1926</v>
      </c>
      <c r="F732" s="6">
        <v>2.0</v>
      </c>
      <c r="G732" s="13">
        <v>666.49</v>
      </c>
      <c r="H732" s="6">
        <v>0.06</v>
      </c>
      <c r="I732" s="6" t="s">
        <v>1965</v>
      </c>
      <c r="J732" s="13">
        <v>1253.0012</v>
      </c>
      <c r="K732" s="6" t="str">
        <f t="shared" si="1"/>
        <v>Average Earnings</v>
      </c>
    </row>
    <row r="733" ht="14.25" customHeight="1">
      <c r="A733" s="6" t="s">
        <v>2698</v>
      </c>
      <c r="B733" s="17">
        <v>45735.0</v>
      </c>
      <c r="C733" s="6" t="s">
        <v>1435</v>
      </c>
      <c r="D733" s="6" t="s">
        <v>1622</v>
      </c>
      <c r="E733" s="6" t="s">
        <v>1909</v>
      </c>
      <c r="F733" s="6">
        <v>3.0</v>
      </c>
      <c r="G733" s="13">
        <v>471.19</v>
      </c>
      <c r="H733" s="6">
        <v>0.28</v>
      </c>
      <c r="I733" s="6" t="s">
        <v>1973</v>
      </c>
      <c r="J733" s="13">
        <v>1017.7704</v>
      </c>
      <c r="K733" s="6" t="str">
        <f t="shared" si="1"/>
        <v>Average Earnings</v>
      </c>
    </row>
    <row r="734" ht="14.25" customHeight="1">
      <c r="A734" s="6" t="s">
        <v>2699</v>
      </c>
      <c r="B734" s="17">
        <v>45237.0</v>
      </c>
      <c r="C734" s="6" t="s">
        <v>422</v>
      </c>
      <c r="D734" s="6" t="s">
        <v>1595</v>
      </c>
      <c r="E734" s="6" t="s">
        <v>1906</v>
      </c>
      <c r="F734" s="6">
        <v>4.0</v>
      </c>
      <c r="G734" s="13">
        <v>555.65</v>
      </c>
      <c r="H734" s="6">
        <v>0.25</v>
      </c>
      <c r="I734" s="6" t="s">
        <v>1973</v>
      </c>
      <c r="J734" s="13">
        <v>1666.95</v>
      </c>
      <c r="K734" s="6" t="str">
        <f t="shared" si="1"/>
        <v>Average Earnings</v>
      </c>
    </row>
    <row r="735" ht="14.25" customHeight="1">
      <c r="A735" s="6" t="s">
        <v>2700</v>
      </c>
      <c r="B735" s="17">
        <v>45282.0</v>
      </c>
      <c r="C735" s="6" t="s">
        <v>149</v>
      </c>
      <c r="D735" s="6" t="s">
        <v>1873</v>
      </c>
      <c r="E735" s="6" t="s">
        <v>1939</v>
      </c>
      <c r="F735" s="6">
        <v>2.0</v>
      </c>
      <c r="G735" s="13">
        <v>100.42</v>
      </c>
      <c r="H735" s="6">
        <v>0.06</v>
      </c>
      <c r="I735" s="6" t="s">
        <v>1965</v>
      </c>
      <c r="J735" s="13">
        <v>188.7896</v>
      </c>
      <c r="K735" s="6" t="str">
        <f t="shared" si="1"/>
        <v>Low Earnings</v>
      </c>
    </row>
    <row r="736" ht="14.25" customHeight="1">
      <c r="A736" s="6" t="s">
        <v>2701</v>
      </c>
      <c r="B736" s="17">
        <v>45337.0</v>
      </c>
      <c r="C736" s="6" t="s">
        <v>199</v>
      </c>
      <c r="D736" s="6" t="s">
        <v>1882</v>
      </c>
      <c r="E736" s="6" t="s">
        <v>1950</v>
      </c>
      <c r="F736" s="6">
        <v>3.0</v>
      </c>
      <c r="G736" s="13">
        <v>981.69</v>
      </c>
      <c r="H736" s="6">
        <v>0.05</v>
      </c>
      <c r="I736" s="6" t="s">
        <v>1973</v>
      </c>
      <c r="J736" s="13">
        <v>2797.8165</v>
      </c>
      <c r="K736" s="6" t="str">
        <f t="shared" si="1"/>
        <v>High Earnings</v>
      </c>
    </row>
    <row r="737" ht="14.25" customHeight="1">
      <c r="A737" s="6" t="s">
        <v>2702</v>
      </c>
      <c r="B737" s="17">
        <v>45269.0</v>
      </c>
      <c r="C737" s="6" t="s">
        <v>949</v>
      </c>
      <c r="D737" s="6" t="s">
        <v>1795</v>
      </c>
      <c r="E737" s="6" t="s">
        <v>1922</v>
      </c>
      <c r="F737" s="6">
        <v>4.0</v>
      </c>
      <c r="G737" s="13">
        <v>714.47</v>
      </c>
      <c r="H737" s="6">
        <v>0.18</v>
      </c>
      <c r="I737" s="6" t="s">
        <v>1973</v>
      </c>
      <c r="J737" s="13">
        <v>2343.4616</v>
      </c>
      <c r="K737" s="6" t="str">
        <f t="shared" si="1"/>
        <v>Average Earnings</v>
      </c>
    </row>
    <row r="738" ht="14.25" customHeight="1">
      <c r="A738" s="6" t="s">
        <v>2703</v>
      </c>
      <c r="B738" s="17">
        <v>45310.0</v>
      </c>
      <c r="C738" s="6" t="s">
        <v>1044</v>
      </c>
      <c r="D738" s="6" t="s">
        <v>1604</v>
      </c>
      <c r="E738" s="6" t="s">
        <v>1944</v>
      </c>
      <c r="F738" s="6">
        <v>2.0</v>
      </c>
      <c r="G738" s="13">
        <v>848.87</v>
      </c>
      <c r="H738" s="6">
        <v>0.09</v>
      </c>
      <c r="I738" s="6" t="s">
        <v>1973</v>
      </c>
      <c r="J738" s="13">
        <v>1544.9434</v>
      </c>
      <c r="K738" s="6" t="str">
        <f t="shared" si="1"/>
        <v>Average Earnings</v>
      </c>
    </row>
    <row r="739" ht="14.25" customHeight="1">
      <c r="A739" s="6" t="s">
        <v>2704</v>
      </c>
      <c r="B739" s="17">
        <v>45230.0</v>
      </c>
      <c r="C739" s="6" t="s">
        <v>1188</v>
      </c>
      <c r="D739" s="6" t="s">
        <v>1876</v>
      </c>
      <c r="E739" s="6" t="s">
        <v>1929</v>
      </c>
      <c r="F739" s="6">
        <v>3.0</v>
      </c>
      <c r="G739" s="13">
        <v>582.32</v>
      </c>
      <c r="H739" s="6">
        <v>0.0</v>
      </c>
      <c r="I739" s="6" t="s">
        <v>1967</v>
      </c>
      <c r="J739" s="13">
        <v>1746.96</v>
      </c>
      <c r="K739" s="6" t="str">
        <f t="shared" si="1"/>
        <v>Average Earnings</v>
      </c>
    </row>
    <row r="740" ht="14.25" customHeight="1">
      <c r="A740" s="6" t="s">
        <v>2705</v>
      </c>
      <c r="B740" s="17">
        <v>45341.0</v>
      </c>
      <c r="C740" s="6" t="s">
        <v>579</v>
      </c>
      <c r="D740" s="6" t="s">
        <v>1733</v>
      </c>
      <c r="E740" s="6" t="s">
        <v>1947</v>
      </c>
      <c r="F740" s="6">
        <v>2.0</v>
      </c>
      <c r="G740" s="13">
        <v>869.43</v>
      </c>
      <c r="H740" s="6">
        <v>0.24</v>
      </c>
      <c r="I740" s="6" t="s">
        <v>1973</v>
      </c>
      <c r="J740" s="13">
        <v>1321.5336</v>
      </c>
      <c r="K740" s="6" t="str">
        <f t="shared" si="1"/>
        <v>Average Earnings</v>
      </c>
    </row>
    <row r="741" ht="14.25" customHeight="1">
      <c r="A741" s="6" t="s">
        <v>2706</v>
      </c>
      <c r="B741" s="17">
        <v>45440.0</v>
      </c>
      <c r="C741" s="6" t="s">
        <v>100</v>
      </c>
      <c r="D741" s="6" t="s">
        <v>1749</v>
      </c>
      <c r="E741" s="6" t="s">
        <v>1909</v>
      </c>
      <c r="F741" s="6">
        <v>1.0</v>
      </c>
      <c r="G741" s="13">
        <v>62.26</v>
      </c>
      <c r="H741" s="6">
        <v>0.03</v>
      </c>
      <c r="I741" s="6" t="s">
        <v>1973</v>
      </c>
      <c r="J741" s="13">
        <v>60.3922</v>
      </c>
      <c r="K741" s="6" t="str">
        <f t="shared" si="1"/>
        <v>Low Earnings</v>
      </c>
    </row>
    <row r="742" ht="14.25" customHeight="1">
      <c r="A742" s="6" t="s">
        <v>2707</v>
      </c>
      <c r="B742" s="17">
        <v>45798.0</v>
      </c>
      <c r="C742" s="6" t="s">
        <v>522</v>
      </c>
      <c r="D742" s="6" t="s">
        <v>1701</v>
      </c>
      <c r="E742" s="6" t="s">
        <v>1939</v>
      </c>
      <c r="F742" s="6">
        <v>3.0</v>
      </c>
      <c r="G742" s="13">
        <v>343.97</v>
      </c>
      <c r="H742" s="6">
        <v>0.04</v>
      </c>
      <c r="I742" s="6" t="s">
        <v>1973</v>
      </c>
      <c r="J742" s="13">
        <v>990.6336</v>
      </c>
      <c r="K742" s="6" t="str">
        <f t="shared" si="1"/>
        <v>Low Earnings</v>
      </c>
    </row>
    <row r="743" ht="14.25" customHeight="1">
      <c r="A743" s="6" t="s">
        <v>2708</v>
      </c>
      <c r="B743" s="17">
        <v>45293.0</v>
      </c>
      <c r="C743" s="6" t="s">
        <v>972</v>
      </c>
      <c r="D743" s="6" t="s">
        <v>1653</v>
      </c>
      <c r="E743" s="6" t="s">
        <v>1934</v>
      </c>
      <c r="F743" s="6">
        <v>3.0</v>
      </c>
      <c r="G743" s="13">
        <v>304.67</v>
      </c>
      <c r="H743" s="6">
        <v>0.11</v>
      </c>
      <c r="I743" s="6" t="s">
        <v>1965</v>
      </c>
      <c r="J743" s="13">
        <v>813.4689</v>
      </c>
      <c r="K743" s="6" t="str">
        <f t="shared" si="1"/>
        <v>Low Earnings</v>
      </c>
    </row>
    <row r="744" ht="14.25" customHeight="1">
      <c r="A744" s="6" t="s">
        <v>2709</v>
      </c>
      <c r="B744" s="17">
        <v>45296.0</v>
      </c>
      <c r="C744" s="6" t="s">
        <v>1158</v>
      </c>
      <c r="D744" s="6" t="s">
        <v>1663</v>
      </c>
      <c r="E744" s="6" t="s">
        <v>1926</v>
      </c>
      <c r="F744" s="6">
        <v>4.0</v>
      </c>
      <c r="G744" s="13">
        <v>208.34</v>
      </c>
      <c r="H744" s="6">
        <v>0.01</v>
      </c>
      <c r="I744" s="6" t="s">
        <v>1967</v>
      </c>
      <c r="J744" s="13">
        <v>825.0264</v>
      </c>
      <c r="K744" s="6" t="str">
        <f t="shared" si="1"/>
        <v>Low Earnings</v>
      </c>
    </row>
    <row r="745" ht="14.25" customHeight="1">
      <c r="A745" s="6" t="s">
        <v>2710</v>
      </c>
      <c r="B745" s="17">
        <v>45860.0</v>
      </c>
      <c r="C745" s="6" t="s">
        <v>999</v>
      </c>
      <c r="D745" s="6" t="s">
        <v>1846</v>
      </c>
      <c r="E745" s="6" t="s">
        <v>1897</v>
      </c>
      <c r="F745" s="6">
        <v>1.0</v>
      </c>
      <c r="G745" s="13">
        <v>119.04</v>
      </c>
      <c r="H745" s="6">
        <v>0.13</v>
      </c>
      <c r="I745" s="6" t="s">
        <v>1973</v>
      </c>
      <c r="J745" s="13">
        <v>103.5648</v>
      </c>
      <c r="K745" s="6" t="str">
        <f t="shared" si="1"/>
        <v>Low Earnings</v>
      </c>
    </row>
    <row r="746" ht="14.25" customHeight="1">
      <c r="A746" s="6" t="s">
        <v>2711</v>
      </c>
      <c r="B746" s="17">
        <v>45843.0</v>
      </c>
      <c r="C746" s="6" t="s">
        <v>1026</v>
      </c>
      <c r="D746" s="6" t="s">
        <v>1717</v>
      </c>
      <c r="E746" s="6" t="s">
        <v>1926</v>
      </c>
      <c r="F746" s="6">
        <v>4.0</v>
      </c>
      <c r="G746" s="13">
        <v>791.65</v>
      </c>
      <c r="H746" s="6">
        <v>0.06</v>
      </c>
      <c r="I746" s="6" t="s">
        <v>1973</v>
      </c>
      <c r="J746" s="13">
        <v>2976.604</v>
      </c>
      <c r="K746" s="6" t="str">
        <f t="shared" si="1"/>
        <v>High Earnings</v>
      </c>
    </row>
    <row r="747" ht="14.25" customHeight="1">
      <c r="A747" s="6" t="s">
        <v>2712</v>
      </c>
      <c r="B747" s="17">
        <v>45862.0</v>
      </c>
      <c r="C747" s="6" t="s">
        <v>206</v>
      </c>
      <c r="D747" s="6" t="s">
        <v>1618</v>
      </c>
      <c r="E747" s="6" t="s">
        <v>1901</v>
      </c>
      <c r="F747" s="6">
        <v>2.0</v>
      </c>
      <c r="G747" s="13">
        <v>414.86</v>
      </c>
      <c r="H747" s="6">
        <v>0.23</v>
      </c>
      <c r="I747" s="6" t="s">
        <v>1965</v>
      </c>
      <c r="J747" s="13">
        <v>638.8844</v>
      </c>
      <c r="K747" s="6" t="str">
        <f t="shared" si="1"/>
        <v>Low Earnings</v>
      </c>
    </row>
    <row r="748" ht="14.25" customHeight="1">
      <c r="A748" s="6" t="s">
        <v>2713</v>
      </c>
      <c r="B748" s="17">
        <v>45866.0</v>
      </c>
      <c r="C748" s="6" t="s">
        <v>1305</v>
      </c>
      <c r="D748" s="6" t="s">
        <v>1825</v>
      </c>
      <c r="E748" s="6" t="s">
        <v>1919</v>
      </c>
      <c r="F748" s="6">
        <v>4.0</v>
      </c>
      <c r="G748" s="13">
        <v>422.09</v>
      </c>
      <c r="H748" s="6">
        <v>0.04</v>
      </c>
      <c r="I748" s="6" t="s">
        <v>1965</v>
      </c>
      <c r="J748" s="13">
        <v>1620.8256</v>
      </c>
      <c r="K748" s="6" t="str">
        <f t="shared" si="1"/>
        <v>Average Earnings</v>
      </c>
    </row>
    <row r="749" ht="14.25" customHeight="1">
      <c r="A749" s="6" t="s">
        <v>2714</v>
      </c>
      <c r="B749" s="17">
        <v>45385.0</v>
      </c>
      <c r="C749" s="6" t="s">
        <v>1488</v>
      </c>
      <c r="D749" s="6" t="s">
        <v>1698</v>
      </c>
      <c r="E749" s="6" t="s">
        <v>1934</v>
      </c>
      <c r="F749" s="6">
        <v>2.0</v>
      </c>
      <c r="G749" s="13">
        <v>960.81</v>
      </c>
      <c r="H749" s="6">
        <v>0.28</v>
      </c>
      <c r="I749" s="6" t="s">
        <v>1967</v>
      </c>
      <c r="J749" s="13">
        <v>1383.5664</v>
      </c>
      <c r="K749" s="6" t="str">
        <f t="shared" si="1"/>
        <v>Average Earnings</v>
      </c>
    </row>
    <row r="750" ht="14.25" customHeight="1">
      <c r="A750" s="6" t="s">
        <v>2715</v>
      </c>
      <c r="B750" s="17">
        <v>45668.0</v>
      </c>
      <c r="C750" s="6" t="s">
        <v>702</v>
      </c>
      <c r="D750" s="6" t="s">
        <v>1737</v>
      </c>
      <c r="E750" s="6" t="s">
        <v>1909</v>
      </c>
      <c r="F750" s="6">
        <v>4.0</v>
      </c>
      <c r="G750" s="13">
        <v>943.36</v>
      </c>
      <c r="H750" s="6">
        <v>0.18</v>
      </c>
      <c r="I750" s="6" t="s">
        <v>1967</v>
      </c>
      <c r="J750" s="13">
        <v>3094.2208</v>
      </c>
      <c r="K750" s="6" t="str">
        <f t="shared" si="1"/>
        <v>High Earnings</v>
      </c>
    </row>
    <row r="751" ht="14.25" customHeight="1">
      <c r="A751" s="6" t="s">
        <v>2716</v>
      </c>
      <c r="B751" s="17">
        <v>45561.0</v>
      </c>
      <c r="C751" s="6" t="s">
        <v>705</v>
      </c>
      <c r="D751" s="6" t="s">
        <v>1574</v>
      </c>
      <c r="E751" s="6" t="s">
        <v>1937</v>
      </c>
      <c r="F751" s="6">
        <v>1.0</v>
      </c>
      <c r="G751" s="13">
        <v>830.42</v>
      </c>
      <c r="H751" s="6">
        <v>0.26</v>
      </c>
      <c r="I751" s="6" t="s">
        <v>1973</v>
      </c>
      <c r="J751" s="13">
        <v>614.5108</v>
      </c>
      <c r="K751" s="6" t="str">
        <f t="shared" si="1"/>
        <v>Low Earnings</v>
      </c>
    </row>
    <row r="752" ht="14.25" customHeight="1">
      <c r="A752" s="6" t="s">
        <v>2717</v>
      </c>
      <c r="B752" s="17">
        <v>45637.0</v>
      </c>
      <c r="C752" s="6" t="s">
        <v>1122</v>
      </c>
      <c r="D752" s="6" t="s">
        <v>1788</v>
      </c>
      <c r="E752" s="6" t="s">
        <v>1947</v>
      </c>
      <c r="F752" s="6">
        <v>1.0</v>
      </c>
      <c r="G752" s="13">
        <v>762.55</v>
      </c>
      <c r="H752" s="6">
        <v>0.19</v>
      </c>
      <c r="I752" s="6" t="s">
        <v>1965</v>
      </c>
      <c r="J752" s="13">
        <v>617.6655</v>
      </c>
      <c r="K752" s="6" t="str">
        <f t="shared" si="1"/>
        <v>Low Earnings</v>
      </c>
    </row>
    <row r="753" ht="14.25" customHeight="1">
      <c r="A753" s="6" t="s">
        <v>2718</v>
      </c>
      <c r="B753" s="17">
        <v>45839.0</v>
      </c>
      <c r="C753" s="6" t="s">
        <v>1092</v>
      </c>
      <c r="D753" s="6" t="s">
        <v>1810</v>
      </c>
      <c r="E753" s="6" t="s">
        <v>1950</v>
      </c>
      <c r="F753" s="6">
        <v>2.0</v>
      </c>
      <c r="G753" s="13">
        <v>464.43</v>
      </c>
      <c r="H753" s="6">
        <v>0.24</v>
      </c>
      <c r="I753" s="6" t="s">
        <v>1973</v>
      </c>
      <c r="J753" s="13">
        <v>705.9336000000001</v>
      </c>
      <c r="K753" s="6" t="str">
        <f t="shared" si="1"/>
        <v>Low Earnings</v>
      </c>
    </row>
    <row r="754" ht="14.25" customHeight="1">
      <c r="A754" s="6" t="s">
        <v>2719</v>
      </c>
      <c r="B754" s="17">
        <v>45851.0</v>
      </c>
      <c r="C754" s="6" t="s">
        <v>82</v>
      </c>
      <c r="D754" s="6" t="s">
        <v>1779</v>
      </c>
      <c r="E754" s="6" t="s">
        <v>1950</v>
      </c>
      <c r="F754" s="6">
        <v>1.0</v>
      </c>
      <c r="G754" s="13">
        <v>711.08</v>
      </c>
      <c r="H754" s="6">
        <v>0.24</v>
      </c>
      <c r="I754" s="6" t="s">
        <v>1967</v>
      </c>
      <c r="J754" s="13">
        <v>540.4208</v>
      </c>
      <c r="K754" s="6" t="str">
        <f t="shared" si="1"/>
        <v>Low Earnings</v>
      </c>
    </row>
    <row r="755" ht="14.25" customHeight="1">
      <c r="A755" s="6" t="s">
        <v>2720</v>
      </c>
      <c r="B755" s="17">
        <v>45656.0</v>
      </c>
      <c r="C755" s="6" t="s">
        <v>818</v>
      </c>
      <c r="D755" s="6" t="s">
        <v>1720</v>
      </c>
      <c r="E755" s="6" t="s">
        <v>1939</v>
      </c>
      <c r="F755" s="6">
        <v>2.0</v>
      </c>
      <c r="G755" s="13">
        <v>984.96</v>
      </c>
      <c r="H755" s="6">
        <v>0.16</v>
      </c>
      <c r="I755" s="6" t="s">
        <v>1967</v>
      </c>
      <c r="J755" s="13">
        <v>1654.7328</v>
      </c>
      <c r="K755" s="6" t="str">
        <f t="shared" si="1"/>
        <v>Average Earnings</v>
      </c>
    </row>
    <row r="756" ht="14.25" customHeight="1">
      <c r="A756" s="6" t="s">
        <v>2721</v>
      </c>
      <c r="B756" s="17">
        <v>45759.0</v>
      </c>
      <c r="C756" s="6" t="s">
        <v>1092</v>
      </c>
      <c r="D756" s="6" t="s">
        <v>1698</v>
      </c>
      <c r="E756" s="6" t="s">
        <v>1934</v>
      </c>
      <c r="F756" s="6">
        <v>1.0</v>
      </c>
      <c r="G756" s="13">
        <v>21.14</v>
      </c>
      <c r="H756" s="6">
        <v>0.06</v>
      </c>
      <c r="I756" s="6" t="s">
        <v>1973</v>
      </c>
      <c r="J756" s="13">
        <v>19.8716</v>
      </c>
      <c r="K756" s="6" t="str">
        <f t="shared" si="1"/>
        <v>Low Earnings</v>
      </c>
    </row>
    <row r="757" ht="14.25" customHeight="1">
      <c r="A757" s="6" t="s">
        <v>2722</v>
      </c>
      <c r="B757" s="17">
        <v>45679.0</v>
      </c>
      <c r="C757" s="6" t="s">
        <v>383</v>
      </c>
      <c r="D757" s="6" t="s">
        <v>1882</v>
      </c>
      <c r="E757" s="6" t="s">
        <v>1922</v>
      </c>
      <c r="F757" s="6">
        <v>1.0</v>
      </c>
      <c r="G757" s="13">
        <v>343.03</v>
      </c>
      <c r="H757" s="6">
        <v>0.16</v>
      </c>
      <c r="I757" s="6" t="s">
        <v>1965</v>
      </c>
      <c r="J757" s="13">
        <v>288.1452</v>
      </c>
      <c r="K757" s="6" t="str">
        <f t="shared" si="1"/>
        <v>Low Earnings</v>
      </c>
    </row>
    <row r="758" ht="14.25" customHeight="1">
      <c r="A758" s="6" t="s">
        <v>2723</v>
      </c>
      <c r="B758" s="17">
        <v>45237.0</v>
      </c>
      <c r="C758" s="6" t="s">
        <v>806</v>
      </c>
      <c r="D758" s="6" t="s">
        <v>1640</v>
      </c>
      <c r="E758" s="6" t="s">
        <v>1950</v>
      </c>
      <c r="F758" s="6">
        <v>3.0</v>
      </c>
      <c r="G758" s="13">
        <v>94.83</v>
      </c>
      <c r="H758" s="6">
        <v>0.16</v>
      </c>
      <c r="I758" s="6" t="s">
        <v>1973</v>
      </c>
      <c r="J758" s="13">
        <v>238.9716</v>
      </c>
      <c r="K758" s="6" t="str">
        <f t="shared" si="1"/>
        <v>Low Earnings</v>
      </c>
    </row>
    <row r="759" ht="14.25" customHeight="1">
      <c r="A759" s="6" t="s">
        <v>2724</v>
      </c>
      <c r="B759" s="17">
        <v>45462.0</v>
      </c>
      <c r="C759" s="6" t="s">
        <v>389</v>
      </c>
      <c r="D759" s="6" t="s">
        <v>1672</v>
      </c>
      <c r="E759" s="6" t="s">
        <v>1926</v>
      </c>
      <c r="F759" s="6">
        <v>1.0</v>
      </c>
      <c r="G759" s="13">
        <v>998.19</v>
      </c>
      <c r="H759" s="6">
        <v>0.2</v>
      </c>
      <c r="I759" s="6" t="s">
        <v>1965</v>
      </c>
      <c r="J759" s="13">
        <v>798.5520000000001</v>
      </c>
      <c r="K759" s="6" t="str">
        <f t="shared" si="1"/>
        <v>Low Earnings</v>
      </c>
    </row>
    <row r="760" ht="14.25" customHeight="1">
      <c r="A760" s="6" t="s">
        <v>2725</v>
      </c>
      <c r="B760" s="17">
        <v>45790.0</v>
      </c>
      <c r="C760" s="6" t="s">
        <v>89</v>
      </c>
      <c r="D760" s="6" t="s">
        <v>1795</v>
      </c>
      <c r="E760" s="6" t="s">
        <v>1953</v>
      </c>
      <c r="F760" s="6">
        <v>3.0</v>
      </c>
      <c r="G760" s="13">
        <v>74.66</v>
      </c>
      <c r="H760" s="6">
        <v>0.03</v>
      </c>
      <c r="I760" s="6" t="s">
        <v>1967</v>
      </c>
      <c r="J760" s="13">
        <v>217.2606</v>
      </c>
      <c r="K760" s="6" t="str">
        <f t="shared" si="1"/>
        <v>Low Earnings</v>
      </c>
    </row>
    <row r="761" ht="14.25" customHeight="1">
      <c r="A761" s="6" t="s">
        <v>2726</v>
      </c>
      <c r="B761" s="17">
        <v>45268.0</v>
      </c>
      <c r="C761" s="6" t="s">
        <v>475</v>
      </c>
      <c r="D761" s="6" t="s">
        <v>1694</v>
      </c>
      <c r="E761" s="6" t="s">
        <v>1941</v>
      </c>
      <c r="F761" s="6">
        <v>3.0</v>
      </c>
      <c r="G761" s="13">
        <v>281.96</v>
      </c>
      <c r="H761" s="6">
        <v>0.01</v>
      </c>
      <c r="I761" s="6" t="s">
        <v>1973</v>
      </c>
      <c r="J761" s="13">
        <v>837.4211999999999</v>
      </c>
      <c r="K761" s="6" t="str">
        <f t="shared" si="1"/>
        <v>Low Earnings</v>
      </c>
    </row>
    <row r="762" ht="14.25" customHeight="1">
      <c r="A762" s="6" t="s">
        <v>2727</v>
      </c>
      <c r="B762" s="17">
        <v>45664.0</v>
      </c>
      <c r="C762" s="6" t="s">
        <v>773</v>
      </c>
      <c r="D762" s="6" t="s">
        <v>1801</v>
      </c>
      <c r="E762" s="6" t="s">
        <v>1950</v>
      </c>
      <c r="F762" s="6">
        <v>4.0</v>
      </c>
      <c r="G762" s="13">
        <v>622.27</v>
      </c>
      <c r="H762" s="6">
        <v>0.02</v>
      </c>
      <c r="I762" s="6" t="s">
        <v>1967</v>
      </c>
      <c r="J762" s="13">
        <v>2439.2984</v>
      </c>
      <c r="K762" s="6" t="str">
        <f t="shared" si="1"/>
        <v>Average Earnings</v>
      </c>
    </row>
    <row r="763" ht="14.25" customHeight="1">
      <c r="A763" s="6" t="s">
        <v>2728</v>
      </c>
      <c r="B763" s="17">
        <v>45475.0</v>
      </c>
      <c r="C763" s="6" t="s">
        <v>371</v>
      </c>
      <c r="D763" s="6" t="s">
        <v>1694</v>
      </c>
      <c r="E763" s="6" t="s">
        <v>1919</v>
      </c>
      <c r="F763" s="6">
        <v>2.0</v>
      </c>
      <c r="G763" s="13">
        <v>78.27</v>
      </c>
      <c r="H763" s="6">
        <v>0.29</v>
      </c>
      <c r="I763" s="6" t="s">
        <v>1973</v>
      </c>
      <c r="J763" s="13">
        <v>111.1434</v>
      </c>
      <c r="K763" s="6" t="str">
        <f t="shared" si="1"/>
        <v>Low Earnings</v>
      </c>
    </row>
    <row r="764" ht="14.25" customHeight="1">
      <c r="A764" s="6" t="s">
        <v>2729</v>
      </c>
      <c r="B764" s="17">
        <v>45845.0</v>
      </c>
      <c r="C764" s="6" t="s">
        <v>66</v>
      </c>
      <c r="D764" s="6" t="s">
        <v>1773</v>
      </c>
      <c r="E764" s="6" t="s">
        <v>1937</v>
      </c>
      <c r="F764" s="6">
        <v>4.0</v>
      </c>
      <c r="G764" s="13">
        <v>676.58</v>
      </c>
      <c r="H764" s="6">
        <v>0.23</v>
      </c>
      <c r="I764" s="6" t="s">
        <v>1973</v>
      </c>
      <c r="J764" s="13">
        <v>2083.8664</v>
      </c>
      <c r="K764" s="6" t="str">
        <f t="shared" si="1"/>
        <v>Average Earnings</v>
      </c>
    </row>
    <row r="765" ht="14.25" customHeight="1">
      <c r="A765" s="6" t="s">
        <v>2730</v>
      </c>
      <c r="B765" s="17">
        <v>45446.0</v>
      </c>
      <c r="C765" s="6" t="s">
        <v>1511</v>
      </c>
      <c r="D765" s="6" t="s">
        <v>1675</v>
      </c>
      <c r="E765" s="6" t="s">
        <v>1897</v>
      </c>
      <c r="F765" s="6">
        <v>2.0</v>
      </c>
      <c r="G765" s="13">
        <v>938.6</v>
      </c>
      <c r="H765" s="6">
        <v>0.04</v>
      </c>
      <c r="I765" s="6" t="s">
        <v>1967</v>
      </c>
      <c r="J765" s="13">
        <v>1802.112</v>
      </c>
      <c r="K765" s="6" t="str">
        <f t="shared" si="1"/>
        <v>Average Earnings</v>
      </c>
    </row>
    <row r="766" ht="14.25" customHeight="1">
      <c r="A766" s="6" t="s">
        <v>2731</v>
      </c>
      <c r="B766" s="17">
        <v>45761.0</v>
      </c>
      <c r="C766" s="6" t="s">
        <v>1128</v>
      </c>
      <c r="D766" s="6" t="s">
        <v>1615</v>
      </c>
      <c r="E766" s="6" t="s">
        <v>1939</v>
      </c>
      <c r="F766" s="6">
        <v>2.0</v>
      </c>
      <c r="G766" s="13">
        <v>859.47</v>
      </c>
      <c r="H766" s="6">
        <v>0.01</v>
      </c>
      <c r="I766" s="6" t="s">
        <v>1965</v>
      </c>
      <c r="J766" s="13">
        <v>1701.7506</v>
      </c>
      <c r="K766" s="6" t="str">
        <f t="shared" si="1"/>
        <v>Average Earnings</v>
      </c>
    </row>
    <row r="767" ht="14.25" customHeight="1">
      <c r="A767" s="6" t="s">
        <v>2732</v>
      </c>
      <c r="B767" s="17">
        <v>45363.0</v>
      </c>
      <c r="C767" s="6" t="s">
        <v>222</v>
      </c>
      <c r="D767" s="6" t="s">
        <v>1663</v>
      </c>
      <c r="E767" s="6" t="s">
        <v>1939</v>
      </c>
      <c r="F767" s="6">
        <v>3.0</v>
      </c>
      <c r="G767" s="13">
        <v>672.98</v>
      </c>
      <c r="H767" s="6">
        <v>0.23</v>
      </c>
      <c r="I767" s="6" t="s">
        <v>1967</v>
      </c>
      <c r="J767" s="13">
        <v>1554.5838</v>
      </c>
      <c r="K767" s="6" t="str">
        <f t="shared" si="1"/>
        <v>Average Earnings</v>
      </c>
    </row>
    <row r="768" ht="14.25" customHeight="1">
      <c r="A768" s="6" t="s">
        <v>2733</v>
      </c>
      <c r="B768" s="17">
        <v>45420.0</v>
      </c>
      <c r="C768" s="6" t="s">
        <v>684</v>
      </c>
      <c r="D768" s="6" t="s">
        <v>1755</v>
      </c>
      <c r="E768" s="6" t="s">
        <v>1950</v>
      </c>
      <c r="F768" s="6">
        <v>1.0</v>
      </c>
      <c r="G768" s="13">
        <v>75.8</v>
      </c>
      <c r="H768" s="6">
        <v>0.29</v>
      </c>
      <c r="I768" s="6" t="s">
        <v>1967</v>
      </c>
      <c r="J768" s="13">
        <v>53.818</v>
      </c>
      <c r="K768" s="6" t="str">
        <f t="shared" si="1"/>
        <v>Low Earnings</v>
      </c>
    </row>
    <row r="769" ht="14.25" customHeight="1">
      <c r="A769" s="6" t="s">
        <v>2734</v>
      </c>
      <c r="B769" s="17">
        <v>45536.0</v>
      </c>
      <c r="C769" s="6" t="s">
        <v>145</v>
      </c>
      <c r="D769" s="6" t="s">
        <v>1630</v>
      </c>
      <c r="E769" s="6" t="s">
        <v>1941</v>
      </c>
      <c r="F769" s="6">
        <v>4.0</v>
      </c>
      <c r="G769" s="13">
        <v>742.15</v>
      </c>
      <c r="H769" s="6">
        <v>0.1</v>
      </c>
      <c r="I769" s="6" t="s">
        <v>1973</v>
      </c>
      <c r="J769" s="13">
        <v>2671.74</v>
      </c>
      <c r="K769" s="6" t="str">
        <f t="shared" si="1"/>
        <v>High Earnings</v>
      </c>
    </row>
    <row r="770" ht="14.25" customHeight="1">
      <c r="A770" s="6" t="s">
        <v>2735</v>
      </c>
      <c r="B770" s="17">
        <v>45313.0</v>
      </c>
      <c r="C770" s="6" t="s">
        <v>1182</v>
      </c>
      <c r="D770" s="6" t="s">
        <v>1804</v>
      </c>
      <c r="E770" s="6" t="s">
        <v>1919</v>
      </c>
      <c r="F770" s="6">
        <v>2.0</v>
      </c>
      <c r="G770" s="13">
        <v>343.42</v>
      </c>
      <c r="H770" s="6">
        <v>0.12</v>
      </c>
      <c r="I770" s="6" t="s">
        <v>1973</v>
      </c>
      <c r="J770" s="13">
        <v>604.4192</v>
      </c>
      <c r="K770" s="6" t="str">
        <f t="shared" si="1"/>
        <v>Low Earnings</v>
      </c>
    </row>
    <row r="771" ht="14.25" customHeight="1">
      <c r="A771" s="6" t="s">
        <v>2736</v>
      </c>
      <c r="B771" s="17">
        <v>45445.0</v>
      </c>
      <c r="C771" s="6" t="s">
        <v>272</v>
      </c>
      <c r="D771" s="6" t="s">
        <v>1672</v>
      </c>
      <c r="E771" s="6" t="s">
        <v>1919</v>
      </c>
      <c r="F771" s="6">
        <v>1.0</v>
      </c>
      <c r="G771" s="13">
        <v>637.39</v>
      </c>
      <c r="H771" s="6">
        <v>0.22</v>
      </c>
      <c r="I771" s="6" t="s">
        <v>1967</v>
      </c>
      <c r="J771" s="13">
        <v>497.1642</v>
      </c>
      <c r="K771" s="6" t="str">
        <f t="shared" si="1"/>
        <v>Low Earnings</v>
      </c>
    </row>
    <row r="772" ht="14.25" customHeight="1">
      <c r="A772" s="6" t="s">
        <v>2737</v>
      </c>
      <c r="B772" s="17">
        <v>45230.0</v>
      </c>
      <c r="C772" s="6" t="s">
        <v>1236</v>
      </c>
      <c r="D772" s="6" t="s">
        <v>1585</v>
      </c>
      <c r="E772" s="6" t="s">
        <v>1947</v>
      </c>
      <c r="F772" s="6">
        <v>1.0</v>
      </c>
      <c r="G772" s="13">
        <v>631.0</v>
      </c>
      <c r="H772" s="6">
        <v>0.04</v>
      </c>
      <c r="I772" s="6" t="s">
        <v>1965</v>
      </c>
      <c r="J772" s="13">
        <v>605.76</v>
      </c>
      <c r="K772" s="6" t="str">
        <f t="shared" si="1"/>
        <v>Low Earnings</v>
      </c>
    </row>
    <row r="773" ht="14.25" customHeight="1">
      <c r="A773" s="6" t="s">
        <v>2738</v>
      </c>
      <c r="B773" s="17">
        <v>45916.0</v>
      </c>
      <c r="C773" s="6" t="s">
        <v>1242</v>
      </c>
      <c r="D773" s="6" t="s">
        <v>1828</v>
      </c>
      <c r="E773" s="6" t="s">
        <v>1906</v>
      </c>
      <c r="F773" s="6">
        <v>4.0</v>
      </c>
      <c r="G773" s="13">
        <v>983.98</v>
      </c>
      <c r="H773" s="6">
        <v>0.11</v>
      </c>
      <c r="I773" s="6" t="s">
        <v>1973</v>
      </c>
      <c r="J773" s="13">
        <v>3502.9688</v>
      </c>
      <c r="K773" s="6" t="str">
        <f t="shared" si="1"/>
        <v>High Earnings</v>
      </c>
    </row>
    <row r="774" ht="14.25" customHeight="1">
      <c r="A774" s="6" t="s">
        <v>2739</v>
      </c>
      <c r="B774" s="17">
        <v>45353.0</v>
      </c>
      <c r="C774" s="6" t="s">
        <v>213</v>
      </c>
      <c r="D774" s="6" t="s">
        <v>1752</v>
      </c>
      <c r="E774" s="6" t="s">
        <v>1932</v>
      </c>
      <c r="F774" s="6">
        <v>4.0</v>
      </c>
      <c r="G774" s="13">
        <v>73.69</v>
      </c>
      <c r="H774" s="6">
        <v>0.08</v>
      </c>
      <c r="I774" s="6" t="s">
        <v>1965</v>
      </c>
      <c r="J774" s="13">
        <v>271.1792</v>
      </c>
      <c r="K774" s="6" t="str">
        <f t="shared" si="1"/>
        <v>Low Earnings</v>
      </c>
    </row>
    <row r="775" ht="14.25" customHeight="1">
      <c r="A775" s="6" t="s">
        <v>2740</v>
      </c>
      <c r="B775" s="17">
        <v>45490.0</v>
      </c>
      <c r="C775" s="6" t="s">
        <v>1359</v>
      </c>
      <c r="D775" s="6" t="s">
        <v>1608</v>
      </c>
      <c r="E775" s="6" t="s">
        <v>1919</v>
      </c>
      <c r="F775" s="6">
        <v>3.0</v>
      </c>
      <c r="G775" s="13">
        <v>110.99</v>
      </c>
      <c r="H775" s="6">
        <v>0.21</v>
      </c>
      <c r="I775" s="6" t="s">
        <v>1965</v>
      </c>
      <c r="J775" s="13">
        <v>263.0463</v>
      </c>
      <c r="K775" s="6" t="str">
        <f t="shared" si="1"/>
        <v>Low Earnings</v>
      </c>
    </row>
    <row r="776" ht="14.25" customHeight="1">
      <c r="A776" s="6" t="s">
        <v>2741</v>
      </c>
      <c r="B776" s="17">
        <v>45850.0</v>
      </c>
      <c r="C776" s="6" t="s">
        <v>309</v>
      </c>
      <c r="D776" s="6" t="s">
        <v>1604</v>
      </c>
      <c r="E776" s="6" t="s">
        <v>1919</v>
      </c>
      <c r="F776" s="6">
        <v>1.0</v>
      </c>
      <c r="G776" s="13">
        <v>66.86</v>
      </c>
      <c r="H776" s="6">
        <v>0.22</v>
      </c>
      <c r="I776" s="6" t="s">
        <v>1973</v>
      </c>
      <c r="J776" s="13">
        <v>52.1508</v>
      </c>
      <c r="K776" s="6" t="str">
        <f t="shared" si="1"/>
        <v>Low Earnings</v>
      </c>
    </row>
    <row r="777" ht="14.25" customHeight="1">
      <c r="A777" s="6" t="s">
        <v>2742</v>
      </c>
      <c r="B777" s="17">
        <v>45515.0</v>
      </c>
      <c r="C777" s="6" t="s">
        <v>1311</v>
      </c>
      <c r="D777" s="6" t="s">
        <v>1788</v>
      </c>
      <c r="E777" s="6" t="s">
        <v>1950</v>
      </c>
      <c r="F777" s="6">
        <v>1.0</v>
      </c>
      <c r="G777" s="13">
        <v>980.26</v>
      </c>
      <c r="H777" s="6">
        <v>0.14</v>
      </c>
      <c r="I777" s="6" t="s">
        <v>1967</v>
      </c>
      <c r="J777" s="13">
        <v>843.0236</v>
      </c>
      <c r="K777" s="6" t="str">
        <f t="shared" si="1"/>
        <v>Low Earnings</v>
      </c>
    </row>
    <row r="778" ht="14.25" customHeight="1">
      <c r="A778" s="6" t="s">
        <v>2743</v>
      </c>
      <c r="B778" s="17">
        <v>45322.0</v>
      </c>
      <c r="C778" s="6" t="s">
        <v>155</v>
      </c>
      <c r="D778" s="6" t="s">
        <v>1633</v>
      </c>
      <c r="E778" s="6" t="s">
        <v>1950</v>
      </c>
      <c r="F778" s="6">
        <v>1.0</v>
      </c>
      <c r="G778" s="13">
        <v>235.28</v>
      </c>
      <c r="H778" s="6">
        <v>0.05</v>
      </c>
      <c r="I778" s="6" t="s">
        <v>1967</v>
      </c>
      <c r="J778" s="13">
        <v>223.516</v>
      </c>
      <c r="K778" s="6" t="str">
        <f t="shared" si="1"/>
        <v>Low Earnings</v>
      </c>
    </row>
    <row r="779" ht="14.25" customHeight="1">
      <c r="A779" s="6" t="s">
        <v>2744</v>
      </c>
      <c r="B779" s="17">
        <v>45542.0</v>
      </c>
      <c r="C779" s="6" t="s">
        <v>1308</v>
      </c>
      <c r="D779" s="6" t="s">
        <v>1560</v>
      </c>
      <c r="E779" s="6" t="s">
        <v>1941</v>
      </c>
      <c r="F779" s="6">
        <v>3.0</v>
      </c>
      <c r="G779" s="13">
        <v>407.39</v>
      </c>
      <c r="H779" s="6">
        <v>0.08</v>
      </c>
      <c r="I779" s="6" t="s">
        <v>1967</v>
      </c>
      <c r="J779" s="13">
        <v>1124.3964</v>
      </c>
      <c r="K779" s="6" t="str">
        <f t="shared" si="1"/>
        <v>Average Earnings</v>
      </c>
    </row>
    <row r="780" ht="14.25" customHeight="1">
      <c r="A780" s="6" t="s">
        <v>2745</v>
      </c>
      <c r="B780" s="17">
        <v>45675.0</v>
      </c>
      <c r="C780" s="6" t="s">
        <v>259</v>
      </c>
      <c r="D780" s="6" t="s">
        <v>1663</v>
      </c>
      <c r="E780" s="6" t="s">
        <v>1939</v>
      </c>
      <c r="F780" s="6">
        <v>4.0</v>
      </c>
      <c r="G780" s="13">
        <v>459.83</v>
      </c>
      <c r="H780" s="6">
        <v>0.12</v>
      </c>
      <c r="I780" s="6" t="s">
        <v>1973</v>
      </c>
      <c r="J780" s="13">
        <v>1618.6016</v>
      </c>
      <c r="K780" s="6" t="str">
        <f t="shared" si="1"/>
        <v>Average Earnings</v>
      </c>
    </row>
    <row r="781" ht="14.25" customHeight="1">
      <c r="A781" s="6" t="s">
        <v>2746</v>
      </c>
      <c r="B781" s="17">
        <v>45637.0</v>
      </c>
      <c r="C781" s="6" t="s">
        <v>296</v>
      </c>
      <c r="D781" s="6" t="s">
        <v>1663</v>
      </c>
      <c r="E781" s="6" t="s">
        <v>1909</v>
      </c>
      <c r="F781" s="6">
        <v>2.0</v>
      </c>
      <c r="G781" s="13">
        <v>502.69</v>
      </c>
      <c r="H781" s="6">
        <v>0.23</v>
      </c>
      <c r="I781" s="6" t="s">
        <v>1965</v>
      </c>
      <c r="J781" s="13">
        <v>774.1426</v>
      </c>
      <c r="K781" s="6" t="str">
        <f t="shared" si="1"/>
        <v>Low Earnings</v>
      </c>
    </row>
    <row r="782" ht="14.25" customHeight="1">
      <c r="A782" s="6" t="s">
        <v>2747</v>
      </c>
      <c r="B782" s="17">
        <v>45390.0</v>
      </c>
      <c r="C782" s="6" t="s">
        <v>833</v>
      </c>
      <c r="D782" s="6" t="s">
        <v>1685</v>
      </c>
      <c r="E782" s="6" t="s">
        <v>1916</v>
      </c>
      <c r="F782" s="6">
        <v>1.0</v>
      </c>
      <c r="G782" s="13">
        <v>152.17</v>
      </c>
      <c r="H782" s="6">
        <v>0.28</v>
      </c>
      <c r="I782" s="6" t="s">
        <v>1973</v>
      </c>
      <c r="J782" s="13">
        <v>109.5624</v>
      </c>
      <c r="K782" s="6" t="str">
        <f t="shared" si="1"/>
        <v>Low Earnings</v>
      </c>
    </row>
    <row r="783" ht="14.25" customHeight="1">
      <c r="A783" s="6" t="s">
        <v>2748</v>
      </c>
      <c r="B783" s="17">
        <v>45333.0</v>
      </c>
      <c r="C783" s="6" t="s">
        <v>507</v>
      </c>
      <c r="D783" s="6" t="s">
        <v>1867</v>
      </c>
      <c r="E783" s="6" t="s">
        <v>1909</v>
      </c>
      <c r="F783" s="6">
        <v>3.0</v>
      </c>
      <c r="G783" s="13">
        <v>706.6</v>
      </c>
      <c r="H783" s="6">
        <v>0.17</v>
      </c>
      <c r="I783" s="6" t="s">
        <v>1967</v>
      </c>
      <c r="J783" s="13">
        <v>1759.434</v>
      </c>
      <c r="K783" s="6" t="str">
        <f t="shared" si="1"/>
        <v>Average Earnings</v>
      </c>
    </row>
    <row r="784" ht="14.25" customHeight="1">
      <c r="A784" s="6" t="s">
        <v>2749</v>
      </c>
      <c r="B784" s="17">
        <v>45819.0</v>
      </c>
      <c r="C784" s="6" t="s">
        <v>1441</v>
      </c>
      <c r="D784" s="6" t="s">
        <v>1861</v>
      </c>
      <c r="E784" s="6" t="s">
        <v>1953</v>
      </c>
      <c r="F784" s="6">
        <v>3.0</v>
      </c>
      <c r="G784" s="13">
        <v>811.16</v>
      </c>
      <c r="H784" s="6">
        <v>0.1</v>
      </c>
      <c r="I784" s="6" t="s">
        <v>1973</v>
      </c>
      <c r="J784" s="13">
        <v>2190.132</v>
      </c>
      <c r="K784" s="6" t="str">
        <f t="shared" si="1"/>
        <v>Average Earnings</v>
      </c>
    </row>
    <row r="785" ht="14.25" customHeight="1">
      <c r="A785" s="6" t="s">
        <v>2750</v>
      </c>
      <c r="B785" s="17">
        <v>45268.0</v>
      </c>
      <c r="C785" s="6" t="s">
        <v>717</v>
      </c>
      <c r="D785" s="6" t="s">
        <v>1694</v>
      </c>
      <c r="E785" s="6" t="s">
        <v>1919</v>
      </c>
      <c r="F785" s="6">
        <v>2.0</v>
      </c>
      <c r="G785" s="13">
        <v>985.79</v>
      </c>
      <c r="H785" s="6">
        <v>0.04</v>
      </c>
      <c r="I785" s="6" t="s">
        <v>1967</v>
      </c>
      <c r="J785" s="13">
        <v>1892.7168</v>
      </c>
      <c r="K785" s="6" t="str">
        <f t="shared" si="1"/>
        <v>Average Earnings</v>
      </c>
    </row>
    <row r="786" ht="14.25" customHeight="1">
      <c r="A786" s="6" t="s">
        <v>2751</v>
      </c>
      <c r="B786" s="17">
        <v>45521.0</v>
      </c>
      <c r="C786" s="6" t="s">
        <v>628</v>
      </c>
      <c r="D786" s="6" t="s">
        <v>1682</v>
      </c>
      <c r="E786" s="6" t="s">
        <v>1939</v>
      </c>
      <c r="F786" s="6">
        <v>1.0</v>
      </c>
      <c r="G786" s="13">
        <v>255.02</v>
      </c>
      <c r="H786" s="6">
        <v>0.3</v>
      </c>
      <c r="I786" s="6" t="s">
        <v>1965</v>
      </c>
      <c r="J786" s="13">
        <v>178.514</v>
      </c>
      <c r="K786" s="6" t="str">
        <f t="shared" si="1"/>
        <v>Low Earnings</v>
      </c>
    </row>
    <row r="787" ht="14.25" customHeight="1">
      <c r="A787" s="6" t="s">
        <v>2752</v>
      </c>
      <c r="B787" s="17">
        <v>45693.0</v>
      </c>
      <c r="C787" s="6" t="s">
        <v>349</v>
      </c>
      <c r="D787" s="6" t="s">
        <v>1636</v>
      </c>
      <c r="E787" s="6" t="s">
        <v>1922</v>
      </c>
      <c r="F787" s="6">
        <v>1.0</v>
      </c>
      <c r="G787" s="13">
        <v>153.57</v>
      </c>
      <c r="H787" s="6">
        <v>0.01</v>
      </c>
      <c r="I787" s="6" t="s">
        <v>1967</v>
      </c>
      <c r="J787" s="13">
        <v>152.0343</v>
      </c>
      <c r="K787" s="6" t="str">
        <f t="shared" si="1"/>
        <v>Low Earnings</v>
      </c>
    </row>
    <row r="788" ht="14.25" customHeight="1">
      <c r="A788" s="6" t="s">
        <v>2753</v>
      </c>
      <c r="B788" s="17">
        <v>45734.0</v>
      </c>
      <c r="C788" s="6" t="s">
        <v>824</v>
      </c>
      <c r="D788" s="6" t="s">
        <v>1714</v>
      </c>
      <c r="E788" s="6" t="s">
        <v>1950</v>
      </c>
      <c r="F788" s="6">
        <v>3.0</v>
      </c>
      <c r="G788" s="13">
        <v>962.98</v>
      </c>
      <c r="H788" s="6">
        <v>0.21</v>
      </c>
      <c r="I788" s="6" t="s">
        <v>1965</v>
      </c>
      <c r="J788" s="13">
        <v>2282.2626</v>
      </c>
      <c r="K788" s="6" t="str">
        <f t="shared" si="1"/>
        <v>Average Earnings</v>
      </c>
    </row>
    <row r="789" ht="14.25" customHeight="1">
      <c r="A789" s="6" t="s">
        <v>2754</v>
      </c>
      <c r="B789" s="17">
        <v>45377.0</v>
      </c>
      <c r="C789" s="6" t="s">
        <v>222</v>
      </c>
      <c r="D789" s="6" t="s">
        <v>1717</v>
      </c>
      <c r="E789" s="6" t="s">
        <v>1922</v>
      </c>
      <c r="F789" s="6">
        <v>3.0</v>
      </c>
      <c r="G789" s="13">
        <v>884.46</v>
      </c>
      <c r="H789" s="6">
        <v>0.25</v>
      </c>
      <c r="I789" s="6" t="s">
        <v>1965</v>
      </c>
      <c r="J789" s="13">
        <v>1990.035</v>
      </c>
      <c r="K789" s="6" t="str">
        <f t="shared" si="1"/>
        <v>Average Earnings</v>
      </c>
    </row>
    <row r="790" ht="14.25" customHeight="1">
      <c r="A790" s="6" t="s">
        <v>2755</v>
      </c>
      <c r="B790" s="17">
        <v>45778.0</v>
      </c>
      <c r="C790" s="6" t="s">
        <v>1371</v>
      </c>
      <c r="D790" s="6" t="s">
        <v>1788</v>
      </c>
      <c r="E790" s="6" t="s">
        <v>1929</v>
      </c>
      <c r="F790" s="6">
        <v>4.0</v>
      </c>
      <c r="G790" s="13">
        <v>359.71</v>
      </c>
      <c r="H790" s="6">
        <v>0.05</v>
      </c>
      <c r="I790" s="6" t="s">
        <v>1967</v>
      </c>
      <c r="J790" s="13">
        <v>1366.898</v>
      </c>
      <c r="K790" s="6" t="str">
        <f t="shared" si="1"/>
        <v>Average Earnings</v>
      </c>
    </row>
    <row r="791" ht="14.25" customHeight="1">
      <c r="A791" s="6" t="s">
        <v>2756</v>
      </c>
      <c r="B791" s="17">
        <v>45715.0</v>
      </c>
      <c r="C791" s="6" t="s">
        <v>203</v>
      </c>
      <c r="D791" s="6" t="s">
        <v>1737</v>
      </c>
      <c r="E791" s="6" t="s">
        <v>1909</v>
      </c>
      <c r="F791" s="6">
        <v>3.0</v>
      </c>
      <c r="G791" s="13">
        <v>766.47</v>
      </c>
      <c r="H791" s="6">
        <v>0.18</v>
      </c>
      <c r="I791" s="6" t="s">
        <v>1965</v>
      </c>
      <c r="J791" s="13">
        <v>1885.5162</v>
      </c>
      <c r="K791" s="6" t="str">
        <f t="shared" si="1"/>
        <v>Average Earnings</v>
      </c>
    </row>
    <row r="792" ht="14.25" customHeight="1">
      <c r="A792" s="6" t="s">
        <v>2757</v>
      </c>
      <c r="B792" s="17">
        <v>45492.0</v>
      </c>
      <c r="C792" s="6" t="s">
        <v>736</v>
      </c>
      <c r="D792" s="6" t="s">
        <v>1755</v>
      </c>
      <c r="E792" s="6" t="s">
        <v>1950</v>
      </c>
      <c r="F792" s="6">
        <v>1.0</v>
      </c>
      <c r="G792" s="13">
        <v>772.07</v>
      </c>
      <c r="H792" s="6">
        <v>0.26</v>
      </c>
      <c r="I792" s="6" t="s">
        <v>1967</v>
      </c>
      <c r="J792" s="13">
        <v>571.3318</v>
      </c>
      <c r="K792" s="6" t="str">
        <f t="shared" si="1"/>
        <v>Low Earnings</v>
      </c>
    </row>
    <row r="793" ht="14.25" customHeight="1">
      <c r="A793" s="6" t="s">
        <v>2758</v>
      </c>
      <c r="B793" s="17">
        <v>45795.0</v>
      </c>
      <c r="C793" s="6" t="s">
        <v>591</v>
      </c>
      <c r="D793" s="6" t="s">
        <v>1733</v>
      </c>
      <c r="E793" s="6" t="s">
        <v>1932</v>
      </c>
      <c r="F793" s="6">
        <v>1.0</v>
      </c>
      <c r="G793" s="13">
        <v>325.08</v>
      </c>
      <c r="H793" s="6">
        <v>0.26</v>
      </c>
      <c r="I793" s="6" t="s">
        <v>1967</v>
      </c>
      <c r="J793" s="13">
        <v>240.5592</v>
      </c>
      <c r="K793" s="6" t="str">
        <f t="shared" si="1"/>
        <v>Low Earnings</v>
      </c>
    </row>
    <row r="794" ht="14.25" customHeight="1">
      <c r="A794" s="6" t="s">
        <v>2759</v>
      </c>
      <c r="B794" s="17">
        <v>45292.0</v>
      </c>
      <c r="C794" s="6" t="s">
        <v>896</v>
      </c>
      <c r="D794" s="6" t="s">
        <v>1636</v>
      </c>
      <c r="E794" s="6" t="s">
        <v>1913</v>
      </c>
      <c r="F794" s="6">
        <v>3.0</v>
      </c>
      <c r="G794" s="13">
        <v>108.31</v>
      </c>
      <c r="H794" s="6">
        <v>0.26</v>
      </c>
      <c r="I794" s="6" t="s">
        <v>1973</v>
      </c>
      <c r="J794" s="13">
        <v>240.4482</v>
      </c>
      <c r="K794" s="6" t="str">
        <f t="shared" si="1"/>
        <v>Low Earnings</v>
      </c>
    </row>
    <row r="795" ht="14.25" customHeight="1">
      <c r="A795" s="6" t="s">
        <v>2760</v>
      </c>
      <c r="B795" s="17">
        <v>45316.0</v>
      </c>
      <c r="C795" s="6" t="s">
        <v>720</v>
      </c>
      <c r="D795" s="6" t="s">
        <v>1825</v>
      </c>
      <c r="E795" s="6" t="s">
        <v>1916</v>
      </c>
      <c r="F795" s="6">
        <v>1.0</v>
      </c>
      <c r="G795" s="13">
        <v>502.53</v>
      </c>
      <c r="H795" s="6">
        <v>0.0</v>
      </c>
      <c r="I795" s="6" t="s">
        <v>1967</v>
      </c>
      <c r="J795" s="13">
        <v>502.53</v>
      </c>
      <c r="K795" s="6" t="str">
        <f t="shared" si="1"/>
        <v>Low Earnings</v>
      </c>
    </row>
    <row r="796" ht="14.25" customHeight="1">
      <c r="A796" s="6" t="s">
        <v>2761</v>
      </c>
      <c r="B796" s="17">
        <v>45548.0</v>
      </c>
      <c r="C796" s="6" t="s">
        <v>286</v>
      </c>
      <c r="D796" s="6" t="s">
        <v>1565</v>
      </c>
      <c r="E796" s="6" t="s">
        <v>1944</v>
      </c>
      <c r="F796" s="6">
        <v>2.0</v>
      </c>
      <c r="G796" s="13">
        <v>508.52</v>
      </c>
      <c r="H796" s="6">
        <v>0.11</v>
      </c>
      <c r="I796" s="6" t="s">
        <v>1973</v>
      </c>
      <c r="J796" s="13">
        <v>905.1655999999999</v>
      </c>
      <c r="K796" s="6" t="str">
        <f t="shared" si="1"/>
        <v>Low Earnings</v>
      </c>
    </row>
    <row r="797" ht="14.25" customHeight="1">
      <c r="A797" s="6" t="s">
        <v>2762</v>
      </c>
      <c r="B797" s="17">
        <v>45572.0</v>
      </c>
      <c r="C797" s="6" t="s">
        <v>1459</v>
      </c>
      <c r="D797" s="6" t="s">
        <v>1810</v>
      </c>
      <c r="E797" s="6" t="s">
        <v>1906</v>
      </c>
      <c r="F797" s="6">
        <v>1.0</v>
      </c>
      <c r="G797" s="13">
        <v>492.0</v>
      </c>
      <c r="H797" s="6">
        <v>0.26</v>
      </c>
      <c r="I797" s="6" t="s">
        <v>1967</v>
      </c>
      <c r="J797" s="13">
        <v>364.08</v>
      </c>
      <c r="K797" s="6" t="str">
        <f t="shared" si="1"/>
        <v>Low Earnings</v>
      </c>
    </row>
    <row r="798" ht="14.25" customHeight="1">
      <c r="A798" s="6" t="s">
        <v>2763</v>
      </c>
      <c r="B798" s="17">
        <v>45347.0</v>
      </c>
      <c r="C798" s="6" t="s">
        <v>1508</v>
      </c>
      <c r="D798" s="6" t="s">
        <v>1694</v>
      </c>
      <c r="E798" s="6" t="s">
        <v>1939</v>
      </c>
      <c r="F798" s="6">
        <v>4.0</v>
      </c>
      <c r="G798" s="13">
        <v>746.36</v>
      </c>
      <c r="H798" s="6">
        <v>0.02</v>
      </c>
      <c r="I798" s="6" t="s">
        <v>1965</v>
      </c>
      <c r="J798" s="13">
        <v>2925.7312</v>
      </c>
      <c r="K798" s="6" t="str">
        <f t="shared" si="1"/>
        <v>High Earnings</v>
      </c>
    </row>
    <row r="799" ht="14.25" customHeight="1">
      <c r="A799" s="6" t="s">
        <v>2764</v>
      </c>
      <c r="B799" s="17">
        <v>45823.0</v>
      </c>
      <c r="C799" s="6" t="s">
        <v>1359</v>
      </c>
      <c r="D799" s="6" t="s">
        <v>1611</v>
      </c>
      <c r="E799" s="6" t="s">
        <v>1897</v>
      </c>
      <c r="F799" s="6">
        <v>1.0</v>
      </c>
      <c r="G799" s="13">
        <v>120.83</v>
      </c>
      <c r="H799" s="6">
        <v>0.08</v>
      </c>
      <c r="I799" s="6" t="s">
        <v>1965</v>
      </c>
      <c r="J799" s="13">
        <v>111.1636</v>
      </c>
      <c r="K799" s="6" t="str">
        <f t="shared" si="1"/>
        <v>Low Earnings</v>
      </c>
    </row>
    <row r="800" ht="14.25" customHeight="1">
      <c r="A800" s="6" t="s">
        <v>2765</v>
      </c>
      <c r="B800" s="17">
        <v>45394.0</v>
      </c>
      <c r="C800" s="6" t="s">
        <v>1259</v>
      </c>
      <c r="D800" s="6" t="s">
        <v>1819</v>
      </c>
      <c r="E800" s="6" t="s">
        <v>1950</v>
      </c>
      <c r="F800" s="6">
        <v>2.0</v>
      </c>
      <c r="G800" s="13">
        <v>68.31</v>
      </c>
      <c r="H800" s="6">
        <v>0.29</v>
      </c>
      <c r="I800" s="6" t="s">
        <v>1973</v>
      </c>
      <c r="J800" s="13">
        <v>97.00019999999999</v>
      </c>
      <c r="K800" s="6" t="str">
        <f t="shared" si="1"/>
        <v>Low Earnings</v>
      </c>
    </row>
    <row r="801" ht="14.25" customHeight="1">
      <c r="A801" s="6" t="s">
        <v>2766</v>
      </c>
      <c r="B801" s="17">
        <v>45265.0</v>
      </c>
      <c r="C801" s="6" t="s">
        <v>238</v>
      </c>
      <c r="D801" s="6" t="s">
        <v>1647</v>
      </c>
      <c r="E801" s="6" t="s">
        <v>1950</v>
      </c>
      <c r="F801" s="6">
        <v>2.0</v>
      </c>
      <c r="G801" s="13">
        <v>761.71</v>
      </c>
      <c r="H801" s="6">
        <v>0.02</v>
      </c>
      <c r="I801" s="6" t="s">
        <v>1967</v>
      </c>
      <c r="J801" s="13">
        <v>1492.9516</v>
      </c>
      <c r="K801" s="6" t="str">
        <f t="shared" si="1"/>
        <v>Average Earnings</v>
      </c>
    </row>
    <row r="802" ht="14.25" customHeight="1">
      <c r="A802" s="6" t="s">
        <v>2767</v>
      </c>
      <c r="B802" s="17">
        <v>45261.0</v>
      </c>
      <c r="C802" s="6" t="s">
        <v>252</v>
      </c>
      <c r="D802" s="6" t="s">
        <v>1822</v>
      </c>
      <c r="E802" s="6" t="s">
        <v>1906</v>
      </c>
      <c r="F802" s="6">
        <v>4.0</v>
      </c>
      <c r="G802" s="13">
        <v>346.37</v>
      </c>
      <c r="H802" s="6">
        <v>0.18</v>
      </c>
      <c r="I802" s="6" t="s">
        <v>1973</v>
      </c>
      <c r="J802" s="13">
        <v>1136.0936</v>
      </c>
      <c r="K802" s="6" t="str">
        <f t="shared" si="1"/>
        <v>Average Earnings</v>
      </c>
    </row>
    <row r="803" ht="14.25" customHeight="1">
      <c r="A803" s="6" t="s">
        <v>2768</v>
      </c>
      <c r="B803" s="17">
        <v>45702.0</v>
      </c>
      <c r="C803" s="6" t="s">
        <v>47</v>
      </c>
      <c r="D803" s="6" t="s">
        <v>1752</v>
      </c>
      <c r="E803" s="6" t="s">
        <v>1934</v>
      </c>
      <c r="F803" s="6">
        <v>1.0</v>
      </c>
      <c r="G803" s="13">
        <v>846.3</v>
      </c>
      <c r="H803" s="6">
        <v>0.14</v>
      </c>
      <c r="I803" s="6" t="s">
        <v>1967</v>
      </c>
      <c r="J803" s="13">
        <v>727.818</v>
      </c>
      <c r="K803" s="6" t="str">
        <f t="shared" si="1"/>
        <v>Low Earnings</v>
      </c>
    </row>
    <row r="804" ht="14.25" customHeight="1">
      <c r="A804" s="6" t="s">
        <v>2769</v>
      </c>
      <c r="B804" s="17">
        <v>45267.0</v>
      </c>
      <c r="C804" s="6" t="s">
        <v>1095</v>
      </c>
      <c r="D804" s="6" t="s">
        <v>1855</v>
      </c>
      <c r="E804" s="6" t="s">
        <v>1929</v>
      </c>
      <c r="F804" s="6">
        <v>2.0</v>
      </c>
      <c r="G804" s="13">
        <v>827.92</v>
      </c>
      <c r="H804" s="6">
        <v>0.25</v>
      </c>
      <c r="I804" s="6" t="s">
        <v>1973</v>
      </c>
      <c r="J804" s="13">
        <v>1241.88</v>
      </c>
      <c r="K804" s="6" t="str">
        <f t="shared" si="1"/>
        <v>Average Earnings</v>
      </c>
    </row>
    <row r="805" ht="14.25" customHeight="1">
      <c r="A805" s="6" t="s">
        <v>2770</v>
      </c>
      <c r="B805" s="17">
        <v>45624.0</v>
      </c>
      <c r="C805" s="6" t="s">
        <v>1356</v>
      </c>
      <c r="D805" s="6" t="s">
        <v>1560</v>
      </c>
      <c r="E805" s="6" t="s">
        <v>1953</v>
      </c>
      <c r="F805" s="6">
        <v>1.0</v>
      </c>
      <c r="G805" s="13">
        <v>458.97</v>
      </c>
      <c r="H805" s="6">
        <v>0.1</v>
      </c>
      <c r="I805" s="6" t="s">
        <v>1967</v>
      </c>
      <c r="J805" s="13">
        <v>413.073</v>
      </c>
      <c r="K805" s="6" t="str">
        <f t="shared" si="1"/>
        <v>Low Earnings</v>
      </c>
    </row>
    <row r="806" ht="14.25" customHeight="1">
      <c r="A806" s="6" t="s">
        <v>2771</v>
      </c>
      <c r="B806" s="17">
        <v>45736.0</v>
      </c>
      <c r="C806" s="6" t="s">
        <v>932</v>
      </c>
      <c r="D806" s="6" t="s">
        <v>1714</v>
      </c>
      <c r="E806" s="6" t="s">
        <v>1919</v>
      </c>
      <c r="F806" s="6">
        <v>2.0</v>
      </c>
      <c r="G806" s="13">
        <v>536.61</v>
      </c>
      <c r="H806" s="6">
        <v>0.14</v>
      </c>
      <c r="I806" s="6" t="s">
        <v>1965</v>
      </c>
      <c r="J806" s="13">
        <v>922.9692</v>
      </c>
      <c r="K806" s="6" t="str">
        <f t="shared" si="1"/>
        <v>Low Earnings</v>
      </c>
    </row>
    <row r="807" ht="14.25" customHeight="1">
      <c r="A807" s="6" t="s">
        <v>2772</v>
      </c>
      <c r="B807" s="17">
        <v>45709.0</v>
      </c>
      <c r="C807" s="6" t="s">
        <v>1320</v>
      </c>
      <c r="D807" s="6" t="s">
        <v>1761</v>
      </c>
      <c r="E807" s="6" t="s">
        <v>1892</v>
      </c>
      <c r="F807" s="6">
        <v>3.0</v>
      </c>
      <c r="G807" s="13">
        <v>130.41</v>
      </c>
      <c r="H807" s="6">
        <v>0.14</v>
      </c>
      <c r="I807" s="6" t="s">
        <v>1967</v>
      </c>
      <c r="J807" s="13">
        <v>336.4578</v>
      </c>
      <c r="K807" s="6" t="str">
        <f t="shared" si="1"/>
        <v>Low Earnings</v>
      </c>
    </row>
    <row r="808" ht="14.25" customHeight="1">
      <c r="A808" s="6" t="s">
        <v>2773</v>
      </c>
      <c r="B808" s="17">
        <v>45738.0</v>
      </c>
      <c r="C808" s="6" t="s">
        <v>1540</v>
      </c>
      <c r="D808" s="6" t="s">
        <v>1855</v>
      </c>
      <c r="E808" s="6" t="s">
        <v>1934</v>
      </c>
      <c r="F808" s="6">
        <v>4.0</v>
      </c>
      <c r="G808" s="13">
        <v>706.67</v>
      </c>
      <c r="H808" s="6">
        <v>0.01</v>
      </c>
      <c r="I808" s="6" t="s">
        <v>1965</v>
      </c>
      <c r="J808" s="13">
        <v>2798.4132</v>
      </c>
      <c r="K808" s="6" t="str">
        <f t="shared" si="1"/>
        <v>High Earnings</v>
      </c>
    </row>
    <row r="809" ht="14.25" customHeight="1">
      <c r="A809" s="6" t="s">
        <v>2774</v>
      </c>
      <c r="B809" s="17">
        <v>45685.0</v>
      </c>
      <c r="C809" s="6" t="s">
        <v>1239</v>
      </c>
      <c r="D809" s="6" t="s">
        <v>1663</v>
      </c>
      <c r="E809" s="6" t="s">
        <v>1906</v>
      </c>
      <c r="F809" s="6">
        <v>3.0</v>
      </c>
      <c r="G809" s="13">
        <v>523.45</v>
      </c>
      <c r="H809" s="6">
        <v>0.17</v>
      </c>
      <c r="I809" s="6" t="s">
        <v>1965</v>
      </c>
      <c r="J809" s="13">
        <v>1303.3905</v>
      </c>
      <c r="K809" s="6" t="str">
        <f t="shared" si="1"/>
        <v>Average Earnings</v>
      </c>
    </row>
    <row r="810" ht="14.25" customHeight="1">
      <c r="A810" s="6" t="s">
        <v>2775</v>
      </c>
      <c r="B810" s="17">
        <v>45701.0</v>
      </c>
      <c r="C810" s="6" t="s">
        <v>55</v>
      </c>
      <c r="D810" s="6" t="s">
        <v>1861</v>
      </c>
      <c r="E810" s="6" t="s">
        <v>1950</v>
      </c>
      <c r="F810" s="6">
        <v>3.0</v>
      </c>
      <c r="G810" s="13">
        <v>482.2</v>
      </c>
      <c r="H810" s="6">
        <v>0.23</v>
      </c>
      <c r="I810" s="6" t="s">
        <v>1973</v>
      </c>
      <c r="J810" s="13">
        <v>1113.882</v>
      </c>
      <c r="K810" s="6" t="str">
        <f t="shared" si="1"/>
        <v>Average Earnings</v>
      </c>
    </row>
    <row r="811" ht="14.25" customHeight="1">
      <c r="A811" s="6" t="s">
        <v>2776</v>
      </c>
      <c r="B811" s="17">
        <v>45745.0</v>
      </c>
      <c r="C811" s="6" t="s">
        <v>437</v>
      </c>
      <c r="D811" s="6" t="s">
        <v>1776</v>
      </c>
      <c r="E811" s="6" t="s">
        <v>1913</v>
      </c>
      <c r="F811" s="6">
        <v>4.0</v>
      </c>
      <c r="G811" s="13">
        <v>688.86</v>
      </c>
      <c r="H811" s="6">
        <v>0.02</v>
      </c>
      <c r="I811" s="6" t="s">
        <v>1973</v>
      </c>
      <c r="J811" s="13">
        <v>2700.3312</v>
      </c>
      <c r="K811" s="6" t="str">
        <f t="shared" si="1"/>
        <v>High Earnings</v>
      </c>
    </row>
    <row r="812" ht="14.25" customHeight="1">
      <c r="A812" s="6" t="s">
        <v>2777</v>
      </c>
      <c r="B812" s="17">
        <v>45214.0</v>
      </c>
      <c r="C812" s="6" t="s">
        <v>108</v>
      </c>
      <c r="D812" s="6" t="s">
        <v>1611</v>
      </c>
      <c r="E812" s="6" t="s">
        <v>1892</v>
      </c>
      <c r="F812" s="6">
        <v>1.0</v>
      </c>
      <c r="G812" s="13">
        <v>145.48</v>
      </c>
      <c r="H812" s="6">
        <v>0.1</v>
      </c>
      <c r="I812" s="6" t="s">
        <v>1973</v>
      </c>
      <c r="J812" s="13">
        <v>130.932</v>
      </c>
      <c r="K812" s="6" t="str">
        <f t="shared" si="1"/>
        <v>Low Earnings</v>
      </c>
    </row>
    <row r="813" ht="14.25" customHeight="1">
      <c r="A813" s="6" t="s">
        <v>2778</v>
      </c>
      <c r="B813" s="17">
        <v>45547.0</v>
      </c>
      <c r="C813" s="6" t="s">
        <v>206</v>
      </c>
      <c r="D813" s="6" t="s">
        <v>1675</v>
      </c>
      <c r="E813" s="6" t="s">
        <v>1932</v>
      </c>
      <c r="F813" s="6">
        <v>4.0</v>
      </c>
      <c r="G813" s="13">
        <v>862.25</v>
      </c>
      <c r="H813" s="6">
        <v>0.28</v>
      </c>
      <c r="I813" s="6" t="s">
        <v>1967</v>
      </c>
      <c r="J813" s="13">
        <v>2483.28</v>
      </c>
      <c r="K813" s="6" t="str">
        <f t="shared" si="1"/>
        <v>Average Earnings</v>
      </c>
    </row>
    <row r="814" ht="14.25" customHeight="1">
      <c r="A814" s="6" t="s">
        <v>2779</v>
      </c>
      <c r="B814" s="17">
        <v>45296.0</v>
      </c>
      <c r="C814" s="6" t="s">
        <v>941</v>
      </c>
      <c r="D814" s="6" t="s">
        <v>1565</v>
      </c>
      <c r="E814" s="6" t="s">
        <v>1939</v>
      </c>
      <c r="F814" s="6">
        <v>4.0</v>
      </c>
      <c r="G814" s="13">
        <v>146.12</v>
      </c>
      <c r="H814" s="6">
        <v>0.12</v>
      </c>
      <c r="I814" s="6" t="s">
        <v>1973</v>
      </c>
      <c r="J814" s="13">
        <v>514.3424</v>
      </c>
      <c r="K814" s="6" t="str">
        <f t="shared" si="1"/>
        <v>Low Earnings</v>
      </c>
    </row>
    <row r="815" ht="14.25" customHeight="1">
      <c r="A815" s="6" t="s">
        <v>2780</v>
      </c>
      <c r="B815" s="17">
        <v>45314.0</v>
      </c>
      <c r="C815" s="6" t="s">
        <v>1508</v>
      </c>
      <c r="D815" s="6" t="s">
        <v>1660</v>
      </c>
      <c r="E815" s="6" t="s">
        <v>1901</v>
      </c>
      <c r="F815" s="6">
        <v>2.0</v>
      </c>
      <c r="G815" s="13">
        <v>593.47</v>
      </c>
      <c r="H815" s="6">
        <v>0.1</v>
      </c>
      <c r="I815" s="6" t="s">
        <v>1973</v>
      </c>
      <c r="J815" s="13">
        <v>1068.246</v>
      </c>
      <c r="K815" s="6" t="str">
        <f t="shared" si="1"/>
        <v>Average Earnings</v>
      </c>
    </row>
    <row r="816" ht="14.25" customHeight="1">
      <c r="A816" s="6" t="s">
        <v>2781</v>
      </c>
      <c r="B816" s="17">
        <v>45549.0</v>
      </c>
      <c r="C816" s="6" t="s">
        <v>1488</v>
      </c>
      <c r="D816" s="6" t="s">
        <v>1675</v>
      </c>
      <c r="E816" s="6" t="s">
        <v>1950</v>
      </c>
      <c r="F816" s="6">
        <v>2.0</v>
      </c>
      <c r="G816" s="13">
        <v>695.02</v>
      </c>
      <c r="H816" s="6">
        <v>0.3</v>
      </c>
      <c r="I816" s="6" t="s">
        <v>1973</v>
      </c>
      <c r="J816" s="13">
        <v>973.0279999999999</v>
      </c>
      <c r="K816" s="6" t="str">
        <f t="shared" si="1"/>
        <v>Low Earnings</v>
      </c>
    </row>
    <row r="817" ht="14.25" customHeight="1">
      <c r="A817" s="6" t="s">
        <v>2782</v>
      </c>
      <c r="B817" s="17">
        <v>45231.0</v>
      </c>
      <c r="C817" s="6" t="s">
        <v>723</v>
      </c>
      <c r="D817" s="6" t="s">
        <v>1870</v>
      </c>
      <c r="E817" s="6" t="s">
        <v>1929</v>
      </c>
      <c r="F817" s="6">
        <v>2.0</v>
      </c>
      <c r="G817" s="13">
        <v>886.67</v>
      </c>
      <c r="H817" s="6">
        <v>0.24</v>
      </c>
      <c r="I817" s="6" t="s">
        <v>1967</v>
      </c>
      <c r="J817" s="13">
        <v>1347.7384</v>
      </c>
      <c r="K817" s="6" t="str">
        <f t="shared" si="1"/>
        <v>Average Earnings</v>
      </c>
    </row>
    <row r="818" ht="14.25" customHeight="1">
      <c r="A818" s="6" t="s">
        <v>2783</v>
      </c>
      <c r="B818" s="17">
        <v>45628.0</v>
      </c>
      <c r="C818" s="6" t="s">
        <v>213</v>
      </c>
      <c r="D818" s="6" t="s">
        <v>1785</v>
      </c>
      <c r="E818" s="6" t="s">
        <v>1950</v>
      </c>
      <c r="F818" s="6">
        <v>2.0</v>
      </c>
      <c r="G818" s="13">
        <v>864.09</v>
      </c>
      <c r="H818" s="6">
        <v>0.06</v>
      </c>
      <c r="I818" s="6" t="s">
        <v>1973</v>
      </c>
      <c r="J818" s="13">
        <v>1624.4892</v>
      </c>
      <c r="K818" s="6" t="str">
        <f t="shared" si="1"/>
        <v>Average Earnings</v>
      </c>
    </row>
    <row r="819" ht="14.25" customHeight="1">
      <c r="A819" s="6" t="s">
        <v>2784</v>
      </c>
      <c r="B819" s="17">
        <v>45862.0</v>
      </c>
      <c r="C819" s="6" t="s">
        <v>30</v>
      </c>
      <c r="D819" s="6" t="s">
        <v>1611</v>
      </c>
      <c r="E819" s="6" t="s">
        <v>1926</v>
      </c>
      <c r="F819" s="6">
        <v>1.0</v>
      </c>
      <c r="G819" s="13">
        <v>437.65</v>
      </c>
      <c r="H819" s="6">
        <v>0.02</v>
      </c>
      <c r="I819" s="6" t="s">
        <v>1967</v>
      </c>
      <c r="J819" s="13">
        <v>428.897</v>
      </c>
      <c r="K819" s="6" t="str">
        <f t="shared" si="1"/>
        <v>Low Earnings</v>
      </c>
    </row>
    <row r="820" ht="14.25" customHeight="1">
      <c r="A820" s="6" t="s">
        <v>2785</v>
      </c>
      <c r="B820" s="17">
        <v>45843.0</v>
      </c>
      <c r="C820" s="6" t="s">
        <v>672</v>
      </c>
      <c r="D820" s="6" t="s">
        <v>1691</v>
      </c>
      <c r="E820" s="6" t="s">
        <v>1937</v>
      </c>
      <c r="F820" s="6">
        <v>2.0</v>
      </c>
      <c r="G820" s="13">
        <v>208.09</v>
      </c>
      <c r="H820" s="6">
        <v>0.27</v>
      </c>
      <c r="I820" s="6" t="s">
        <v>1965</v>
      </c>
      <c r="J820" s="13">
        <v>303.8114</v>
      </c>
      <c r="K820" s="6" t="str">
        <f t="shared" si="1"/>
        <v>Low Earnings</v>
      </c>
    </row>
    <row r="821" ht="14.25" customHeight="1">
      <c r="A821" s="6" t="s">
        <v>2786</v>
      </c>
      <c r="B821" s="17">
        <v>45482.0</v>
      </c>
      <c r="C821" s="6" t="s">
        <v>213</v>
      </c>
      <c r="D821" s="6" t="s">
        <v>1867</v>
      </c>
      <c r="E821" s="6" t="s">
        <v>1947</v>
      </c>
      <c r="F821" s="6">
        <v>4.0</v>
      </c>
      <c r="G821" s="13">
        <v>825.78</v>
      </c>
      <c r="H821" s="6">
        <v>0.02</v>
      </c>
      <c r="I821" s="6" t="s">
        <v>1965</v>
      </c>
      <c r="J821" s="13">
        <v>3237.0576</v>
      </c>
      <c r="K821" s="6" t="str">
        <f t="shared" si="1"/>
        <v>High Earnings</v>
      </c>
    </row>
    <row r="822" ht="14.25" customHeight="1">
      <c r="A822" s="6" t="s">
        <v>2787</v>
      </c>
      <c r="B822" s="17">
        <v>45313.0</v>
      </c>
      <c r="C822" s="6" t="s">
        <v>413</v>
      </c>
      <c r="D822" s="6" t="s">
        <v>1657</v>
      </c>
      <c r="E822" s="6" t="s">
        <v>1947</v>
      </c>
      <c r="F822" s="6">
        <v>3.0</v>
      </c>
      <c r="G822" s="13">
        <v>849.77</v>
      </c>
      <c r="H822" s="6">
        <v>0.12</v>
      </c>
      <c r="I822" s="6" t="s">
        <v>1967</v>
      </c>
      <c r="J822" s="13">
        <v>2243.3928</v>
      </c>
      <c r="K822" s="6" t="str">
        <f t="shared" si="1"/>
        <v>Average Earnings</v>
      </c>
    </row>
    <row r="823" ht="14.25" customHeight="1">
      <c r="A823" s="6" t="s">
        <v>2788</v>
      </c>
      <c r="B823" s="17">
        <v>45314.0</v>
      </c>
      <c r="C823" s="6" t="s">
        <v>1095</v>
      </c>
      <c r="D823" s="6" t="s">
        <v>1767</v>
      </c>
      <c r="E823" s="6" t="s">
        <v>1909</v>
      </c>
      <c r="F823" s="6">
        <v>1.0</v>
      </c>
      <c r="G823" s="13">
        <v>88.78</v>
      </c>
      <c r="H823" s="6">
        <v>0.18</v>
      </c>
      <c r="I823" s="6" t="s">
        <v>1965</v>
      </c>
      <c r="J823" s="13">
        <v>72.79960000000001</v>
      </c>
      <c r="K823" s="6" t="str">
        <f t="shared" si="1"/>
        <v>Low Earnings</v>
      </c>
    </row>
    <row r="824" ht="14.25" customHeight="1">
      <c r="A824" s="6" t="s">
        <v>2789</v>
      </c>
      <c r="B824" s="17">
        <v>45526.0</v>
      </c>
      <c r="C824" s="6" t="s">
        <v>640</v>
      </c>
      <c r="D824" s="6" t="s">
        <v>1822</v>
      </c>
      <c r="E824" s="6" t="s">
        <v>1909</v>
      </c>
      <c r="F824" s="6">
        <v>4.0</v>
      </c>
      <c r="G824" s="13">
        <v>507.22</v>
      </c>
      <c r="H824" s="6">
        <v>0.14</v>
      </c>
      <c r="I824" s="6" t="s">
        <v>1967</v>
      </c>
      <c r="J824" s="13">
        <v>1744.8368</v>
      </c>
      <c r="K824" s="6" t="str">
        <f t="shared" si="1"/>
        <v>Average Earnings</v>
      </c>
    </row>
    <row r="825" ht="14.25" customHeight="1">
      <c r="A825" s="6" t="s">
        <v>2790</v>
      </c>
      <c r="B825" s="17">
        <v>45887.0</v>
      </c>
      <c r="C825" s="6" t="s">
        <v>1011</v>
      </c>
      <c r="D825" s="6" t="s">
        <v>1876</v>
      </c>
      <c r="E825" s="6" t="s">
        <v>1892</v>
      </c>
      <c r="F825" s="6">
        <v>3.0</v>
      </c>
      <c r="G825" s="13">
        <v>330.98</v>
      </c>
      <c r="H825" s="6">
        <v>0.11</v>
      </c>
      <c r="I825" s="6" t="s">
        <v>1965</v>
      </c>
      <c r="J825" s="13">
        <v>883.7166000000001</v>
      </c>
      <c r="K825" s="6" t="str">
        <f t="shared" si="1"/>
        <v>Low Earnings</v>
      </c>
    </row>
    <row r="826" ht="14.25" customHeight="1">
      <c r="A826" s="6" t="s">
        <v>2791</v>
      </c>
      <c r="B826" s="17">
        <v>45267.0</v>
      </c>
      <c r="C826" s="6" t="s">
        <v>944</v>
      </c>
      <c r="D826" s="6" t="s">
        <v>1640</v>
      </c>
      <c r="E826" s="6" t="s">
        <v>1919</v>
      </c>
      <c r="F826" s="6">
        <v>4.0</v>
      </c>
      <c r="G826" s="13">
        <v>756.28</v>
      </c>
      <c r="H826" s="6">
        <v>0.05</v>
      </c>
      <c r="I826" s="6" t="s">
        <v>1973</v>
      </c>
      <c r="J826" s="13">
        <v>2873.864</v>
      </c>
      <c r="K826" s="6" t="str">
        <f t="shared" si="1"/>
        <v>High Earnings</v>
      </c>
    </row>
    <row r="827" ht="14.25" customHeight="1">
      <c r="A827" s="6" t="s">
        <v>2792</v>
      </c>
      <c r="B827" s="17">
        <v>45562.0</v>
      </c>
      <c r="C827" s="6" t="s">
        <v>203</v>
      </c>
      <c r="D827" s="6" t="s">
        <v>1694</v>
      </c>
      <c r="E827" s="6" t="s">
        <v>1953</v>
      </c>
      <c r="F827" s="6">
        <v>4.0</v>
      </c>
      <c r="G827" s="13">
        <v>442.87</v>
      </c>
      <c r="H827" s="6">
        <v>0.08</v>
      </c>
      <c r="I827" s="6" t="s">
        <v>1965</v>
      </c>
      <c r="J827" s="13">
        <v>1629.7616</v>
      </c>
      <c r="K827" s="6" t="str">
        <f t="shared" si="1"/>
        <v>Average Earnings</v>
      </c>
    </row>
    <row r="828" ht="14.25" customHeight="1">
      <c r="A828" s="6" t="s">
        <v>2793</v>
      </c>
      <c r="B828" s="17">
        <v>45880.0</v>
      </c>
      <c r="C828" s="6" t="s">
        <v>55</v>
      </c>
      <c r="D828" s="6" t="s">
        <v>1876</v>
      </c>
      <c r="E828" s="6" t="s">
        <v>1901</v>
      </c>
      <c r="F828" s="6">
        <v>2.0</v>
      </c>
      <c r="G828" s="13">
        <v>939.66</v>
      </c>
      <c r="H828" s="6">
        <v>0.14</v>
      </c>
      <c r="I828" s="6" t="s">
        <v>1967</v>
      </c>
      <c r="J828" s="13">
        <v>1616.2152</v>
      </c>
      <c r="K828" s="6" t="str">
        <f t="shared" si="1"/>
        <v>Average Earnings</v>
      </c>
    </row>
    <row r="829" ht="14.25" customHeight="1">
      <c r="A829" s="6" t="s">
        <v>2794</v>
      </c>
      <c r="B829" s="17">
        <v>45556.0</v>
      </c>
      <c r="C829" s="6" t="s">
        <v>944</v>
      </c>
      <c r="D829" s="6" t="s">
        <v>1807</v>
      </c>
      <c r="E829" s="6" t="s">
        <v>1906</v>
      </c>
      <c r="F829" s="6">
        <v>1.0</v>
      </c>
      <c r="G829" s="13">
        <v>24.13</v>
      </c>
      <c r="H829" s="6">
        <v>0.0</v>
      </c>
      <c r="I829" s="6" t="s">
        <v>1965</v>
      </c>
      <c r="J829" s="13">
        <v>24.13</v>
      </c>
      <c r="K829" s="6" t="str">
        <f t="shared" si="1"/>
        <v>Low Earnings</v>
      </c>
    </row>
    <row r="830" ht="14.25" customHeight="1">
      <c r="A830" s="6" t="s">
        <v>2795</v>
      </c>
      <c r="B830" s="17">
        <v>45355.0</v>
      </c>
      <c r="C830" s="6" t="s">
        <v>1155</v>
      </c>
      <c r="D830" s="6" t="s">
        <v>1708</v>
      </c>
      <c r="E830" s="6" t="s">
        <v>1906</v>
      </c>
      <c r="F830" s="6">
        <v>3.0</v>
      </c>
      <c r="G830" s="13">
        <v>239.54</v>
      </c>
      <c r="H830" s="6">
        <v>0.29</v>
      </c>
      <c r="I830" s="6" t="s">
        <v>1973</v>
      </c>
      <c r="J830" s="13">
        <v>510.2202</v>
      </c>
      <c r="K830" s="6" t="str">
        <f t="shared" si="1"/>
        <v>Low Earnings</v>
      </c>
    </row>
    <row r="831" ht="14.25" customHeight="1">
      <c r="A831" s="6" t="s">
        <v>2796</v>
      </c>
      <c r="B831" s="17">
        <v>45244.0</v>
      </c>
      <c r="C831" s="6" t="s">
        <v>1500</v>
      </c>
      <c r="D831" s="6" t="s">
        <v>1723</v>
      </c>
      <c r="E831" s="6" t="s">
        <v>1939</v>
      </c>
      <c r="F831" s="6">
        <v>1.0</v>
      </c>
      <c r="G831" s="13">
        <v>588.53</v>
      </c>
      <c r="H831" s="6">
        <v>0.1</v>
      </c>
      <c r="I831" s="6" t="s">
        <v>1965</v>
      </c>
      <c r="J831" s="13">
        <v>529.677</v>
      </c>
      <c r="K831" s="6" t="str">
        <f t="shared" si="1"/>
        <v>Low Earnings</v>
      </c>
    </row>
    <row r="832" ht="14.25" customHeight="1">
      <c r="A832" s="6" t="s">
        <v>2797</v>
      </c>
      <c r="B832" s="17">
        <v>45863.0</v>
      </c>
      <c r="C832" s="6" t="s">
        <v>929</v>
      </c>
      <c r="D832" s="6" t="s">
        <v>1767</v>
      </c>
      <c r="E832" s="6" t="s">
        <v>1941</v>
      </c>
      <c r="F832" s="6">
        <v>1.0</v>
      </c>
      <c r="G832" s="13">
        <v>145.96</v>
      </c>
      <c r="H832" s="6">
        <v>0.3</v>
      </c>
      <c r="I832" s="6" t="s">
        <v>1965</v>
      </c>
      <c r="J832" s="13">
        <v>102.172</v>
      </c>
      <c r="K832" s="6" t="str">
        <f t="shared" si="1"/>
        <v>Low Earnings</v>
      </c>
    </row>
    <row r="833" ht="14.25" customHeight="1">
      <c r="A833" s="6" t="s">
        <v>2798</v>
      </c>
      <c r="B833" s="17">
        <v>45573.0</v>
      </c>
      <c r="C833" s="6" t="s">
        <v>368</v>
      </c>
      <c r="D833" s="6" t="s">
        <v>1798</v>
      </c>
      <c r="E833" s="6" t="s">
        <v>1909</v>
      </c>
      <c r="F833" s="6">
        <v>4.0</v>
      </c>
      <c r="G833" s="13">
        <v>640.91</v>
      </c>
      <c r="H833" s="6">
        <v>0.06</v>
      </c>
      <c r="I833" s="6" t="s">
        <v>1965</v>
      </c>
      <c r="J833" s="13">
        <v>2409.8216</v>
      </c>
      <c r="K833" s="6" t="str">
        <f t="shared" si="1"/>
        <v>Average Earnings</v>
      </c>
    </row>
    <row r="834" ht="14.25" customHeight="1">
      <c r="A834" s="6" t="s">
        <v>2799</v>
      </c>
      <c r="B834" s="17">
        <v>45792.0</v>
      </c>
      <c r="C834" s="6" t="s">
        <v>172</v>
      </c>
      <c r="D834" s="6" t="s">
        <v>1779</v>
      </c>
      <c r="E834" s="6" t="s">
        <v>1932</v>
      </c>
      <c r="F834" s="6">
        <v>3.0</v>
      </c>
      <c r="G834" s="13">
        <v>773.86</v>
      </c>
      <c r="H834" s="6">
        <v>0.22</v>
      </c>
      <c r="I834" s="6" t="s">
        <v>1965</v>
      </c>
      <c r="J834" s="13">
        <v>1810.8324</v>
      </c>
      <c r="K834" s="6" t="str">
        <f t="shared" si="1"/>
        <v>Average Earnings</v>
      </c>
    </row>
    <row r="835" ht="14.25" customHeight="1">
      <c r="A835" s="6" t="s">
        <v>2800</v>
      </c>
      <c r="B835" s="17">
        <v>45744.0</v>
      </c>
      <c r="C835" s="6" t="s">
        <v>1444</v>
      </c>
      <c r="D835" s="6" t="s">
        <v>1675</v>
      </c>
      <c r="E835" s="6" t="s">
        <v>1941</v>
      </c>
      <c r="F835" s="6">
        <v>2.0</v>
      </c>
      <c r="G835" s="13">
        <v>31.28</v>
      </c>
      <c r="H835" s="6">
        <v>0.2</v>
      </c>
      <c r="I835" s="6" t="s">
        <v>1973</v>
      </c>
      <c r="J835" s="13">
        <v>50.048</v>
      </c>
      <c r="K835" s="6" t="str">
        <f t="shared" si="1"/>
        <v>Low Earnings</v>
      </c>
    </row>
    <row r="836" ht="14.25" customHeight="1">
      <c r="A836" s="6" t="s">
        <v>2801</v>
      </c>
      <c r="B836" s="17">
        <v>45842.0</v>
      </c>
      <c r="C836" s="6" t="s">
        <v>1182</v>
      </c>
      <c r="D836" s="6" t="s">
        <v>1834</v>
      </c>
      <c r="E836" s="6" t="s">
        <v>1916</v>
      </c>
      <c r="F836" s="6">
        <v>4.0</v>
      </c>
      <c r="G836" s="13">
        <v>389.22</v>
      </c>
      <c r="H836" s="6">
        <v>0.18</v>
      </c>
      <c r="I836" s="6" t="s">
        <v>1965</v>
      </c>
      <c r="J836" s="13">
        <v>1276.6416</v>
      </c>
      <c r="K836" s="6" t="str">
        <f t="shared" si="1"/>
        <v>Average Earnings</v>
      </c>
    </row>
    <row r="837" ht="14.25" customHeight="1">
      <c r="A837" s="6" t="s">
        <v>2802</v>
      </c>
      <c r="B837" s="17">
        <v>45641.0</v>
      </c>
      <c r="C837" s="6" t="s">
        <v>1194</v>
      </c>
      <c r="D837" s="6" t="s">
        <v>1864</v>
      </c>
      <c r="E837" s="6" t="s">
        <v>1897</v>
      </c>
      <c r="F837" s="6">
        <v>2.0</v>
      </c>
      <c r="G837" s="13">
        <v>707.65</v>
      </c>
      <c r="H837" s="6">
        <v>0.14</v>
      </c>
      <c r="I837" s="6" t="s">
        <v>1965</v>
      </c>
      <c r="J837" s="13">
        <v>1217.158</v>
      </c>
      <c r="K837" s="6" t="str">
        <f t="shared" si="1"/>
        <v>Average Earnings</v>
      </c>
    </row>
    <row r="838" ht="14.25" customHeight="1">
      <c r="A838" s="6" t="s">
        <v>2803</v>
      </c>
      <c r="B838" s="17">
        <v>45502.0</v>
      </c>
      <c r="C838" s="6" t="s">
        <v>78</v>
      </c>
      <c r="D838" s="6" t="s">
        <v>1779</v>
      </c>
      <c r="E838" s="6" t="s">
        <v>1941</v>
      </c>
      <c r="F838" s="6">
        <v>3.0</v>
      </c>
      <c r="G838" s="13">
        <v>543.44</v>
      </c>
      <c r="H838" s="6">
        <v>0.13</v>
      </c>
      <c r="I838" s="6" t="s">
        <v>1967</v>
      </c>
      <c r="J838" s="13">
        <v>1418.3784</v>
      </c>
      <c r="K838" s="6" t="str">
        <f t="shared" si="1"/>
        <v>Average Earnings</v>
      </c>
    </row>
    <row r="839" ht="14.25" customHeight="1">
      <c r="A839" s="6" t="s">
        <v>2804</v>
      </c>
      <c r="B839" s="17">
        <v>45296.0</v>
      </c>
      <c r="C839" s="6" t="s">
        <v>836</v>
      </c>
      <c r="D839" s="6" t="s">
        <v>1879</v>
      </c>
      <c r="E839" s="6" t="s">
        <v>1953</v>
      </c>
      <c r="F839" s="6">
        <v>4.0</v>
      </c>
      <c r="G839" s="13">
        <v>715.42</v>
      </c>
      <c r="H839" s="6">
        <v>0.29</v>
      </c>
      <c r="I839" s="6" t="s">
        <v>1967</v>
      </c>
      <c r="J839" s="13">
        <v>2031.7928</v>
      </c>
      <c r="K839" s="6" t="str">
        <f t="shared" si="1"/>
        <v>Average Earnings</v>
      </c>
    </row>
    <row r="840" ht="14.25" customHeight="1">
      <c r="A840" s="6" t="s">
        <v>2805</v>
      </c>
      <c r="B840" s="17">
        <v>45886.0</v>
      </c>
      <c r="C840" s="6" t="s">
        <v>203</v>
      </c>
      <c r="D840" s="6" t="s">
        <v>1611</v>
      </c>
      <c r="E840" s="6" t="s">
        <v>1909</v>
      </c>
      <c r="F840" s="6">
        <v>4.0</v>
      </c>
      <c r="G840" s="13">
        <v>676.14</v>
      </c>
      <c r="H840" s="6">
        <v>0.11</v>
      </c>
      <c r="I840" s="6" t="s">
        <v>1973</v>
      </c>
      <c r="J840" s="13">
        <v>2407.0584</v>
      </c>
      <c r="K840" s="6" t="str">
        <f t="shared" si="1"/>
        <v>Average Earnings</v>
      </c>
    </row>
    <row r="841" ht="14.25" customHeight="1">
      <c r="A841" s="6" t="s">
        <v>2806</v>
      </c>
      <c r="B841" s="17">
        <v>45425.0</v>
      </c>
      <c r="C841" s="6" t="s">
        <v>329</v>
      </c>
      <c r="D841" s="6" t="s">
        <v>1701</v>
      </c>
      <c r="E841" s="6" t="s">
        <v>1897</v>
      </c>
      <c r="F841" s="6">
        <v>4.0</v>
      </c>
      <c r="G841" s="13">
        <v>352.72</v>
      </c>
      <c r="H841" s="6">
        <v>0.25</v>
      </c>
      <c r="I841" s="6" t="s">
        <v>1965</v>
      </c>
      <c r="J841" s="13">
        <v>1058.16</v>
      </c>
      <c r="K841" s="6" t="str">
        <f t="shared" si="1"/>
        <v>Average Earnings</v>
      </c>
    </row>
    <row r="842" ht="14.25" customHeight="1">
      <c r="A842" s="6" t="s">
        <v>2807</v>
      </c>
      <c r="B842" s="17">
        <v>45797.0</v>
      </c>
      <c r="C842" s="6" t="s">
        <v>585</v>
      </c>
      <c r="D842" s="6" t="s">
        <v>1608</v>
      </c>
      <c r="E842" s="6" t="s">
        <v>1934</v>
      </c>
      <c r="F842" s="6">
        <v>1.0</v>
      </c>
      <c r="G842" s="13">
        <v>470.18</v>
      </c>
      <c r="H842" s="6">
        <v>0.19</v>
      </c>
      <c r="I842" s="6" t="s">
        <v>1967</v>
      </c>
      <c r="J842" s="13">
        <v>380.8458000000001</v>
      </c>
      <c r="K842" s="6" t="str">
        <f t="shared" si="1"/>
        <v>Low Earnings</v>
      </c>
    </row>
    <row r="843" ht="14.25" customHeight="1">
      <c r="A843" s="6" t="s">
        <v>2808</v>
      </c>
      <c r="B843" s="17">
        <v>45898.0</v>
      </c>
      <c r="C843" s="6" t="s">
        <v>755</v>
      </c>
      <c r="D843" s="6" t="s">
        <v>1785</v>
      </c>
      <c r="E843" s="6" t="s">
        <v>1932</v>
      </c>
      <c r="F843" s="6">
        <v>1.0</v>
      </c>
      <c r="G843" s="13">
        <v>891.79</v>
      </c>
      <c r="H843" s="6">
        <v>0.03</v>
      </c>
      <c r="I843" s="6" t="s">
        <v>1965</v>
      </c>
      <c r="J843" s="13">
        <v>865.0363</v>
      </c>
      <c r="K843" s="6" t="str">
        <f t="shared" si="1"/>
        <v>Low Earnings</v>
      </c>
    </row>
    <row r="844" ht="14.25" customHeight="1">
      <c r="A844" s="6" t="s">
        <v>2809</v>
      </c>
      <c r="B844" s="17">
        <v>45390.0</v>
      </c>
      <c r="C844" s="6" t="s">
        <v>1107</v>
      </c>
      <c r="D844" s="6" t="s">
        <v>1855</v>
      </c>
      <c r="E844" s="6" t="s">
        <v>1947</v>
      </c>
      <c r="F844" s="6">
        <v>2.0</v>
      </c>
      <c r="G844" s="13">
        <v>433.07</v>
      </c>
      <c r="H844" s="6">
        <v>0.25</v>
      </c>
      <c r="I844" s="6" t="s">
        <v>1973</v>
      </c>
      <c r="J844" s="13">
        <v>649.605</v>
      </c>
      <c r="K844" s="6" t="str">
        <f t="shared" si="1"/>
        <v>Low Earnings</v>
      </c>
    </row>
    <row r="845" ht="14.25" customHeight="1">
      <c r="A845" s="6" t="s">
        <v>2810</v>
      </c>
      <c r="B845" s="17">
        <v>45355.0</v>
      </c>
      <c r="C845" s="6" t="s">
        <v>66</v>
      </c>
      <c r="D845" s="6" t="s">
        <v>1785</v>
      </c>
      <c r="E845" s="6" t="s">
        <v>1953</v>
      </c>
      <c r="F845" s="6">
        <v>3.0</v>
      </c>
      <c r="G845" s="13">
        <v>626.71</v>
      </c>
      <c r="H845" s="6">
        <v>0.07</v>
      </c>
      <c r="I845" s="6" t="s">
        <v>1973</v>
      </c>
      <c r="J845" s="13">
        <v>1748.5209</v>
      </c>
      <c r="K845" s="6" t="str">
        <f t="shared" si="1"/>
        <v>Average Earnings</v>
      </c>
    </row>
    <row r="846" ht="14.25" customHeight="1">
      <c r="A846" s="6" t="s">
        <v>2811</v>
      </c>
      <c r="B846" s="17">
        <v>45916.0</v>
      </c>
      <c r="C846" s="6" t="s">
        <v>286</v>
      </c>
      <c r="D846" s="6" t="s">
        <v>1691</v>
      </c>
      <c r="E846" s="6" t="s">
        <v>1892</v>
      </c>
      <c r="F846" s="6">
        <v>2.0</v>
      </c>
      <c r="G846" s="13">
        <v>324.18</v>
      </c>
      <c r="H846" s="6">
        <v>0.06</v>
      </c>
      <c r="I846" s="6" t="s">
        <v>1973</v>
      </c>
      <c r="J846" s="13">
        <v>609.4584</v>
      </c>
      <c r="K846" s="6" t="str">
        <f t="shared" si="1"/>
        <v>Low Earnings</v>
      </c>
    </row>
    <row r="847" ht="14.25" customHeight="1">
      <c r="A847" s="6" t="s">
        <v>2812</v>
      </c>
      <c r="B847" s="17">
        <v>45448.0</v>
      </c>
      <c r="C847" s="6" t="s">
        <v>70</v>
      </c>
      <c r="D847" s="6" t="s">
        <v>1618</v>
      </c>
      <c r="E847" s="6" t="s">
        <v>1947</v>
      </c>
      <c r="F847" s="6">
        <v>4.0</v>
      </c>
      <c r="G847" s="13">
        <v>839.74</v>
      </c>
      <c r="H847" s="6">
        <v>0.13</v>
      </c>
      <c r="I847" s="6" t="s">
        <v>1967</v>
      </c>
      <c r="J847" s="13">
        <v>2922.2952</v>
      </c>
      <c r="K847" s="6" t="str">
        <f t="shared" si="1"/>
        <v>High Earnings</v>
      </c>
    </row>
    <row r="848" ht="14.25" customHeight="1">
      <c r="A848" s="6" t="s">
        <v>2813</v>
      </c>
      <c r="B848" s="17">
        <v>45371.0</v>
      </c>
      <c r="C848" s="6" t="s">
        <v>450</v>
      </c>
      <c r="D848" s="6" t="s">
        <v>1657</v>
      </c>
      <c r="E848" s="6" t="s">
        <v>1941</v>
      </c>
      <c r="F848" s="6">
        <v>1.0</v>
      </c>
      <c r="G848" s="13">
        <v>857.35</v>
      </c>
      <c r="H848" s="6">
        <v>0.28</v>
      </c>
      <c r="I848" s="6" t="s">
        <v>1967</v>
      </c>
      <c r="J848" s="13">
        <v>617.292</v>
      </c>
      <c r="K848" s="6" t="str">
        <f t="shared" si="1"/>
        <v>Low Earnings</v>
      </c>
    </row>
    <row r="849" ht="14.25" customHeight="1">
      <c r="A849" s="6" t="s">
        <v>2814</v>
      </c>
      <c r="B849" s="17">
        <v>45402.0</v>
      </c>
      <c r="C849" s="6" t="s">
        <v>534</v>
      </c>
      <c r="D849" s="6" t="s">
        <v>1773</v>
      </c>
      <c r="E849" s="6" t="s">
        <v>1941</v>
      </c>
      <c r="F849" s="6">
        <v>3.0</v>
      </c>
      <c r="G849" s="13">
        <v>252.63</v>
      </c>
      <c r="H849" s="6">
        <v>0.28</v>
      </c>
      <c r="I849" s="6" t="s">
        <v>1965</v>
      </c>
      <c r="J849" s="13">
        <v>545.6808</v>
      </c>
      <c r="K849" s="6" t="str">
        <f t="shared" si="1"/>
        <v>Low Earnings</v>
      </c>
    </row>
    <row r="850" ht="14.25" customHeight="1">
      <c r="A850" s="6" t="s">
        <v>2815</v>
      </c>
      <c r="B850" s="17">
        <v>45581.0</v>
      </c>
      <c r="C850" s="6" t="s">
        <v>830</v>
      </c>
      <c r="D850" s="6" t="s">
        <v>1825</v>
      </c>
      <c r="E850" s="6" t="s">
        <v>1953</v>
      </c>
      <c r="F850" s="6">
        <v>2.0</v>
      </c>
      <c r="G850" s="13">
        <v>60.53</v>
      </c>
      <c r="H850" s="6">
        <v>0.18</v>
      </c>
      <c r="I850" s="6" t="s">
        <v>1965</v>
      </c>
      <c r="J850" s="13">
        <v>99.26920000000001</v>
      </c>
      <c r="K850" s="6" t="str">
        <f t="shared" si="1"/>
        <v>Low Earnings</v>
      </c>
    </row>
    <row r="851" ht="14.25" customHeight="1">
      <c r="A851" s="6" t="s">
        <v>2816</v>
      </c>
      <c r="B851" s="17">
        <v>45610.0</v>
      </c>
      <c r="C851" s="6" t="s">
        <v>213</v>
      </c>
      <c r="D851" s="6" t="s">
        <v>1840</v>
      </c>
      <c r="E851" s="6" t="s">
        <v>1937</v>
      </c>
      <c r="F851" s="6">
        <v>4.0</v>
      </c>
      <c r="G851" s="13">
        <v>341.95</v>
      </c>
      <c r="H851" s="6">
        <v>0.25</v>
      </c>
      <c r="I851" s="6" t="s">
        <v>1965</v>
      </c>
      <c r="J851" s="13">
        <v>1025.85</v>
      </c>
      <c r="K851" s="6" t="str">
        <f t="shared" si="1"/>
        <v>Average Earnings</v>
      </c>
    </row>
    <row r="852" ht="14.25" customHeight="1">
      <c r="A852" s="6" t="s">
        <v>2817</v>
      </c>
      <c r="B852" s="17">
        <v>45438.0</v>
      </c>
      <c r="C852" s="6" t="s">
        <v>914</v>
      </c>
      <c r="D852" s="6" t="s">
        <v>1647</v>
      </c>
      <c r="E852" s="6" t="s">
        <v>1944</v>
      </c>
      <c r="F852" s="6">
        <v>4.0</v>
      </c>
      <c r="G852" s="13">
        <v>300.12</v>
      </c>
      <c r="H852" s="6">
        <v>0.05</v>
      </c>
      <c r="I852" s="6" t="s">
        <v>1967</v>
      </c>
      <c r="J852" s="13">
        <v>1140.456</v>
      </c>
      <c r="K852" s="6" t="str">
        <f t="shared" si="1"/>
        <v>Average Earnings</v>
      </c>
    </row>
    <row r="853" ht="14.25" customHeight="1">
      <c r="A853" s="6" t="s">
        <v>2818</v>
      </c>
      <c r="B853" s="17">
        <v>45705.0</v>
      </c>
      <c r="C853" s="6" t="s">
        <v>410</v>
      </c>
      <c r="D853" s="6" t="s">
        <v>1666</v>
      </c>
      <c r="E853" s="6" t="s">
        <v>1947</v>
      </c>
      <c r="F853" s="6">
        <v>2.0</v>
      </c>
      <c r="G853" s="13">
        <v>289.14</v>
      </c>
      <c r="H853" s="6">
        <v>0.12</v>
      </c>
      <c r="I853" s="6" t="s">
        <v>1973</v>
      </c>
      <c r="J853" s="13">
        <v>508.8864</v>
      </c>
      <c r="K853" s="6" t="str">
        <f t="shared" si="1"/>
        <v>Low Earnings</v>
      </c>
    </row>
    <row r="854" ht="14.25" customHeight="1">
      <c r="A854" s="6" t="s">
        <v>2819</v>
      </c>
      <c r="B854" s="17">
        <v>45695.0</v>
      </c>
      <c r="C854" s="6" t="s">
        <v>183</v>
      </c>
      <c r="D854" s="6" t="s">
        <v>1657</v>
      </c>
      <c r="E854" s="6" t="s">
        <v>1892</v>
      </c>
      <c r="F854" s="6">
        <v>2.0</v>
      </c>
      <c r="G854" s="13">
        <v>596.84</v>
      </c>
      <c r="H854" s="6">
        <v>0.01</v>
      </c>
      <c r="I854" s="6" t="s">
        <v>1967</v>
      </c>
      <c r="J854" s="13">
        <v>1181.7432</v>
      </c>
      <c r="K854" s="6" t="str">
        <f t="shared" si="1"/>
        <v>Average Earnings</v>
      </c>
    </row>
    <row r="855" ht="14.25" customHeight="1">
      <c r="A855" s="6" t="s">
        <v>2820</v>
      </c>
      <c r="B855" s="17">
        <v>45571.0</v>
      </c>
      <c r="C855" s="6" t="s">
        <v>1368</v>
      </c>
      <c r="D855" s="6" t="s">
        <v>1636</v>
      </c>
      <c r="E855" s="6" t="s">
        <v>1922</v>
      </c>
      <c r="F855" s="6">
        <v>4.0</v>
      </c>
      <c r="G855" s="13">
        <v>466.24</v>
      </c>
      <c r="H855" s="6">
        <v>0.16</v>
      </c>
      <c r="I855" s="6" t="s">
        <v>1965</v>
      </c>
      <c r="J855" s="13">
        <v>1566.5664</v>
      </c>
      <c r="K855" s="6" t="str">
        <f t="shared" si="1"/>
        <v>Average Earnings</v>
      </c>
    </row>
    <row r="856" ht="14.25" customHeight="1">
      <c r="A856" s="6" t="s">
        <v>2821</v>
      </c>
      <c r="B856" s="17">
        <v>45544.0</v>
      </c>
      <c r="C856" s="6" t="s">
        <v>821</v>
      </c>
      <c r="D856" s="6" t="s">
        <v>1615</v>
      </c>
      <c r="E856" s="6" t="s">
        <v>1944</v>
      </c>
      <c r="F856" s="6">
        <v>2.0</v>
      </c>
      <c r="G856" s="13">
        <v>330.59</v>
      </c>
      <c r="H856" s="6">
        <v>0.14</v>
      </c>
      <c r="I856" s="6" t="s">
        <v>1965</v>
      </c>
      <c r="J856" s="13">
        <v>568.6148</v>
      </c>
      <c r="K856" s="6" t="str">
        <f t="shared" si="1"/>
        <v>Low Earnings</v>
      </c>
    </row>
    <row r="857" ht="14.25" customHeight="1">
      <c r="A857" s="6" t="s">
        <v>2822</v>
      </c>
      <c r="B857" s="17">
        <v>45654.0</v>
      </c>
      <c r="C857" s="6" t="s">
        <v>1532</v>
      </c>
      <c r="D857" s="6" t="s">
        <v>1647</v>
      </c>
      <c r="E857" s="6" t="s">
        <v>1916</v>
      </c>
      <c r="F857" s="6">
        <v>2.0</v>
      </c>
      <c r="G857" s="13">
        <v>616.43</v>
      </c>
      <c r="H857" s="6">
        <v>0.02</v>
      </c>
      <c r="I857" s="6" t="s">
        <v>1973</v>
      </c>
      <c r="J857" s="13">
        <v>1208.2028</v>
      </c>
      <c r="K857" s="6" t="str">
        <f t="shared" si="1"/>
        <v>Average Earnings</v>
      </c>
    </row>
    <row r="858" ht="14.25" customHeight="1">
      <c r="A858" s="6" t="s">
        <v>2823</v>
      </c>
      <c r="B858" s="17">
        <v>45589.0</v>
      </c>
      <c r="C858" s="6" t="s">
        <v>1270</v>
      </c>
      <c r="D858" s="6" t="s">
        <v>1776</v>
      </c>
      <c r="E858" s="6" t="s">
        <v>1916</v>
      </c>
      <c r="F858" s="6">
        <v>3.0</v>
      </c>
      <c r="G858" s="13">
        <v>195.89</v>
      </c>
      <c r="H858" s="6">
        <v>0.16</v>
      </c>
      <c r="I858" s="6" t="s">
        <v>1967</v>
      </c>
      <c r="J858" s="13">
        <v>493.6428</v>
      </c>
      <c r="K858" s="6" t="str">
        <f t="shared" si="1"/>
        <v>Low Earnings</v>
      </c>
    </row>
    <row r="859" ht="14.25" customHeight="1">
      <c r="A859" s="6" t="s">
        <v>2824</v>
      </c>
      <c r="B859" s="17">
        <v>45670.0</v>
      </c>
      <c r="C859" s="6" t="s">
        <v>1549</v>
      </c>
      <c r="D859" s="6" t="s">
        <v>1752</v>
      </c>
      <c r="E859" s="6" t="s">
        <v>1922</v>
      </c>
      <c r="F859" s="6">
        <v>1.0</v>
      </c>
      <c r="G859" s="13">
        <v>79.0</v>
      </c>
      <c r="H859" s="6">
        <v>0.04</v>
      </c>
      <c r="I859" s="6" t="s">
        <v>1967</v>
      </c>
      <c r="J859" s="13">
        <v>75.84</v>
      </c>
      <c r="K859" s="6" t="str">
        <f t="shared" si="1"/>
        <v>Low Earnings</v>
      </c>
    </row>
    <row r="860" ht="14.25" customHeight="1">
      <c r="A860" s="6" t="s">
        <v>2825</v>
      </c>
      <c r="B860" s="17">
        <v>45487.0</v>
      </c>
      <c r="C860" s="6" t="s">
        <v>1092</v>
      </c>
      <c r="D860" s="6" t="s">
        <v>1590</v>
      </c>
      <c r="E860" s="6" t="s">
        <v>1929</v>
      </c>
      <c r="F860" s="6">
        <v>4.0</v>
      </c>
      <c r="G860" s="13">
        <v>614.76</v>
      </c>
      <c r="H860" s="6">
        <v>0.16</v>
      </c>
      <c r="I860" s="6" t="s">
        <v>1965</v>
      </c>
      <c r="J860" s="13">
        <v>2065.5936</v>
      </c>
      <c r="K860" s="6" t="str">
        <f t="shared" si="1"/>
        <v>Average Earnings</v>
      </c>
    </row>
    <row r="861" ht="14.25" customHeight="1">
      <c r="A861" s="6" t="s">
        <v>2826</v>
      </c>
      <c r="B861" s="17">
        <v>45418.0</v>
      </c>
      <c r="C861" s="6" t="s">
        <v>1273</v>
      </c>
      <c r="D861" s="6" t="s">
        <v>1825</v>
      </c>
      <c r="E861" s="6" t="s">
        <v>1919</v>
      </c>
      <c r="F861" s="6">
        <v>1.0</v>
      </c>
      <c r="G861" s="13">
        <v>224.49</v>
      </c>
      <c r="H861" s="6">
        <v>0.11</v>
      </c>
      <c r="I861" s="6" t="s">
        <v>1967</v>
      </c>
      <c r="J861" s="13">
        <v>199.7961</v>
      </c>
      <c r="K861" s="6" t="str">
        <f t="shared" si="1"/>
        <v>Low Earnings</v>
      </c>
    </row>
    <row r="862" ht="14.25" customHeight="1">
      <c r="A862" s="6" t="s">
        <v>2827</v>
      </c>
      <c r="B862" s="17">
        <v>45338.0</v>
      </c>
      <c r="C862" s="6" t="s">
        <v>1131</v>
      </c>
      <c r="D862" s="6" t="s">
        <v>1752</v>
      </c>
      <c r="E862" s="6" t="s">
        <v>1934</v>
      </c>
      <c r="F862" s="6">
        <v>1.0</v>
      </c>
      <c r="G862" s="13">
        <v>967.76</v>
      </c>
      <c r="H862" s="6">
        <v>0.09</v>
      </c>
      <c r="I862" s="6" t="s">
        <v>1965</v>
      </c>
      <c r="J862" s="13">
        <v>880.6616</v>
      </c>
      <c r="K862" s="6" t="str">
        <f t="shared" si="1"/>
        <v>Low Earnings</v>
      </c>
    </row>
    <row r="863" ht="14.25" customHeight="1">
      <c r="A863" s="6" t="s">
        <v>2828</v>
      </c>
      <c r="B863" s="17">
        <v>45507.0</v>
      </c>
      <c r="C863" s="6" t="s">
        <v>255</v>
      </c>
      <c r="D863" s="6" t="s">
        <v>1708</v>
      </c>
      <c r="E863" s="6" t="s">
        <v>1953</v>
      </c>
      <c r="F863" s="6">
        <v>2.0</v>
      </c>
      <c r="G863" s="13">
        <v>56.52</v>
      </c>
      <c r="H863" s="6">
        <v>0.17</v>
      </c>
      <c r="I863" s="6" t="s">
        <v>1967</v>
      </c>
      <c r="J863" s="13">
        <v>93.8232</v>
      </c>
      <c r="K863" s="6" t="str">
        <f t="shared" si="1"/>
        <v>Low Earnings</v>
      </c>
    </row>
    <row r="864" ht="14.25" customHeight="1">
      <c r="A864" s="6" t="s">
        <v>2829</v>
      </c>
      <c r="B864" s="17">
        <v>45275.0</v>
      </c>
      <c r="C864" s="6" t="s">
        <v>1523</v>
      </c>
      <c r="D864" s="6" t="s">
        <v>1788</v>
      </c>
      <c r="E864" s="6" t="s">
        <v>1897</v>
      </c>
      <c r="F864" s="6">
        <v>4.0</v>
      </c>
      <c r="G864" s="13">
        <v>921.84</v>
      </c>
      <c r="H864" s="6">
        <v>0.04</v>
      </c>
      <c r="I864" s="6" t="s">
        <v>1965</v>
      </c>
      <c r="J864" s="13">
        <v>3539.8656</v>
      </c>
      <c r="K864" s="6" t="str">
        <f t="shared" si="1"/>
        <v>High Earnings</v>
      </c>
    </row>
    <row r="865" ht="14.25" customHeight="1">
      <c r="A865" s="6" t="s">
        <v>2830</v>
      </c>
      <c r="B865" s="17">
        <v>45319.0</v>
      </c>
      <c r="C865" s="6" t="s">
        <v>1047</v>
      </c>
      <c r="D865" s="6" t="s">
        <v>1846</v>
      </c>
      <c r="E865" s="6" t="s">
        <v>1944</v>
      </c>
      <c r="F865" s="6">
        <v>3.0</v>
      </c>
      <c r="G865" s="13">
        <v>738.47</v>
      </c>
      <c r="H865" s="6">
        <v>0.28</v>
      </c>
      <c r="I865" s="6" t="s">
        <v>1965</v>
      </c>
      <c r="J865" s="13">
        <v>1595.0952</v>
      </c>
      <c r="K865" s="6" t="str">
        <f t="shared" si="1"/>
        <v>Average Earnings</v>
      </c>
    </row>
    <row r="866" ht="14.25" customHeight="1">
      <c r="A866" s="6" t="s">
        <v>2831</v>
      </c>
      <c r="B866" s="17">
        <v>45620.0</v>
      </c>
      <c r="C866" s="6" t="s">
        <v>1047</v>
      </c>
      <c r="D866" s="6" t="s">
        <v>1581</v>
      </c>
      <c r="E866" s="6" t="s">
        <v>1892</v>
      </c>
      <c r="F866" s="6">
        <v>4.0</v>
      </c>
      <c r="G866" s="13">
        <v>477.83</v>
      </c>
      <c r="H866" s="6">
        <v>0.05</v>
      </c>
      <c r="I866" s="6" t="s">
        <v>1973</v>
      </c>
      <c r="J866" s="13">
        <v>1815.754</v>
      </c>
      <c r="K866" s="6" t="str">
        <f t="shared" si="1"/>
        <v>Average Earnings</v>
      </c>
    </row>
    <row r="867" ht="14.25" customHeight="1">
      <c r="A867" s="6" t="s">
        <v>2832</v>
      </c>
      <c r="B867" s="17">
        <v>45831.0</v>
      </c>
      <c r="C867" s="6" t="s">
        <v>570</v>
      </c>
      <c r="D867" s="6" t="s">
        <v>1711</v>
      </c>
      <c r="E867" s="6" t="s">
        <v>1934</v>
      </c>
      <c r="F867" s="6">
        <v>3.0</v>
      </c>
      <c r="G867" s="13">
        <v>605.83</v>
      </c>
      <c r="H867" s="6">
        <v>0.28</v>
      </c>
      <c r="I867" s="6" t="s">
        <v>1973</v>
      </c>
      <c r="J867" s="13">
        <v>1308.5928</v>
      </c>
      <c r="K867" s="6" t="str">
        <f t="shared" si="1"/>
        <v>Average Earnings</v>
      </c>
    </row>
    <row r="868" ht="14.25" customHeight="1">
      <c r="A868" s="6" t="s">
        <v>2833</v>
      </c>
      <c r="B868" s="17">
        <v>45373.0</v>
      </c>
      <c r="C868" s="6" t="s">
        <v>255</v>
      </c>
      <c r="D868" s="6" t="s">
        <v>1714</v>
      </c>
      <c r="E868" s="6" t="s">
        <v>1906</v>
      </c>
      <c r="F868" s="6">
        <v>2.0</v>
      </c>
      <c r="G868" s="13">
        <v>521.44</v>
      </c>
      <c r="H868" s="6">
        <v>0.25</v>
      </c>
      <c r="I868" s="6" t="s">
        <v>1973</v>
      </c>
      <c r="J868" s="13">
        <v>782.1600000000001</v>
      </c>
      <c r="K868" s="6" t="str">
        <f t="shared" si="1"/>
        <v>Low Earnings</v>
      </c>
    </row>
    <row r="869" ht="14.25" customHeight="1">
      <c r="A869" s="6" t="s">
        <v>2834</v>
      </c>
      <c r="B869" s="17">
        <v>45863.0</v>
      </c>
      <c r="C869" s="6" t="s">
        <v>1182</v>
      </c>
      <c r="D869" s="6" t="s">
        <v>1604</v>
      </c>
      <c r="E869" s="6" t="s">
        <v>1919</v>
      </c>
      <c r="F869" s="6">
        <v>4.0</v>
      </c>
      <c r="G869" s="13">
        <v>499.02</v>
      </c>
      <c r="H869" s="6">
        <v>0.06</v>
      </c>
      <c r="I869" s="6" t="s">
        <v>1965</v>
      </c>
      <c r="J869" s="13">
        <v>1876.3152</v>
      </c>
      <c r="K869" s="6" t="str">
        <f t="shared" si="1"/>
        <v>Average Earnings</v>
      </c>
    </row>
    <row r="870" ht="14.25" customHeight="1">
      <c r="A870" s="6" t="s">
        <v>2835</v>
      </c>
      <c r="B870" s="17">
        <v>45885.0</v>
      </c>
      <c r="C870" s="6" t="s">
        <v>252</v>
      </c>
      <c r="D870" s="6" t="s">
        <v>1870</v>
      </c>
      <c r="E870" s="6" t="s">
        <v>1913</v>
      </c>
      <c r="F870" s="6">
        <v>4.0</v>
      </c>
      <c r="G870" s="13">
        <v>638.91</v>
      </c>
      <c r="H870" s="6">
        <v>0.0</v>
      </c>
      <c r="I870" s="6" t="s">
        <v>1973</v>
      </c>
      <c r="J870" s="13">
        <v>2555.64</v>
      </c>
      <c r="K870" s="6" t="str">
        <f t="shared" si="1"/>
        <v>High Earnings</v>
      </c>
    </row>
    <row r="871" ht="14.25" customHeight="1">
      <c r="A871" s="6" t="s">
        <v>2836</v>
      </c>
      <c r="B871" s="17">
        <v>45758.0</v>
      </c>
      <c r="C871" s="6" t="s">
        <v>525</v>
      </c>
      <c r="D871" s="6" t="s">
        <v>1577</v>
      </c>
      <c r="E871" s="6" t="s">
        <v>1950</v>
      </c>
      <c r="F871" s="6">
        <v>4.0</v>
      </c>
      <c r="G871" s="13">
        <v>299.46</v>
      </c>
      <c r="H871" s="6">
        <v>0.18</v>
      </c>
      <c r="I871" s="6" t="s">
        <v>1973</v>
      </c>
      <c r="J871" s="13">
        <v>982.2288</v>
      </c>
      <c r="K871" s="6" t="str">
        <f t="shared" si="1"/>
        <v>Low Earnings</v>
      </c>
    </row>
    <row r="872" ht="14.25" customHeight="1">
      <c r="A872" s="6" t="s">
        <v>2837</v>
      </c>
      <c r="B872" s="17">
        <v>45285.0</v>
      </c>
      <c r="C872" s="6" t="s">
        <v>1427</v>
      </c>
      <c r="D872" s="6" t="s">
        <v>1701</v>
      </c>
      <c r="E872" s="6" t="s">
        <v>1892</v>
      </c>
      <c r="F872" s="6">
        <v>1.0</v>
      </c>
      <c r="G872" s="13">
        <v>609.29</v>
      </c>
      <c r="H872" s="6">
        <v>0.15</v>
      </c>
      <c r="I872" s="6" t="s">
        <v>1965</v>
      </c>
      <c r="J872" s="13">
        <v>517.8965</v>
      </c>
      <c r="K872" s="6" t="str">
        <f t="shared" si="1"/>
        <v>Low Earnings</v>
      </c>
    </row>
    <row r="873" ht="14.25" customHeight="1">
      <c r="A873" s="6" t="s">
        <v>2838</v>
      </c>
      <c r="B873" s="17">
        <v>45656.0</v>
      </c>
      <c r="C873" s="6" t="s">
        <v>368</v>
      </c>
      <c r="D873" s="6" t="s">
        <v>1570</v>
      </c>
      <c r="E873" s="6" t="s">
        <v>1922</v>
      </c>
      <c r="F873" s="6">
        <v>1.0</v>
      </c>
      <c r="G873" s="13">
        <v>213.74</v>
      </c>
      <c r="H873" s="6">
        <v>0.07</v>
      </c>
      <c r="I873" s="6" t="s">
        <v>1973</v>
      </c>
      <c r="J873" s="13">
        <v>198.7782</v>
      </c>
      <c r="K873" s="6" t="str">
        <f t="shared" si="1"/>
        <v>Low Earnings</v>
      </c>
    </row>
    <row r="874" ht="14.25" customHeight="1">
      <c r="A874" s="6" t="s">
        <v>2839</v>
      </c>
      <c r="B874" s="17">
        <v>45718.0</v>
      </c>
      <c r="C874" s="6" t="s">
        <v>525</v>
      </c>
      <c r="D874" s="6" t="s">
        <v>1752</v>
      </c>
      <c r="E874" s="6" t="s">
        <v>1944</v>
      </c>
      <c r="F874" s="6">
        <v>4.0</v>
      </c>
      <c r="G874" s="13">
        <v>613.17</v>
      </c>
      <c r="H874" s="6">
        <v>0.26</v>
      </c>
      <c r="I874" s="6" t="s">
        <v>1965</v>
      </c>
      <c r="J874" s="13">
        <v>1814.9832</v>
      </c>
      <c r="K874" s="6" t="str">
        <f t="shared" si="1"/>
        <v>Average Earnings</v>
      </c>
    </row>
    <row r="875" ht="14.25" customHeight="1">
      <c r="A875" s="6" t="s">
        <v>2840</v>
      </c>
      <c r="B875" s="17">
        <v>45293.0</v>
      </c>
      <c r="C875" s="6" t="s">
        <v>1134</v>
      </c>
      <c r="D875" s="6" t="s">
        <v>1764</v>
      </c>
      <c r="E875" s="6" t="s">
        <v>1932</v>
      </c>
      <c r="F875" s="6">
        <v>2.0</v>
      </c>
      <c r="G875" s="13">
        <v>687.36</v>
      </c>
      <c r="H875" s="6">
        <v>0.07</v>
      </c>
      <c r="I875" s="6" t="s">
        <v>1973</v>
      </c>
      <c r="J875" s="13">
        <v>1278.4896</v>
      </c>
      <c r="K875" s="6" t="str">
        <f t="shared" si="1"/>
        <v>Average Earnings</v>
      </c>
    </row>
    <row r="876" ht="14.25" customHeight="1">
      <c r="A876" s="6" t="s">
        <v>2841</v>
      </c>
      <c r="B876" s="17">
        <v>45915.0</v>
      </c>
      <c r="C876" s="6" t="s">
        <v>1041</v>
      </c>
      <c r="D876" s="6" t="s">
        <v>1788</v>
      </c>
      <c r="E876" s="6" t="s">
        <v>1937</v>
      </c>
      <c r="F876" s="6">
        <v>3.0</v>
      </c>
      <c r="G876" s="13">
        <v>115.39</v>
      </c>
      <c r="H876" s="6">
        <v>0.02</v>
      </c>
      <c r="I876" s="6" t="s">
        <v>1967</v>
      </c>
      <c r="J876" s="13">
        <v>339.2466</v>
      </c>
      <c r="K876" s="6" t="str">
        <f t="shared" si="1"/>
        <v>Low Earnings</v>
      </c>
    </row>
    <row r="877" ht="14.25" customHeight="1">
      <c r="A877" s="6" t="s">
        <v>2842</v>
      </c>
      <c r="B877" s="17">
        <v>45359.0</v>
      </c>
      <c r="C877" s="6" t="s">
        <v>604</v>
      </c>
      <c r="D877" s="6" t="s">
        <v>1653</v>
      </c>
      <c r="E877" s="6" t="s">
        <v>1934</v>
      </c>
      <c r="F877" s="6">
        <v>2.0</v>
      </c>
      <c r="G877" s="13">
        <v>722.06</v>
      </c>
      <c r="H877" s="6">
        <v>0.07</v>
      </c>
      <c r="I877" s="6" t="s">
        <v>1965</v>
      </c>
      <c r="J877" s="13">
        <v>1343.0316</v>
      </c>
      <c r="K877" s="6" t="str">
        <f t="shared" si="1"/>
        <v>Average Earnings</v>
      </c>
    </row>
    <row r="878" ht="14.25" customHeight="1">
      <c r="A878" s="6" t="s">
        <v>2843</v>
      </c>
      <c r="B878" s="17">
        <v>45652.0</v>
      </c>
      <c r="C878" s="6" t="s">
        <v>1335</v>
      </c>
      <c r="D878" s="6" t="s">
        <v>1590</v>
      </c>
      <c r="E878" s="6" t="s">
        <v>1941</v>
      </c>
      <c r="F878" s="6">
        <v>1.0</v>
      </c>
      <c r="G878" s="13">
        <v>384.57</v>
      </c>
      <c r="H878" s="6">
        <v>0.06</v>
      </c>
      <c r="I878" s="6" t="s">
        <v>1967</v>
      </c>
      <c r="J878" s="13">
        <v>361.4958</v>
      </c>
      <c r="K878" s="6" t="str">
        <f t="shared" si="1"/>
        <v>Low Earnings</v>
      </c>
    </row>
    <row r="879" ht="14.25" customHeight="1">
      <c r="A879" s="6" t="s">
        <v>2844</v>
      </c>
      <c r="B879" s="17">
        <v>45735.0</v>
      </c>
      <c r="C879" s="6" t="s">
        <v>696</v>
      </c>
      <c r="D879" s="6" t="s">
        <v>1595</v>
      </c>
      <c r="E879" s="6" t="s">
        <v>1937</v>
      </c>
      <c r="F879" s="6">
        <v>2.0</v>
      </c>
      <c r="G879" s="13">
        <v>194.09</v>
      </c>
      <c r="H879" s="6">
        <v>0.18</v>
      </c>
      <c r="I879" s="6" t="s">
        <v>1967</v>
      </c>
      <c r="J879" s="13">
        <v>318.3076</v>
      </c>
      <c r="K879" s="6" t="str">
        <f t="shared" si="1"/>
        <v>Low Earnings</v>
      </c>
    </row>
    <row r="880" ht="14.25" customHeight="1">
      <c r="A880" s="6" t="s">
        <v>2845</v>
      </c>
      <c r="B880" s="17">
        <v>45579.0</v>
      </c>
      <c r="C880" s="6" t="s">
        <v>582</v>
      </c>
      <c r="D880" s="6" t="s">
        <v>1852</v>
      </c>
      <c r="E880" s="6" t="s">
        <v>1906</v>
      </c>
      <c r="F880" s="6">
        <v>2.0</v>
      </c>
      <c r="G880" s="13">
        <v>403.91</v>
      </c>
      <c r="H880" s="6">
        <v>0.07</v>
      </c>
      <c r="I880" s="6" t="s">
        <v>1965</v>
      </c>
      <c r="J880" s="13">
        <v>751.2726</v>
      </c>
      <c r="K880" s="6" t="str">
        <f t="shared" si="1"/>
        <v>Low Earnings</v>
      </c>
    </row>
    <row r="881" ht="14.25" customHeight="1">
      <c r="A881" s="6" t="s">
        <v>2846</v>
      </c>
      <c r="B881" s="17">
        <v>45812.0</v>
      </c>
      <c r="C881" s="6" t="s">
        <v>303</v>
      </c>
      <c r="D881" s="6" t="s">
        <v>1720</v>
      </c>
      <c r="E881" s="6" t="s">
        <v>1892</v>
      </c>
      <c r="F881" s="6">
        <v>2.0</v>
      </c>
      <c r="G881" s="13">
        <v>522.17</v>
      </c>
      <c r="H881" s="6">
        <v>0.27</v>
      </c>
      <c r="I881" s="6" t="s">
        <v>1965</v>
      </c>
      <c r="J881" s="13">
        <v>762.3681999999999</v>
      </c>
      <c r="K881" s="6" t="str">
        <f t="shared" si="1"/>
        <v>Low Earnings</v>
      </c>
    </row>
    <row r="882" ht="14.25" customHeight="1">
      <c r="A882" s="6" t="s">
        <v>2847</v>
      </c>
      <c r="B882" s="17">
        <v>45721.0</v>
      </c>
      <c r="C882" s="6" t="s">
        <v>286</v>
      </c>
      <c r="D882" s="6" t="s">
        <v>1630</v>
      </c>
      <c r="E882" s="6" t="s">
        <v>1939</v>
      </c>
      <c r="F882" s="6">
        <v>1.0</v>
      </c>
      <c r="G882" s="13">
        <v>878.69</v>
      </c>
      <c r="H882" s="6">
        <v>0.3</v>
      </c>
      <c r="I882" s="6" t="s">
        <v>1967</v>
      </c>
      <c r="J882" s="13">
        <v>615.083</v>
      </c>
      <c r="K882" s="6" t="str">
        <f t="shared" si="1"/>
        <v>Low Earnings</v>
      </c>
    </row>
    <row r="883" ht="14.25" customHeight="1">
      <c r="A883" s="6" t="s">
        <v>2848</v>
      </c>
      <c r="B883" s="17">
        <v>45446.0</v>
      </c>
      <c r="C883" s="6" t="s">
        <v>1206</v>
      </c>
      <c r="D883" s="6" t="s">
        <v>1682</v>
      </c>
      <c r="E883" s="6" t="s">
        <v>1941</v>
      </c>
      <c r="F883" s="6">
        <v>1.0</v>
      </c>
      <c r="G883" s="13">
        <v>161.17</v>
      </c>
      <c r="H883" s="6">
        <v>0.05</v>
      </c>
      <c r="I883" s="6" t="s">
        <v>1965</v>
      </c>
      <c r="J883" s="13">
        <v>153.1115</v>
      </c>
      <c r="K883" s="6" t="str">
        <f t="shared" si="1"/>
        <v>Low Earnings</v>
      </c>
    </row>
    <row r="884" ht="14.25" customHeight="1">
      <c r="A884" s="6" t="s">
        <v>2849</v>
      </c>
      <c r="B884" s="17">
        <v>45387.0</v>
      </c>
      <c r="C884" s="6" t="s">
        <v>708</v>
      </c>
      <c r="D884" s="6" t="s">
        <v>1807</v>
      </c>
      <c r="E884" s="6" t="s">
        <v>1939</v>
      </c>
      <c r="F884" s="6">
        <v>2.0</v>
      </c>
      <c r="G884" s="13">
        <v>720.15</v>
      </c>
      <c r="H884" s="6">
        <v>0.22</v>
      </c>
      <c r="I884" s="6" t="s">
        <v>1973</v>
      </c>
      <c r="J884" s="13">
        <v>1123.434</v>
      </c>
      <c r="K884" s="6" t="str">
        <f t="shared" si="1"/>
        <v>Average Earnings</v>
      </c>
    </row>
    <row r="885" ht="14.25" customHeight="1">
      <c r="A885" s="6" t="s">
        <v>2850</v>
      </c>
      <c r="B885" s="17">
        <v>45222.0</v>
      </c>
      <c r="C885" s="6" t="s">
        <v>1104</v>
      </c>
      <c r="D885" s="6" t="s">
        <v>1660</v>
      </c>
      <c r="E885" s="6" t="s">
        <v>1922</v>
      </c>
      <c r="F885" s="6">
        <v>1.0</v>
      </c>
      <c r="G885" s="13">
        <v>361.8</v>
      </c>
      <c r="H885" s="6">
        <v>0.02</v>
      </c>
      <c r="I885" s="6" t="s">
        <v>1973</v>
      </c>
      <c r="J885" s="13">
        <v>354.564</v>
      </c>
      <c r="K885" s="6" t="str">
        <f t="shared" si="1"/>
        <v>Low Earnings</v>
      </c>
    </row>
    <row r="886" ht="14.25" customHeight="1">
      <c r="A886" s="6" t="s">
        <v>2851</v>
      </c>
      <c r="B886" s="17">
        <v>45402.0</v>
      </c>
      <c r="C886" s="6" t="s">
        <v>755</v>
      </c>
      <c r="D886" s="6" t="s">
        <v>1873</v>
      </c>
      <c r="E886" s="6" t="s">
        <v>1916</v>
      </c>
      <c r="F886" s="6">
        <v>1.0</v>
      </c>
      <c r="G886" s="13">
        <v>779.84</v>
      </c>
      <c r="H886" s="6">
        <v>0.29</v>
      </c>
      <c r="I886" s="6" t="s">
        <v>1967</v>
      </c>
      <c r="J886" s="13">
        <v>553.6864</v>
      </c>
      <c r="K886" s="6" t="str">
        <f t="shared" si="1"/>
        <v>Low Earnings</v>
      </c>
    </row>
    <row r="887" ht="14.25" customHeight="1">
      <c r="A887" s="6" t="s">
        <v>2852</v>
      </c>
      <c r="B887" s="17">
        <v>45455.0</v>
      </c>
      <c r="C887" s="6" t="s">
        <v>35</v>
      </c>
      <c r="D887" s="6" t="s">
        <v>1876</v>
      </c>
      <c r="E887" s="6" t="s">
        <v>1909</v>
      </c>
      <c r="F887" s="6">
        <v>2.0</v>
      </c>
      <c r="G887" s="13">
        <v>649.89</v>
      </c>
      <c r="H887" s="6">
        <v>0.17</v>
      </c>
      <c r="I887" s="6" t="s">
        <v>1973</v>
      </c>
      <c r="J887" s="13">
        <v>1078.8174</v>
      </c>
      <c r="K887" s="6" t="str">
        <f t="shared" si="1"/>
        <v>Average Earnings</v>
      </c>
    </row>
    <row r="888" ht="14.25" customHeight="1">
      <c r="A888" s="6" t="s">
        <v>2853</v>
      </c>
      <c r="B888" s="17">
        <v>45877.0</v>
      </c>
      <c r="C888" s="6" t="s">
        <v>678</v>
      </c>
      <c r="D888" s="6" t="s">
        <v>1746</v>
      </c>
      <c r="E888" s="6" t="s">
        <v>1916</v>
      </c>
      <c r="F888" s="6">
        <v>1.0</v>
      </c>
      <c r="G888" s="13">
        <v>952.73</v>
      </c>
      <c r="H888" s="6">
        <v>0.17</v>
      </c>
      <c r="I888" s="6" t="s">
        <v>1965</v>
      </c>
      <c r="J888" s="13">
        <v>790.7659</v>
      </c>
      <c r="K888" s="6" t="str">
        <f t="shared" si="1"/>
        <v>Low Earnings</v>
      </c>
    </row>
    <row r="889" ht="14.25" customHeight="1">
      <c r="A889" s="6" t="s">
        <v>2854</v>
      </c>
      <c r="B889" s="17">
        <v>45875.0</v>
      </c>
      <c r="C889" s="6" t="s">
        <v>312</v>
      </c>
      <c r="D889" s="6" t="s">
        <v>1885</v>
      </c>
      <c r="E889" s="6" t="s">
        <v>1944</v>
      </c>
      <c r="F889" s="6">
        <v>4.0</v>
      </c>
      <c r="G889" s="13">
        <v>820.78</v>
      </c>
      <c r="H889" s="6">
        <v>0.25</v>
      </c>
      <c r="I889" s="6" t="s">
        <v>1965</v>
      </c>
      <c r="J889" s="13">
        <v>2462.34</v>
      </c>
      <c r="K889" s="6" t="str">
        <f t="shared" si="1"/>
        <v>Average Earnings</v>
      </c>
    </row>
    <row r="890" ht="14.25" customHeight="1">
      <c r="A890" s="6" t="s">
        <v>2855</v>
      </c>
      <c r="B890" s="17">
        <v>45592.0</v>
      </c>
      <c r="C890" s="6" t="s">
        <v>1089</v>
      </c>
      <c r="D890" s="6" t="s">
        <v>1698</v>
      </c>
      <c r="E890" s="6" t="s">
        <v>1906</v>
      </c>
      <c r="F890" s="6">
        <v>4.0</v>
      </c>
      <c r="G890" s="13">
        <v>247.55</v>
      </c>
      <c r="H890" s="6">
        <v>0.05</v>
      </c>
      <c r="I890" s="6" t="s">
        <v>1965</v>
      </c>
      <c r="J890" s="13">
        <v>940.69</v>
      </c>
      <c r="K890" s="6" t="str">
        <f t="shared" si="1"/>
        <v>Low Earnings</v>
      </c>
    </row>
    <row r="891" ht="14.25" customHeight="1">
      <c r="A891" s="6" t="s">
        <v>2856</v>
      </c>
      <c r="B891" s="17">
        <v>45369.0</v>
      </c>
      <c r="C891" s="6" t="s">
        <v>747</v>
      </c>
      <c r="D891" s="6" t="s">
        <v>1885</v>
      </c>
      <c r="E891" s="6" t="s">
        <v>1922</v>
      </c>
      <c r="F891" s="6">
        <v>3.0</v>
      </c>
      <c r="G891" s="13">
        <v>561.44</v>
      </c>
      <c r="H891" s="6">
        <v>0.2</v>
      </c>
      <c r="I891" s="6" t="s">
        <v>1973</v>
      </c>
      <c r="J891" s="13">
        <v>1347.456</v>
      </c>
      <c r="K891" s="6" t="str">
        <f t="shared" si="1"/>
        <v>Average Earnings</v>
      </c>
    </row>
    <row r="892" ht="14.25" customHeight="1">
      <c r="A892" s="6" t="s">
        <v>2857</v>
      </c>
      <c r="B892" s="17">
        <v>45517.0</v>
      </c>
      <c r="C892" s="6" t="s">
        <v>346</v>
      </c>
      <c r="D892" s="6" t="s">
        <v>1701</v>
      </c>
      <c r="E892" s="6" t="s">
        <v>1909</v>
      </c>
      <c r="F892" s="6">
        <v>2.0</v>
      </c>
      <c r="G892" s="13">
        <v>559.23</v>
      </c>
      <c r="H892" s="6">
        <v>0.25</v>
      </c>
      <c r="I892" s="6" t="s">
        <v>1973</v>
      </c>
      <c r="J892" s="13">
        <v>838.845</v>
      </c>
      <c r="K892" s="6" t="str">
        <f t="shared" si="1"/>
        <v>Low Earnings</v>
      </c>
    </row>
    <row r="893" ht="14.25" customHeight="1">
      <c r="A893" s="6" t="s">
        <v>2858</v>
      </c>
      <c r="B893" s="17">
        <v>45235.0</v>
      </c>
      <c r="C893" s="6" t="s">
        <v>1488</v>
      </c>
      <c r="D893" s="6" t="s">
        <v>1701</v>
      </c>
      <c r="E893" s="6" t="s">
        <v>1934</v>
      </c>
      <c r="F893" s="6">
        <v>3.0</v>
      </c>
      <c r="G893" s="13">
        <v>954.29</v>
      </c>
      <c r="H893" s="6">
        <v>0.27</v>
      </c>
      <c r="I893" s="6" t="s">
        <v>1965</v>
      </c>
      <c r="J893" s="13">
        <v>2089.8951</v>
      </c>
      <c r="K893" s="6" t="str">
        <f t="shared" si="1"/>
        <v>Average Earnings</v>
      </c>
    </row>
    <row r="894" ht="14.25" customHeight="1">
      <c r="A894" s="6" t="s">
        <v>2859</v>
      </c>
      <c r="B894" s="17">
        <v>45249.0</v>
      </c>
      <c r="C894" s="6" t="s">
        <v>908</v>
      </c>
      <c r="D894" s="6" t="s">
        <v>1804</v>
      </c>
      <c r="E894" s="6" t="s">
        <v>1922</v>
      </c>
      <c r="F894" s="6">
        <v>4.0</v>
      </c>
      <c r="G894" s="13">
        <v>214.37</v>
      </c>
      <c r="H894" s="6">
        <v>0.11</v>
      </c>
      <c r="I894" s="6" t="s">
        <v>1973</v>
      </c>
      <c r="J894" s="13">
        <v>763.1572</v>
      </c>
      <c r="K894" s="6" t="str">
        <f t="shared" si="1"/>
        <v>Low Earnings</v>
      </c>
    </row>
    <row r="895" ht="14.25" customHeight="1">
      <c r="A895" s="6" t="s">
        <v>2860</v>
      </c>
      <c r="B895" s="17">
        <v>45741.0</v>
      </c>
      <c r="C895" s="6" t="s">
        <v>1311</v>
      </c>
      <c r="D895" s="6" t="s">
        <v>1630</v>
      </c>
      <c r="E895" s="6" t="s">
        <v>1944</v>
      </c>
      <c r="F895" s="6">
        <v>3.0</v>
      </c>
      <c r="G895" s="13">
        <v>123.74</v>
      </c>
      <c r="H895" s="6">
        <v>0.23</v>
      </c>
      <c r="I895" s="6" t="s">
        <v>1967</v>
      </c>
      <c r="J895" s="13">
        <v>285.8394</v>
      </c>
      <c r="K895" s="6" t="str">
        <f t="shared" si="1"/>
        <v>Low Earnings</v>
      </c>
    </row>
    <row r="896" ht="14.25" customHeight="1">
      <c r="A896" s="6" t="s">
        <v>2861</v>
      </c>
      <c r="B896" s="17">
        <v>45427.0</v>
      </c>
      <c r="C896" s="6" t="s">
        <v>70</v>
      </c>
      <c r="D896" s="6" t="s">
        <v>1788</v>
      </c>
      <c r="E896" s="6" t="s">
        <v>1932</v>
      </c>
      <c r="F896" s="6">
        <v>4.0</v>
      </c>
      <c r="G896" s="13">
        <v>645.71</v>
      </c>
      <c r="H896" s="6">
        <v>0.1</v>
      </c>
      <c r="I896" s="6" t="s">
        <v>1967</v>
      </c>
      <c r="J896" s="13">
        <v>2324.556</v>
      </c>
      <c r="K896" s="6" t="str">
        <f t="shared" si="1"/>
        <v>Average Earnings</v>
      </c>
    </row>
    <row r="897" ht="14.25" customHeight="1">
      <c r="A897" s="6" t="s">
        <v>2862</v>
      </c>
      <c r="B897" s="17">
        <v>45736.0</v>
      </c>
      <c r="C897" s="6" t="s">
        <v>142</v>
      </c>
      <c r="D897" s="6" t="s">
        <v>1643</v>
      </c>
      <c r="E897" s="6" t="s">
        <v>1934</v>
      </c>
      <c r="F897" s="6">
        <v>3.0</v>
      </c>
      <c r="G897" s="13">
        <v>587.12</v>
      </c>
      <c r="H897" s="6">
        <v>0.3</v>
      </c>
      <c r="I897" s="6" t="s">
        <v>1965</v>
      </c>
      <c r="J897" s="13">
        <v>1232.952</v>
      </c>
      <c r="K897" s="6" t="str">
        <f t="shared" si="1"/>
        <v>Average Earnings</v>
      </c>
    </row>
    <row r="898" ht="14.25" customHeight="1">
      <c r="A898" s="6" t="s">
        <v>2863</v>
      </c>
      <c r="B898" s="17">
        <v>45941.0</v>
      </c>
      <c r="C898" s="6" t="s">
        <v>788</v>
      </c>
      <c r="D898" s="6" t="s">
        <v>1657</v>
      </c>
      <c r="E898" s="6" t="s">
        <v>1950</v>
      </c>
      <c r="F898" s="6">
        <v>1.0</v>
      </c>
      <c r="G898" s="13">
        <v>401.18</v>
      </c>
      <c r="H898" s="6">
        <v>0.15</v>
      </c>
      <c r="I898" s="6" t="s">
        <v>1973</v>
      </c>
      <c r="J898" s="13">
        <v>341.003</v>
      </c>
      <c r="K898" s="6" t="str">
        <f t="shared" si="1"/>
        <v>Low Earnings</v>
      </c>
    </row>
    <row r="899" ht="14.25" customHeight="1">
      <c r="A899" s="6" t="s">
        <v>2864</v>
      </c>
      <c r="B899" s="17">
        <v>45486.0</v>
      </c>
      <c r="C899" s="6" t="s">
        <v>1161</v>
      </c>
      <c r="D899" s="6" t="s">
        <v>1761</v>
      </c>
      <c r="E899" s="6" t="s">
        <v>1950</v>
      </c>
      <c r="F899" s="6">
        <v>3.0</v>
      </c>
      <c r="G899" s="13">
        <v>658.33</v>
      </c>
      <c r="H899" s="6">
        <v>0.12</v>
      </c>
      <c r="I899" s="6" t="s">
        <v>1973</v>
      </c>
      <c r="J899" s="13">
        <v>1737.9912</v>
      </c>
      <c r="K899" s="6" t="str">
        <f t="shared" si="1"/>
        <v>Average Earnings</v>
      </c>
    </row>
    <row r="900" ht="14.25" customHeight="1">
      <c r="A900" s="6" t="s">
        <v>2865</v>
      </c>
      <c r="B900" s="17">
        <v>45474.0</v>
      </c>
      <c r="C900" s="6" t="s">
        <v>669</v>
      </c>
      <c r="D900" s="6" t="s">
        <v>1733</v>
      </c>
      <c r="E900" s="6" t="s">
        <v>1932</v>
      </c>
      <c r="F900" s="6">
        <v>4.0</v>
      </c>
      <c r="G900" s="13">
        <v>450.3</v>
      </c>
      <c r="H900" s="6">
        <v>0.02</v>
      </c>
      <c r="I900" s="6" t="s">
        <v>1965</v>
      </c>
      <c r="J900" s="13">
        <v>1765.176</v>
      </c>
      <c r="K900" s="6" t="str">
        <f t="shared" si="1"/>
        <v>Average Earnings</v>
      </c>
    </row>
    <row r="901" ht="14.25" customHeight="1">
      <c r="A901" s="6" t="s">
        <v>2866</v>
      </c>
      <c r="B901" s="17">
        <v>45757.0</v>
      </c>
      <c r="C901" s="6" t="s">
        <v>501</v>
      </c>
      <c r="D901" s="6" t="s">
        <v>1870</v>
      </c>
      <c r="E901" s="6" t="s">
        <v>1929</v>
      </c>
      <c r="F901" s="6">
        <v>4.0</v>
      </c>
      <c r="G901" s="13">
        <v>33.63</v>
      </c>
      <c r="H901" s="6">
        <v>0.05</v>
      </c>
      <c r="I901" s="6" t="s">
        <v>1965</v>
      </c>
      <c r="J901" s="13">
        <v>127.794</v>
      </c>
      <c r="K901" s="6" t="str">
        <f t="shared" si="1"/>
        <v>Low Earnings</v>
      </c>
    </row>
    <row r="902" ht="14.25" customHeight="1">
      <c r="A902" s="6" t="s">
        <v>2867</v>
      </c>
      <c r="B902" s="17">
        <v>45475.0</v>
      </c>
      <c r="C902" s="6" t="s">
        <v>149</v>
      </c>
      <c r="D902" s="6" t="s">
        <v>1626</v>
      </c>
      <c r="E902" s="6" t="s">
        <v>1892</v>
      </c>
      <c r="F902" s="6">
        <v>3.0</v>
      </c>
      <c r="G902" s="13">
        <v>168.89</v>
      </c>
      <c r="H902" s="6">
        <v>0.03</v>
      </c>
      <c r="I902" s="6" t="s">
        <v>1973</v>
      </c>
      <c r="J902" s="13">
        <v>491.4698999999999</v>
      </c>
      <c r="K902" s="6" t="str">
        <f t="shared" si="1"/>
        <v>Low Earnings</v>
      </c>
    </row>
    <row r="903" ht="14.25" customHeight="1">
      <c r="A903" s="6" t="s">
        <v>2868</v>
      </c>
      <c r="B903" s="17">
        <v>45546.0</v>
      </c>
      <c r="C903" s="6" t="s">
        <v>349</v>
      </c>
      <c r="D903" s="6" t="s">
        <v>1767</v>
      </c>
      <c r="E903" s="6" t="s">
        <v>1932</v>
      </c>
      <c r="F903" s="6">
        <v>1.0</v>
      </c>
      <c r="G903" s="13">
        <v>141.85</v>
      </c>
      <c r="H903" s="6">
        <v>0.06</v>
      </c>
      <c r="I903" s="6" t="s">
        <v>1967</v>
      </c>
      <c r="J903" s="13">
        <v>133.339</v>
      </c>
      <c r="K903" s="6" t="str">
        <f t="shared" si="1"/>
        <v>Low Earnings</v>
      </c>
    </row>
    <row r="904" ht="14.25" customHeight="1">
      <c r="A904" s="6" t="s">
        <v>2869</v>
      </c>
      <c r="B904" s="17">
        <v>45710.0</v>
      </c>
      <c r="C904" s="6" t="s">
        <v>1441</v>
      </c>
      <c r="D904" s="6" t="s">
        <v>1682</v>
      </c>
      <c r="E904" s="6" t="s">
        <v>1937</v>
      </c>
      <c r="F904" s="6">
        <v>3.0</v>
      </c>
      <c r="G904" s="13">
        <v>53.92</v>
      </c>
      <c r="H904" s="6">
        <v>0.15</v>
      </c>
      <c r="I904" s="6" t="s">
        <v>1967</v>
      </c>
      <c r="J904" s="13">
        <v>137.496</v>
      </c>
      <c r="K904" s="6" t="str">
        <f t="shared" si="1"/>
        <v>Low Earnings</v>
      </c>
    </row>
    <row r="905" ht="14.25" customHeight="1">
      <c r="A905" s="6" t="s">
        <v>2870</v>
      </c>
      <c r="B905" s="17">
        <v>45520.0</v>
      </c>
      <c r="C905" s="6" t="s">
        <v>981</v>
      </c>
      <c r="D905" s="6" t="s">
        <v>1688</v>
      </c>
      <c r="E905" s="6" t="s">
        <v>1919</v>
      </c>
      <c r="F905" s="6">
        <v>1.0</v>
      </c>
      <c r="G905" s="13">
        <v>617.4</v>
      </c>
      <c r="H905" s="6">
        <v>0.21</v>
      </c>
      <c r="I905" s="6" t="s">
        <v>1965</v>
      </c>
      <c r="J905" s="13">
        <v>487.746</v>
      </c>
      <c r="K905" s="6" t="str">
        <f t="shared" si="1"/>
        <v>Low Earnings</v>
      </c>
    </row>
    <row r="906" ht="14.25" customHeight="1">
      <c r="A906" s="6" t="s">
        <v>2871</v>
      </c>
      <c r="B906" s="17">
        <v>45534.0</v>
      </c>
      <c r="C906" s="6" t="s">
        <v>507</v>
      </c>
      <c r="D906" s="6" t="s">
        <v>1746</v>
      </c>
      <c r="E906" s="6" t="s">
        <v>1897</v>
      </c>
      <c r="F906" s="6">
        <v>3.0</v>
      </c>
      <c r="G906" s="13">
        <v>841.47</v>
      </c>
      <c r="H906" s="6">
        <v>0.15</v>
      </c>
      <c r="I906" s="6" t="s">
        <v>1973</v>
      </c>
      <c r="J906" s="13">
        <v>2145.7485</v>
      </c>
      <c r="K906" s="6" t="str">
        <f t="shared" si="1"/>
        <v>Average Earnings</v>
      </c>
    </row>
    <row r="907" ht="14.25" customHeight="1">
      <c r="A907" s="6" t="s">
        <v>2872</v>
      </c>
      <c r="B907" s="17">
        <v>45334.0</v>
      </c>
      <c r="C907" s="6" t="s">
        <v>229</v>
      </c>
      <c r="D907" s="6" t="s">
        <v>1643</v>
      </c>
      <c r="E907" s="6" t="s">
        <v>1937</v>
      </c>
      <c r="F907" s="6">
        <v>2.0</v>
      </c>
      <c r="G907" s="13">
        <v>960.41</v>
      </c>
      <c r="H907" s="6">
        <v>0.18</v>
      </c>
      <c r="I907" s="6" t="s">
        <v>1965</v>
      </c>
      <c r="J907" s="13">
        <v>1575.0724</v>
      </c>
      <c r="K907" s="6" t="str">
        <f t="shared" si="1"/>
        <v>Average Earnings</v>
      </c>
    </row>
    <row r="908" ht="14.25" customHeight="1">
      <c r="A908" s="6" t="s">
        <v>2873</v>
      </c>
      <c r="B908" s="17">
        <v>45289.0</v>
      </c>
      <c r="C908" s="6" t="s">
        <v>1411</v>
      </c>
      <c r="D908" s="6" t="s">
        <v>1813</v>
      </c>
      <c r="E908" s="6" t="s">
        <v>1950</v>
      </c>
      <c r="F908" s="6">
        <v>3.0</v>
      </c>
      <c r="G908" s="13">
        <v>717.22</v>
      </c>
      <c r="H908" s="6">
        <v>0.24</v>
      </c>
      <c r="I908" s="6" t="s">
        <v>1967</v>
      </c>
      <c r="J908" s="13">
        <v>1635.2616</v>
      </c>
      <c r="K908" s="6" t="str">
        <f t="shared" si="1"/>
        <v>Average Earnings</v>
      </c>
    </row>
    <row r="909" ht="14.25" customHeight="1">
      <c r="A909" s="6" t="s">
        <v>2874</v>
      </c>
      <c r="B909" s="17">
        <v>45832.0</v>
      </c>
      <c r="C909" s="6" t="s">
        <v>410</v>
      </c>
      <c r="D909" s="6" t="s">
        <v>1611</v>
      </c>
      <c r="E909" s="6" t="s">
        <v>1892</v>
      </c>
      <c r="F909" s="6">
        <v>1.0</v>
      </c>
      <c r="G909" s="13">
        <v>281.83</v>
      </c>
      <c r="H909" s="6">
        <v>0.16</v>
      </c>
      <c r="I909" s="6" t="s">
        <v>1973</v>
      </c>
      <c r="J909" s="13">
        <v>236.7372</v>
      </c>
      <c r="K909" s="6" t="str">
        <f t="shared" si="1"/>
        <v>Low Earnings</v>
      </c>
    </row>
    <row r="910" ht="14.25" customHeight="1">
      <c r="A910" s="6" t="s">
        <v>2875</v>
      </c>
      <c r="B910" s="17">
        <v>45400.0</v>
      </c>
      <c r="C910" s="6" t="s">
        <v>678</v>
      </c>
      <c r="D910" s="6" t="s">
        <v>1764</v>
      </c>
      <c r="E910" s="6" t="s">
        <v>1939</v>
      </c>
      <c r="F910" s="6">
        <v>1.0</v>
      </c>
      <c r="G910" s="13">
        <v>509.08</v>
      </c>
      <c r="H910" s="6">
        <v>0.04</v>
      </c>
      <c r="I910" s="6" t="s">
        <v>1967</v>
      </c>
      <c r="J910" s="13">
        <v>488.7168</v>
      </c>
      <c r="K910" s="6" t="str">
        <f t="shared" si="1"/>
        <v>Low Earnings</v>
      </c>
    </row>
    <row r="911" ht="14.25" customHeight="1">
      <c r="A911" s="6" t="s">
        <v>2876</v>
      </c>
      <c r="B911" s="17">
        <v>45930.0</v>
      </c>
      <c r="C911" s="6" t="s">
        <v>1262</v>
      </c>
      <c r="D911" s="6" t="s">
        <v>1876</v>
      </c>
      <c r="E911" s="6" t="s">
        <v>1901</v>
      </c>
      <c r="F911" s="6">
        <v>4.0</v>
      </c>
      <c r="G911" s="13">
        <v>827.09</v>
      </c>
      <c r="H911" s="6">
        <v>0.3</v>
      </c>
      <c r="I911" s="6" t="s">
        <v>1965</v>
      </c>
      <c r="J911" s="13">
        <v>2315.852</v>
      </c>
      <c r="K911" s="6" t="str">
        <f t="shared" si="1"/>
        <v>Average Earnings</v>
      </c>
    </row>
    <row r="912" ht="14.25" customHeight="1">
      <c r="A912" s="6" t="s">
        <v>2877</v>
      </c>
      <c r="B912" s="17">
        <v>45935.0</v>
      </c>
      <c r="C912" s="6" t="s">
        <v>696</v>
      </c>
      <c r="D912" s="6" t="s">
        <v>1669</v>
      </c>
      <c r="E912" s="6" t="s">
        <v>1909</v>
      </c>
      <c r="F912" s="6">
        <v>2.0</v>
      </c>
      <c r="G912" s="13">
        <v>823.36</v>
      </c>
      <c r="H912" s="6">
        <v>0.23</v>
      </c>
      <c r="I912" s="6" t="s">
        <v>1965</v>
      </c>
      <c r="J912" s="13">
        <v>1267.9744</v>
      </c>
      <c r="K912" s="6" t="str">
        <f t="shared" si="1"/>
        <v>Average Earnings</v>
      </c>
    </row>
    <row r="913" ht="14.25" customHeight="1">
      <c r="A913" s="6" t="s">
        <v>2878</v>
      </c>
      <c r="B913" s="17">
        <v>45814.0</v>
      </c>
      <c r="C913" s="6" t="s">
        <v>478</v>
      </c>
      <c r="D913" s="6" t="s">
        <v>1660</v>
      </c>
      <c r="E913" s="6" t="s">
        <v>1913</v>
      </c>
      <c r="F913" s="6">
        <v>4.0</v>
      </c>
      <c r="G913" s="13">
        <v>282.18</v>
      </c>
      <c r="H913" s="6">
        <v>0.13</v>
      </c>
      <c r="I913" s="6" t="s">
        <v>1973</v>
      </c>
      <c r="J913" s="13">
        <v>981.9864</v>
      </c>
      <c r="K913" s="6" t="str">
        <f t="shared" si="1"/>
        <v>Low Earnings</v>
      </c>
    </row>
    <row r="914" ht="14.25" customHeight="1">
      <c r="A914" s="6" t="s">
        <v>2879</v>
      </c>
      <c r="B914" s="17">
        <v>45323.0</v>
      </c>
      <c r="C914" s="6" t="s">
        <v>582</v>
      </c>
      <c r="D914" s="6" t="s">
        <v>1643</v>
      </c>
      <c r="E914" s="6" t="s">
        <v>1897</v>
      </c>
      <c r="F914" s="6">
        <v>1.0</v>
      </c>
      <c r="G914" s="13">
        <v>486.39</v>
      </c>
      <c r="H914" s="6">
        <v>0.09</v>
      </c>
      <c r="I914" s="6" t="s">
        <v>1973</v>
      </c>
      <c r="J914" s="13">
        <v>442.6149</v>
      </c>
      <c r="K914" s="6" t="str">
        <f t="shared" si="1"/>
        <v>Low Earnings</v>
      </c>
    </row>
    <row r="915" ht="14.25" customHeight="1">
      <c r="A915" s="6" t="s">
        <v>2880</v>
      </c>
      <c r="B915" s="17">
        <v>45753.0</v>
      </c>
      <c r="C915" s="6" t="s">
        <v>1251</v>
      </c>
      <c r="D915" s="6" t="s">
        <v>1685</v>
      </c>
      <c r="E915" s="6" t="s">
        <v>1892</v>
      </c>
      <c r="F915" s="6">
        <v>4.0</v>
      </c>
      <c r="G915" s="13">
        <v>741.88</v>
      </c>
      <c r="H915" s="6">
        <v>0.02</v>
      </c>
      <c r="I915" s="6" t="s">
        <v>1973</v>
      </c>
      <c r="J915" s="13">
        <v>2908.1696</v>
      </c>
      <c r="K915" s="6" t="str">
        <f t="shared" si="1"/>
        <v>High Earnings</v>
      </c>
    </row>
    <row r="916" ht="14.25" customHeight="1">
      <c r="A916" s="6" t="s">
        <v>2881</v>
      </c>
      <c r="B916" s="17">
        <v>45312.0</v>
      </c>
      <c r="C916" s="6" t="s">
        <v>180</v>
      </c>
      <c r="D916" s="6" t="s">
        <v>1633</v>
      </c>
      <c r="E916" s="6" t="s">
        <v>1906</v>
      </c>
      <c r="F916" s="6">
        <v>2.0</v>
      </c>
      <c r="G916" s="13">
        <v>603.62</v>
      </c>
      <c r="H916" s="6">
        <v>0.18</v>
      </c>
      <c r="I916" s="6" t="s">
        <v>1973</v>
      </c>
      <c r="J916" s="13">
        <v>989.9368000000001</v>
      </c>
      <c r="K916" s="6" t="str">
        <f t="shared" si="1"/>
        <v>Low Earnings</v>
      </c>
    </row>
    <row r="917" ht="14.25" customHeight="1">
      <c r="A917" s="6" t="s">
        <v>2882</v>
      </c>
      <c r="B917" s="17">
        <v>45554.0</v>
      </c>
      <c r="C917" s="6" t="s">
        <v>507</v>
      </c>
      <c r="D917" s="6" t="s">
        <v>1694</v>
      </c>
      <c r="E917" s="6" t="s">
        <v>1922</v>
      </c>
      <c r="F917" s="6">
        <v>3.0</v>
      </c>
      <c r="G917" s="13">
        <v>204.17</v>
      </c>
      <c r="H917" s="6">
        <v>0.1</v>
      </c>
      <c r="I917" s="6" t="s">
        <v>1967</v>
      </c>
      <c r="J917" s="13">
        <v>551.259</v>
      </c>
      <c r="K917" s="6" t="str">
        <f t="shared" si="1"/>
        <v>Low Earnings</v>
      </c>
    </row>
    <row r="918" ht="14.25" customHeight="1">
      <c r="A918" s="6" t="s">
        <v>2883</v>
      </c>
      <c r="B918" s="17">
        <v>45310.0</v>
      </c>
      <c r="C918" s="6" t="s">
        <v>478</v>
      </c>
      <c r="D918" s="6" t="s">
        <v>1595</v>
      </c>
      <c r="E918" s="6" t="s">
        <v>1941</v>
      </c>
      <c r="F918" s="6">
        <v>1.0</v>
      </c>
      <c r="G918" s="13">
        <v>43.58</v>
      </c>
      <c r="H918" s="6">
        <v>0.01</v>
      </c>
      <c r="I918" s="6" t="s">
        <v>1973</v>
      </c>
      <c r="J918" s="13">
        <v>43.1442</v>
      </c>
      <c r="K918" s="6" t="str">
        <f t="shared" si="1"/>
        <v>Low Earnings</v>
      </c>
    </row>
    <row r="919" ht="14.25" customHeight="1">
      <c r="A919" s="6" t="s">
        <v>2884</v>
      </c>
      <c r="B919" s="17">
        <v>45594.0</v>
      </c>
      <c r="C919" s="6" t="s">
        <v>1059</v>
      </c>
      <c r="D919" s="6" t="s">
        <v>1726</v>
      </c>
      <c r="E919" s="6" t="s">
        <v>1901</v>
      </c>
      <c r="F919" s="6">
        <v>3.0</v>
      </c>
      <c r="G919" s="13">
        <v>469.33</v>
      </c>
      <c r="H919" s="6">
        <v>0.14</v>
      </c>
      <c r="I919" s="6" t="s">
        <v>1967</v>
      </c>
      <c r="J919" s="13">
        <v>1210.8714</v>
      </c>
      <c r="K919" s="6" t="str">
        <f t="shared" si="1"/>
        <v>Average Earnings</v>
      </c>
    </row>
    <row r="920" ht="14.25" customHeight="1">
      <c r="A920" s="6" t="s">
        <v>2885</v>
      </c>
      <c r="B920" s="17">
        <v>45840.0</v>
      </c>
      <c r="C920" s="6" t="s">
        <v>693</v>
      </c>
      <c r="D920" s="6" t="s">
        <v>1595</v>
      </c>
      <c r="E920" s="6" t="s">
        <v>1922</v>
      </c>
      <c r="F920" s="6">
        <v>4.0</v>
      </c>
      <c r="G920" s="13">
        <v>836.23</v>
      </c>
      <c r="H920" s="6">
        <v>0.12</v>
      </c>
      <c r="I920" s="6" t="s">
        <v>1965</v>
      </c>
      <c r="J920" s="13">
        <v>2943.5296</v>
      </c>
      <c r="K920" s="6" t="str">
        <f t="shared" si="1"/>
        <v>High Earnings</v>
      </c>
    </row>
    <row r="921" ht="14.25" customHeight="1">
      <c r="A921" s="6" t="s">
        <v>2886</v>
      </c>
      <c r="B921" s="17">
        <v>45549.0</v>
      </c>
      <c r="C921" s="6" t="s">
        <v>601</v>
      </c>
      <c r="D921" s="6" t="s">
        <v>1788</v>
      </c>
      <c r="E921" s="6" t="s">
        <v>1953</v>
      </c>
      <c r="F921" s="6">
        <v>2.0</v>
      </c>
      <c r="G921" s="13">
        <v>661.53</v>
      </c>
      <c r="H921" s="6">
        <v>0.2</v>
      </c>
      <c r="I921" s="6" t="s">
        <v>1967</v>
      </c>
      <c r="J921" s="13">
        <v>1058.448</v>
      </c>
      <c r="K921" s="6" t="str">
        <f t="shared" si="1"/>
        <v>Average Earnings</v>
      </c>
    </row>
    <row r="922" ht="14.25" customHeight="1">
      <c r="A922" s="6" t="s">
        <v>2887</v>
      </c>
      <c r="B922" s="17">
        <v>45903.0</v>
      </c>
      <c r="C922" s="6" t="s">
        <v>419</v>
      </c>
      <c r="D922" s="6" t="s">
        <v>1755</v>
      </c>
      <c r="E922" s="6" t="s">
        <v>1944</v>
      </c>
      <c r="F922" s="6">
        <v>3.0</v>
      </c>
      <c r="G922" s="13">
        <v>753.47</v>
      </c>
      <c r="H922" s="6">
        <v>0.25</v>
      </c>
      <c r="I922" s="6" t="s">
        <v>1967</v>
      </c>
      <c r="J922" s="13">
        <v>1695.3075</v>
      </c>
      <c r="K922" s="6" t="str">
        <f t="shared" si="1"/>
        <v>Average Earnings</v>
      </c>
    </row>
    <row r="923" ht="14.25" customHeight="1">
      <c r="A923" s="6" t="s">
        <v>2888</v>
      </c>
      <c r="B923" s="17">
        <v>45673.0</v>
      </c>
      <c r="C923" s="6" t="s">
        <v>534</v>
      </c>
      <c r="D923" s="6" t="s">
        <v>1779</v>
      </c>
      <c r="E923" s="6" t="s">
        <v>1892</v>
      </c>
      <c r="F923" s="6">
        <v>3.0</v>
      </c>
      <c r="G923" s="13">
        <v>713.95</v>
      </c>
      <c r="H923" s="6">
        <v>0.0</v>
      </c>
      <c r="I923" s="6" t="s">
        <v>1965</v>
      </c>
      <c r="J923" s="13">
        <v>2141.85</v>
      </c>
      <c r="K923" s="6" t="str">
        <f t="shared" si="1"/>
        <v>Average Earnings</v>
      </c>
    </row>
    <row r="924" ht="14.25" customHeight="1">
      <c r="A924" s="6" t="s">
        <v>2889</v>
      </c>
      <c r="B924" s="17">
        <v>45395.0</v>
      </c>
      <c r="C924" s="6" t="s">
        <v>361</v>
      </c>
      <c r="D924" s="6" t="s">
        <v>1608</v>
      </c>
      <c r="E924" s="6" t="s">
        <v>1913</v>
      </c>
      <c r="F924" s="6">
        <v>3.0</v>
      </c>
      <c r="G924" s="13">
        <v>596.0</v>
      </c>
      <c r="H924" s="6">
        <v>0.28</v>
      </c>
      <c r="I924" s="6" t="s">
        <v>1973</v>
      </c>
      <c r="J924" s="13">
        <v>1287.36</v>
      </c>
      <c r="K924" s="6" t="str">
        <f t="shared" si="1"/>
        <v>Average Earnings</v>
      </c>
    </row>
    <row r="925" ht="14.25" customHeight="1">
      <c r="A925" s="6" t="s">
        <v>2890</v>
      </c>
      <c r="B925" s="17">
        <v>45379.0</v>
      </c>
      <c r="C925" s="6" t="s">
        <v>1065</v>
      </c>
      <c r="D925" s="6" t="s">
        <v>1599</v>
      </c>
      <c r="E925" s="6" t="s">
        <v>1926</v>
      </c>
      <c r="F925" s="6">
        <v>2.0</v>
      </c>
      <c r="G925" s="13">
        <v>169.46</v>
      </c>
      <c r="H925" s="6">
        <v>0.03</v>
      </c>
      <c r="I925" s="6" t="s">
        <v>1967</v>
      </c>
      <c r="J925" s="13">
        <v>328.7524</v>
      </c>
      <c r="K925" s="6" t="str">
        <f t="shared" si="1"/>
        <v>Low Earnings</v>
      </c>
    </row>
    <row r="926" ht="14.25" customHeight="1">
      <c r="A926" s="6" t="s">
        <v>2891</v>
      </c>
      <c r="B926" s="17">
        <v>45594.0</v>
      </c>
      <c r="C926" s="6" t="s">
        <v>142</v>
      </c>
      <c r="D926" s="6" t="s">
        <v>1723</v>
      </c>
      <c r="E926" s="6" t="s">
        <v>1906</v>
      </c>
      <c r="F926" s="6">
        <v>1.0</v>
      </c>
      <c r="G926" s="13">
        <v>547.09</v>
      </c>
      <c r="H926" s="6">
        <v>0.01</v>
      </c>
      <c r="I926" s="6" t="s">
        <v>1967</v>
      </c>
      <c r="J926" s="13">
        <v>541.6191</v>
      </c>
      <c r="K926" s="6" t="str">
        <f t="shared" si="1"/>
        <v>Low Earnings</v>
      </c>
    </row>
    <row r="927" ht="14.25" customHeight="1">
      <c r="A927" s="6" t="s">
        <v>2892</v>
      </c>
      <c r="B927" s="17">
        <v>45860.0</v>
      </c>
      <c r="C927" s="6" t="s">
        <v>963</v>
      </c>
      <c r="D927" s="6" t="s">
        <v>1782</v>
      </c>
      <c r="E927" s="6" t="s">
        <v>1939</v>
      </c>
      <c r="F927" s="6">
        <v>4.0</v>
      </c>
      <c r="G927" s="13">
        <v>611.92</v>
      </c>
      <c r="H927" s="6">
        <v>0.2</v>
      </c>
      <c r="I927" s="6" t="s">
        <v>1967</v>
      </c>
      <c r="J927" s="13">
        <v>1958.144</v>
      </c>
      <c r="K927" s="6" t="str">
        <f t="shared" si="1"/>
        <v>Average Earnings</v>
      </c>
    </row>
    <row r="928" ht="14.25" customHeight="1">
      <c r="A928" s="6" t="s">
        <v>2893</v>
      </c>
      <c r="B928" s="17">
        <v>45704.0</v>
      </c>
      <c r="C928" s="6" t="s">
        <v>30</v>
      </c>
      <c r="D928" s="6" t="s">
        <v>1810</v>
      </c>
      <c r="E928" s="6" t="s">
        <v>1941</v>
      </c>
      <c r="F928" s="6">
        <v>2.0</v>
      </c>
      <c r="G928" s="13">
        <v>25.3</v>
      </c>
      <c r="H928" s="6">
        <v>0.21</v>
      </c>
      <c r="I928" s="6" t="s">
        <v>1965</v>
      </c>
      <c r="J928" s="13">
        <v>39.974</v>
      </c>
      <c r="K928" s="6" t="str">
        <f t="shared" si="1"/>
        <v>Low Earnings</v>
      </c>
    </row>
    <row r="929" ht="14.25" customHeight="1">
      <c r="A929" s="6" t="s">
        <v>2894</v>
      </c>
      <c r="B929" s="17">
        <v>45327.0</v>
      </c>
      <c r="C929" s="6" t="s">
        <v>1359</v>
      </c>
      <c r="D929" s="6" t="s">
        <v>1807</v>
      </c>
      <c r="E929" s="6" t="s">
        <v>1929</v>
      </c>
      <c r="F929" s="6">
        <v>4.0</v>
      </c>
      <c r="G929" s="13">
        <v>166.93</v>
      </c>
      <c r="H929" s="6">
        <v>0.02</v>
      </c>
      <c r="I929" s="6" t="s">
        <v>1967</v>
      </c>
      <c r="J929" s="13">
        <v>654.3656</v>
      </c>
      <c r="K929" s="6" t="str">
        <f t="shared" si="1"/>
        <v>Low Earnings</v>
      </c>
    </row>
    <row r="930" ht="14.25" customHeight="1">
      <c r="A930" s="6" t="s">
        <v>2895</v>
      </c>
      <c r="B930" s="17">
        <v>45721.0</v>
      </c>
      <c r="C930" s="6" t="s">
        <v>905</v>
      </c>
      <c r="D930" s="6" t="s">
        <v>1767</v>
      </c>
      <c r="E930" s="6" t="s">
        <v>1932</v>
      </c>
      <c r="F930" s="6">
        <v>4.0</v>
      </c>
      <c r="G930" s="13">
        <v>861.55</v>
      </c>
      <c r="H930" s="6">
        <v>0.12</v>
      </c>
      <c r="I930" s="6" t="s">
        <v>1965</v>
      </c>
      <c r="J930" s="13">
        <v>3032.656</v>
      </c>
      <c r="K930" s="6" t="str">
        <f t="shared" si="1"/>
        <v>High Earnings</v>
      </c>
    </row>
    <row r="931" ht="14.25" customHeight="1">
      <c r="A931" s="6" t="s">
        <v>2896</v>
      </c>
      <c r="B931" s="17">
        <v>45842.0</v>
      </c>
      <c r="C931" s="6" t="s">
        <v>1143</v>
      </c>
      <c r="D931" s="6" t="s">
        <v>1714</v>
      </c>
      <c r="E931" s="6" t="s">
        <v>1913</v>
      </c>
      <c r="F931" s="6">
        <v>3.0</v>
      </c>
      <c r="G931" s="13">
        <v>56.17</v>
      </c>
      <c r="H931" s="6">
        <v>0.01</v>
      </c>
      <c r="I931" s="6" t="s">
        <v>1973</v>
      </c>
      <c r="J931" s="13">
        <v>166.8249</v>
      </c>
      <c r="K931" s="6" t="str">
        <f t="shared" si="1"/>
        <v>Low Earnings</v>
      </c>
    </row>
    <row r="932" ht="14.25" customHeight="1">
      <c r="A932" s="6" t="s">
        <v>2897</v>
      </c>
      <c r="B932" s="17">
        <v>45862.0</v>
      </c>
      <c r="C932" s="6" t="s">
        <v>864</v>
      </c>
      <c r="D932" s="6" t="s">
        <v>1622</v>
      </c>
      <c r="E932" s="6" t="s">
        <v>1953</v>
      </c>
      <c r="F932" s="6">
        <v>1.0</v>
      </c>
      <c r="G932" s="13">
        <v>582.29</v>
      </c>
      <c r="H932" s="6">
        <v>0.2</v>
      </c>
      <c r="I932" s="6" t="s">
        <v>1965</v>
      </c>
      <c r="J932" s="13">
        <v>465.832</v>
      </c>
      <c r="K932" s="6" t="str">
        <f t="shared" si="1"/>
        <v>Low Earnings</v>
      </c>
    </row>
    <row r="933" ht="14.25" customHeight="1">
      <c r="A933" s="6" t="s">
        <v>2898</v>
      </c>
      <c r="B933" s="17">
        <v>45681.0</v>
      </c>
      <c r="C933" s="6" t="s">
        <v>848</v>
      </c>
      <c r="D933" s="6" t="s">
        <v>1837</v>
      </c>
      <c r="E933" s="6" t="s">
        <v>1892</v>
      </c>
      <c r="F933" s="6">
        <v>3.0</v>
      </c>
      <c r="G933" s="13">
        <v>63.96</v>
      </c>
      <c r="H933" s="6">
        <v>0.02</v>
      </c>
      <c r="I933" s="6" t="s">
        <v>1965</v>
      </c>
      <c r="J933" s="13">
        <v>188.0424</v>
      </c>
      <c r="K933" s="6" t="str">
        <f t="shared" si="1"/>
        <v>Low Earnings</v>
      </c>
    </row>
    <row r="934" ht="14.25" customHeight="1">
      <c r="A934" s="6" t="s">
        <v>2899</v>
      </c>
      <c r="B934" s="17">
        <v>45392.0</v>
      </c>
      <c r="C934" s="6" t="s">
        <v>249</v>
      </c>
      <c r="D934" s="6" t="s">
        <v>1599</v>
      </c>
      <c r="E934" s="6" t="s">
        <v>1934</v>
      </c>
      <c r="F934" s="6">
        <v>1.0</v>
      </c>
      <c r="G934" s="13">
        <v>829.83</v>
      </c>
      <c r="H934" s="6">
        <v>0.26</v>
      </c>
      <c r="I934" s="6" t="s">
        <v>1973</v>
      </c>
      <c r="J934" s="13">
        <v>614.0742</v>
      </c>
      <c r="K934" s="6" t="str">
        <f t="shared" si="1"/>
        <v>Low Earnings</v>
      </c>
    </row>
    <row r="935" ht="14.25" customHeight="1">
      <c r="A935" s="6" t="s">
        <v>2900</v>
      </c>
      <c r="B935" s="17">
        <v>45586.0</v>
      </c>
      <c r="C935" s="6" t="s">
        <v>1173</v>
      </c>
      <c r="D935" s="6" t="s">
        <v>1685</v>
      </c>
      <c r="E935" s="6" t="s">
        <v>1944</v>
      </c>
      <c r="F935" s="6">
        <v>2.0</v>
      </c>
      <c r="G935" s="13">
        <v>858.15</v>
      </c>
      <c r="H935" s="6">
        <v>0.03</v>
      </c>
      <c r="I935" s="6" t="s">
        <v>1965</v>
      </c>
      <c r="J935" s="13">
        <v>1664.811</v>
      </c>
      <c r="K935" s="6" t="str">
        <f t="shared" si="1"/>
        <v>Average Earnings</v>
      </c>
    </row>
    <row r="936" ht="14.25" customHeight="1">
      <c r="A936" s="6" t="s">
        <v>2901</v>
      </c>
      <c r="B936" s="17">
        <v>45340.0</v>
      </c>
      <c r="C936" s="6" t="s">
        <v>1140</v>
      </c>
      <c r="D936" s="6" t="s">
        <v>1807</v>
      </c>
      <c r="E936" s="6" t="s">
        <v>1937</v>
      </c>
      <c r="F936" s="6">
        <v>3.0</v>
      </c>
      <c r="G936" s="13">
        <v>717.32</v>
      </c>
      <c r="H936" s="6">
        <v>0.23</v>
      </c>
      <c r="I936" s="6" t="s">
        <v>1973</v>
      </c>
      <c r="J936" s="13">
        <v>1657.0092</v>
      </c>
      <c r="K936" s="6" t="str">
        <f t="shared" si="1"/>
        <v>Average Earnings</v>
      </c>
    </row>
    <row r="937" ht="14.25" customHeight="1">
      <c r="A937" s="6" t="s">
        <v>2902</v>
      </c>
      <c r="B937" s="17">
        <v>45686.0</v>
      </c>
      <c r="C937" s="6" t="s">
        <v>1520</v>
      </c>
      <c r="D937" s="6" t="s">
        <v>1855</v>
      </c>
      <c r="E937" s="6" t="s">
        <v>1906</v>
      </c>
      <c r="F937" s="6">
        <v>1.0</v>
      </c>
      <c r="G937" s="13">
        <v>789.35</v>
      </c>
      <c r="H937" s="6">
        <v>0.14</v>
      </c>
      <c r="I937" s="6" t="s">
        <v>1967</v>
      </c>
      <c r="J937" s="13">
        <v>678.841</v>
      </c>
      <c r="K937" s="6" t="str">
        <f t="shared" si="1"/>
        <v>Low Earnings</v>
      </c>
    </row>
    <row r="938" ht="14.25" customHeight="1">
      <c r="A938" s="6" t="s">
        <v>2903</v>
      </c>
      <c r="B938" s="17">
        <v>45853.0</v>
      </c>
      <c r="C938" s="6" t="s">
        <v>1344</v>
      </c>
      <c r="D938" s="6" t="s">
        <v>1837</v>
      </c>
      <c r="E938" s="6" t="s">
        <v>1934</v>
      </c>
      <c r="F938" s="6">
        <v>1.0</v>
      </c>
      <c r="G938" s="13">
        <v>163.2</v>
      </c>
      <c r="H938" s="6">
        <v>0.22</v>
      </c>
      <c r="I938" s="6" t="s">
        <v>1967</v>
      </c>
      <c r="J938" s="13">
        <v>127.296</v>
      </c>
      <c r="K938" s="6" t="str">
        <f t="shared" si="1"/>
        <v>Low Earnings</v>
      </c>
    </row>
    <row r="939" ht="14.25" customHeight="1">
      <c r="A939" s="6" t="s">
        <v>2904</v>
      </c>
      <c r="B939" s="17">
        <v>45489.0</v>
      </c>
      <c r="C939" s="6" t="s">
        <v>444</v>
      </c>
      <c r="D939" s="6" t="s">
        <v>1831</v>
      </c>
      <c r="E939" s="6" t="s">
        <v>1934</v>
      </c>
      <c r="F939" s="6">
        <v>2.0</v>
      </c>
      <c r="G939" s="13">
        <v>966.71</v>
      </c>
      <c r="H939" s="6">
        <v>0.11</v>
      </c>
      <c r="I939" s="6" t="s">
        <v>1965</v>
      </c>
      <c r="J939" s="13">
        <v>1720.7438</v>
      </c>
      <c r="K939" s="6" t="str">
        <f t="shared" si="1"/>
        <v>Average Earnings</v>
      </c>
    </row>
    <row r="940" ht="14.25" customHeight="1">
      <c r="A940" s="6" t="s">
        <v>2905</v>
      </c>
      <c r="B940" s="17">
        <v>45761.0</v>
      </c>
      <c r="C940" s="6" t="s">
        <v>1107</v>
      </c>
      <c r="D940" s="6" t="s">
        <v>1688</v>
      </c>
      <c r="E940" s="6" t="s">
        <v>1937</v>
      </c>
      <c r="F940" s="6">
        <v>2.0</v>
      </c>
      <c r="G940" s="13">
        <v>873.94</v>
      </c>
      <c r="H940" s="6">
        <v>0.14</v>
      </c>
      <c r="I940" s="6" t="s">
        <v>1973</v>
      </c>
      <c r="J940" s="13">
        <v>1503.1768</v>
      </c>
      <c r="K940" s="6" t="str">
        <f t="shared" si="1"/>
        <v>Average Earnings</v>
      </c>
    </row>
    <row r="941" ht="14.25" customHeight="1">
      <c r="A941" s="6" t="s">
        <v>2906</v>
      </c>
      <c r="B941" s="17">
        <v>45379.0</v>
      </c>
      <c r="C941" s="6" t="s">
        <v>513</v>
      </c>
      <c r="D941" s="6" t="s">
        <v>1560</v>
      </c>
      <c r="E941" s="6" t="s">
        <v>1906</v>
      </c>
      <c r="F941" s="6">
        <v>1.0</v>
      </c>
      <c r="G941" s="13">
        <v>140.24</v>
      </c>
      <c r="H941" s="6">
        <v>0.27</v>
      </c>
      <c r="I941" s="6" t="s">
        <v>1965</v>
      </c>
      <c r="J941" s="13">
        <v>102.3752</v>
      </c>
      <c r="K941" s="6" t="str">
        <f t="shared" si="1"/>
        <v>Low Earnings</v>
      </c>
    </row>
    <row r="942" ht="14.25" customHeight="1">
      <c r="A942" s="6" t="s">
        <v>2907</v>
      </c>
      <c r="B942" s="17">
        <v>45716.0</v>
      </c>
      <c r="C942" s="6" t="s">
        <v>669</v>
      </c>
      <c r="D942" s="6" t="s">
        <v>1714</v>
      </c>
      <c r="E942" s="6" t="s">
        <v>1913</v>
      </c>
      <c r="F942" s="6">
        <v>2.0</v>
      </c>
      <c r="G942" s="13">
        <v>549.92</v>
      </c>
      <c r="H942" s="6">
        <v>0.28</v>
      </c>
      <c r="I942" s="6" t="s">
        <v>1965</v>
      </c>
      <c r="J942" s="13">
        <v>791.8847999999999</v>
      </c>
      <c r="K942" s="6" t="str">
        <f t="shared" si="1"/>
        <v>Low Earnings</v>
      </c>
    </row>
    <row r="943" ht="14.25" customHeight="1">
      <c r="A943" s="6" t="s">
        <v>2908</v>
      </c>
      <c r="B943" s="17">
        <v>45364.0</v>
      </c>
      <c r="C943" s="6" t="s">
        <v>398</v>
      </c>
      <c r="D943" s="6" t="s">
        <v>1630</v>
      </c>
      <c r="E943" s="6" t="s">
        <v>1913</v>
      </c>
      <c r="F943" s="6">
        <v>4.0</v>
      </c>
      <c r="G943" s="13">
        <v>715.88</v>
      </c>
      <c r="H943" s="6">
        <v>0.19</v>
      </c>
      <c r="I943" s="6" t="s">
        <v>1967</v>
      </c>
      <c r="J943" s="13">
        <v>2319.4512</v>
      </c>
      <c r="K943" s="6" t="str">
        <f t="shared" si="1"/>
        <v>Average Earnings</v>
      </c>
    </row>
    <row r="944" ht="14.25" customHeight="1">
      <c r="A944" s="6" t="s">
        <v>2909</v>
      </c>
      <c r="B944" s="17">
        <v>45752.0</v>
      </c>
      <c r="C944" s="6" t="s">
        <v>1176</v>
      </c>
      <c r="D944" s="6" t="s">
        <v>1570</v>
      </c>
      <c r="E944" s="6" t="s">
        <v>1922</v>
      </c>
      <c r="F944" s="6">
        <v>3.0</v>
      </c>
      <c r="G944" s="13">
        <v>591.9</v>
      </c>
      <c r="H944" s="6">
        <v>0.27</v>
      </c>
      <c r="I944" s="6" t="s">
        <v>1965</v>
      </c>
      <c r="J944" s="13">
        <v>1296.261</v>
      </c>
      <c r="K944" s="6" t="str">
        <f t="shared" si="1"/>
        <v>Average Earnings</v>
      </c>
    </row>
    <row r="945" ht="14.25" customHeight="1">
      <c r="A945" s="6" t="s">
        <v>2910</v>
      </c>
      <c r="B945" s="17">
        <v>45883.0</v>
      </c>
      <c r="C945" s="6" t="s">
        <v>1188</v>
      </c>
      <c r="D945" s="6" t="s">
        <v>1647</v>
      </c>
      <c r="E945" s="6" t="s">
        <v>1929</v>
      </c>
      <c r="F945" s="6">
        <v>2.0</v>
      </c>
      <c r="G945" s="13">
        <v>523.14</v>
      </c>
      <c r="H945" s="6">
        <v>0.13</v>
      </c>
      <c r="I945" s="6" t="s">
        <v>1967</v>
      </c>
      <c r="J945" s="13">
        <v>910.2636</v>
      </c>
      <c r="K945" s="6" t="str">
        <f t="shared" si="1"/>
        <v>Low Earnings</v>
      </c>
    </row>
    <row r="946" ht="14.25" customHeight="1">
      <c r="A946" s="6" t="s">
        <v>2911</v>
      </c>
      <c r="B946" s="17">
        <v>45477.0</v>
      </c>
      <c r="C946" s="6" t="s">
        <v>745</v>
      </c>
      <c r="D946" s="6" t="s">
        <v>1795</v>
      </c>
      <c r="E946" s="6" t="s">
        <v>1939</v>
      </c>
      <c r="F946" s="6">
        <v>2.0</v>
      </c>
      <c r="G946" s="13">
        <v>478.62</v>
      </c>
      <c r="H946" s="6">
        <v>0.17</v>
      </c>
      <c r="I946" s="6" t="s">
        <v>1973</v>
      </c>
      <c r="J946" s="13">
        <v>794.5092</v>
      </c>
      <c r="K946" s="6" t="str">
        <f t="shared" si="1"/>
        <v>Low Earnings</v>
      </c>
    </row>
    <row r="947" ht="14.25" customHeight="1">
      <c r="A947" s="6" t="s">
        <v>2912</v>
      </c>
      <c r="B947" s="17">
        <v>45556.0</v>
      </c>
      <c r="C947" s="6" t="s">
        <v>960</v>
      </c>
      <c r="D947" s="6" t="s">
        <v>1834</v>
      </c>
      <c r="E947" s="6" t="s">
        <v>1897</v>
      </c>
      <c r="F947" s="6">
        <v>4.0</v>
      </c>
      <c r="G947" s="13">
        <v>740.5</v>
      </c>
      <c r="H947" s="6">
        <v>0.17</v>
      </c>
      <c r="I947" s="6" t="s">
        <v>1967</v>
      </c>
      <c r="J947" s="13">
        <v>2458.46</v>
      </c>
      <c r="K947" s="6" t="str">
        <f t="shared" si="1"/>
        <v>Average Earnings</v>
      </c>
    </row>
    <row r="948" ht="14.25" customHeight="1">
      <c r="A948" s="6" t="s">
        <v>2913</v>
      </c>
      <c r="B948" s="17">
        <v>45354.0</v>
      </c>
      <c r="C948" s="6" t="s">
        <v>1344</v>
      </c>
      <c r="D948" s="6" t="s">
        <v>1776</v>
      </c>
      <c r="E948" s="6" t="s">
        <v>1906</v>
      </c>
      <c r="F948" s="6">
        <v>3.0</v>
      </c>
      <c r="G948" s="13">
        <v>476.78</v>
      </c>
      <c r="H948" s="6">
        <v>0.09</v>
      </c>
      <c r="I948" s="6" t="s">
        <v>1973</v>
      </c>
      <c r="J948" s="13">
        <v>1301.6094</v>
      </c>
      <c r="K948" s="6" t="str">
        <f t="shared" si="1"/>
        <v>Average Earnings</v>
      </c>
    </row>
    <row r="949" ht="14.25" customHeight="1">
      <c r="A949" s="6" t="s">
        <v>2914</v>
      </c>
      <c r="B949" s="17">
        <v>45465.0</v>
      </c>
      <c r="C949" s="6" t="s">
        <v>401</v>
      </c>
      <c r="D949" s="6" t="s">
        <v>1723</v>
      </c>
      <c r="E949" s="6" t="s">
        <v>1901</v>
      </c>
      <c r="F949" s="6">
        <v>1.0</v>
      </c>
      <c r="G949" s="13">
        <v>780.24</v>
      </c>
      <c r="H949" s="6">
        <v>0.04</v>
      </c>
      <c r="I949" s="6" t="s">
        <v>1973</v>
      </c>
      <c r="J949" s="13">
        <v>749.0304</v>
      </c>
      <c r="K949" s="6" t="str">
        <f t="shared" si="1"/>
        <v>Low Earnings</v>
      </c>
    </row>
    <row r="950" ht="14.25" customHeight="1">
      <c r="A950" s="6" t="s">
        <v>2915</v>
      </c>
      <c r="B950" s="17">
        <v>45552.0</v>
      </c>
      <c r="C950" s="6" t="s">
        <v>386</v>
      </c>
      <c r="D950" s="6" t="s">
        <v>1798</v>
      </c>
      <c r="E950" s="6" t="s">
        <v>1944</v>
      </c>
      <c r="F950" s="6">
        <v>4.0</v>
      </c>
      <c r="G950" s="13">
        <v>579.24</v>
      </c>
      <c r="H950" s="6">
        <v>0.04</v>
      </c>
      <c r="I950" s="6" t="s">
        <v>1973</v>
      </c>
      <c r="J950" s="13">
        <v>2224.2816</v>
      </c>
      <c r="K950" s="6" t="str">
        <f t="shared" si="1"/>
        <v>Average Earnings</v>
      </c>
    </row>
    <row r="951" ht="14.25" customHeight="1">
      <c r="A951" s="6" t="s">
        <v>2916</v>
      </c>
      <c r="B951" s="17">
        <v>45635.0</v>
      </c>
      <c r="C951" s="6" t="s">
        <v>1176</v>
      </c>
      <c r="D951" s="6" t="s">
        <v>1565</v>
      </c>
      <c r="E951" s="6" t="s">
        <v>1901</v>
      </c>
      <c r="F951" s="6">
        <v>3.0</v>
      </c>
      <c r="G951" s="13">
        <v>268.95</v>
      </c>
      <c r="H951" s="6">
        <v>0.04</v>
      </c>
      <c r="I951" s="6" t="s">
        <v>1967</v>
      </c>
      <c r="J951" s="13">
        <v>774.5759999999999</v>
      </c>
      <c r="K951" s="6" t="str">
        <f t="shared" si="1"/>
        <v>Low Earnings</v>
      </c>
    </row>
    <row r="952" ht="14.25" customHeight="1">
      <c r="A952" s="6" t="s">
        <v>2917</v>
      </c>
      <c r="B952" s="17">
        <v>45740.0</v>
      </c>
      <c r="C952" s="6" t="s">
        <v>978</v>
      </c>
      <c r="D952" s="6" t="s">
        <v>1581</v>
      </c>
      <c r="E952" s="6" t="s">
        <v>1909</v>
      </c>
      <c r="F952" s="6">
        <v>1.0</v>
      </c>
      <c r="G952" s="13">
        <v>47.47</v>
      </c>
      <c r="H952" s="6">
        <v>0.28</v>
      </c>
      <c r="I952" s="6" t="s">
        <v>1965</v>
      </c>
      <c r="J952" s="13">
        <v>34.1784</v>
      </c>
      <c r="K952" s="6" t="str">
        <f t="shared" si="1"/>
        <v>Low Earnings</v>
      </c>
    </row>
    <row r="953" ht="14.25" customHeight="1">
      <c r="A953" s="6" t="s">
        <v>2918</v>
      </c>
      <c r="B953" s="17">
        <v>45796.0</v>
      </c>
      <c r="C953" s="6" t="s">
        <v>836</v>
      </c>
      <c r="D953" s="6" t="s">
        <v>1682</v>
      </c>
      <c r="E953" s="6" t="s">
        <v>1947</v>
      </c>
      <c r="F953" s="6">
        <v>3.0</v>
      </c>
      <c r="G953" s="13">
        <v>858.81</v>
      </c>
      <c r="H953" s="6">
        <v>0.07</v>
      </c>
      <c r="I953" s="6" t="s">
        <v>1965</v>
      </c>
      <c r="J953" s="13">
        <v>2396.0799</v>
      </c>
      <c r="K953" s="6" t="str">
        <f t="shared" si="1"/>
        <v>Average Earnings</v>
      </c>
    </row>
    <row r="954" ht="14.25" customHeight="1">
      <c r="A954" s="6" t="s">
        <v>2919</v>
      </c>
      <c r="B954" s="17">
        <v>45710.0</v>
      </c>
      <c r="C954" s="6" t="s">
        <v>993</v>
      </c>
      <c r="D954" s="6" t="s">
        <v>1636</v>
      </c>
      <c r="E954" s="6" t="s">
        <v>1929</v>
      </c>
      <c r="F954" s="6">
        <v>3.0</v>
      </c>
      <c r="G954" s="13">
        <v>569.98</v>
      </c>
      <c r="H954" s="6">
        <v>0.05</v>
      </c>
      <c r="I954" s="6" t="s">
        <v>1965</v>
      </c>
      <c r="J954" s="13">
        <v>1624.443</v>
      </c>
      <c r="K954" s="6" t="str">
        <f t="shared" si="1"/>
        <v>Average Earnings</v>
      </c>
    </row>
    <row r="955" ht="14.25" customHeight="1">
      <c r="A955" s="6" t="s">
        <v>2920</v>
      </c>
      <c r="B955" s="17">
        <v>45596.0</v>
      </c>
      <c r="C955" s="6" t="s">
        <v>1044</v>
      </c>
      <c r="D955" s="6" t="s">
        <v>1810</v>
      </c>
      <c r="E955" s="6" t="s">
        <v>1934</v>
      </c>
      <c r="F955" s="6">
        <v>3.0</v>
      </c>
      <c r="G955" s="13">
        <v>306.52</v>
      </c>
      <c r="H955" s="6">
        <v>0.01</v>
      </c>
      <c r="I955" s="6" t="s">
        <v>1973</v>
      </c>
      <c r="J955" s="13">
        <v>910.3643999999999</v>
      </c>
      <c r="K955" s="6" t="str">
        <f t="shared" si="1"/>
        <v>Low Earnings</v>
      </c>
    </row>
    <row r="956" ht="14.25" customHeight="1">
      <c r="A956" s="6" t="s">
        <v>2921</v>
      </c>
      <c r="B956" s="17">
        <v>45354.0</v>
      </c>
      <c r="C956" s="6" t="s">
        <v>246</v>
      </c>
      <c r="D956" s="6" t="s">
        <v>1755</v>
      </c>
      <c r="E956" s="6" t="s">
        <v>1937</v>
      </c>
      <c r="F956" s="6">
        <v>3.0</v>
      </c>
      <c r="G956" s="13">
        <v>184.67</v>
      </c>
      <c r="H956" s="6">
        <v>0.03</v>
      </c>
      <c r="I956" s="6" t="s">
        <v>1973</v>
      </c>
      <c r="J956" s="13">
        <v>537.3897</v>
      </c>
      <c r="K956" s="6" t="str">
        <f t="shared" si="1"/>
        <v>Low Earnings</v>
      </c>
    </row>
    <row r="957" ht="14.25" customHeight="1">
      <c r="A957" s="6" t="s">
        <v>2922</v>
      </c>
      <c r="B957" s="17">
        <v>45428.0</v>
      </c>
      <c r="C957" s="6" t="s">
        <v>1500</v>
      </c>
      <c r="D957" s="6" t="s">
        <v>1660</v>
      </c>
      <c r="E957" s="6" t="s">
        <v>1913</v>
      </c>
      <c r="F957" s="6">
        <v>4.0</v>
      </c>
      <c r="G957" s="13">
        <v>189.56</v>
      </c>
      <c r="H957" s="6">
        <v>0.0</v>
      </c>
      <c r="I957" s="6" t="s">
        <v>1973</v>
      </c>
      <c r="J957" s="13">
        <v>758.24</v>
      </c>
      <c r="K957" s="6" t="str">
        <f t="shared" si="1"/>
        <v>Low Earnings</v>
      </c>
    </row>
    <row r="958" ht="14.25" customHeight="1">
      <c r="A958" s="6" t="s">
        <v>2923</v>
      </c>
      <c r="B958" s="17">
        <v>45511.0</v>
      </c>
      <c r="C958" s="6" t="s">
        <v>690</v>
      </c>
      <c r="D958" s="6" t="s">
        <v>1813</v>
      </c>
      <c r="E958" s="6" t="s">
        <v>1913</v>
      </c>
      <c r="F958" s="6">
        <v>1.0</v>
      </c>
      <c r="G958" s="13">
        <v>805.24</v>
      </c>
      <c r="H958" s="6">
        <v>0.04</v>
      </c>
      <c r="I958" s="6" t="s">
        <v>1967</v>
      </c>
      <c r="J958" s="13">
        <v>773.0304</v>
      </c>
      <c r="K958" s="6" t="str">
        <f t="shared" si="1"/>
        <v>Low Earnings</v>
      </c>
    </row>
    <row r="959" ht="14.25" customHeight="1">
      <c r="A959" s="6" t="s">
        <v>2924</v>
      </c>
      <c r="B959" s="17">
        <v>45600.0</v>
      </c>
      <c r="C959" s="6" t="s">
        <v>1416</v>
      </c>
      <c r="D959" s="6" t="s">
        <v>1825</v>
      </c>
      <c r="E959" s="6" t="s">
        <v>1950</v>
      </c>
      <c r="F959" s="6">
        <v>2.0</v>
      </c>
      <c r="G959" s="13">
        <v>504.26</v>
      </c>
      <c r="H959" s="6">
        <v>0.04</v>
      </c>
      <c r="I959" s="6" t="s">
        <v>1967</v>
      </c>
      <c r="J959" s="13">
        <v>968.1791999999999</v>
      </c>
      <c r="K959" s="6" t="str">
        <f t="shared" si="1"/>
        <v>Low Earnings</v>
      </c>
    </row>
    <row r="960" ht="14.25" customHeight="1">
      <c r="A960" s="6" t="s">
        <v>2925</v>
      </c>
      <c r="B960" s="17">
        <v>45549.0</v>
      </c>
      <c r="C960" s="6" t="s">
        <v>631</v>
      </c>
      <c r="D960" s="6" t="s">
        <v>1749</v>
      </c>
      <c r="E960" s="6" t="s">
        <v>1947</v>
      </c>
      <c r="F960" s="6">
        <v>3.0</v>
      </c>
      <c r="G960" s="13">
        <v>683.74</v>
      </c>
      <c r="H960" s="6">
        <v>0.24</v>
      </c>
      <c r="I960" s="6" t="s">
        <v>1965</v>
      </c>
      <c r="J960" s="13">
        <v>1558.9272</v>
      </c>
      <c r="K960" s="6" t="str">
        <f t="shared" si="1"/>
        <v>Average Earnings</v>
      </c>
    </row>
    <row r="961" ht="14.25" customHeight="1">
      <c r="A961" s="6" t="s">
        <v>2926</v>
      </c>
      <c r="B961" s="17">
        <v>45573.0</v>
      </c>
      <c r="C961" s="6" t="s">
        <v>696</v>
      </c>
      <c r="D961" s="6" t="s">
        <v>1755</v>
      </c>
      <c r="E961" s="6" t="s">
        <v>1950</v>
      </c>
      <c r="F961" s="6">
        <v>3.0</v>
      </c>
      <c r="G961" s="13">
        <v>439.21</v>
      </c>
      <c r="H961" s="6">
        <v>0.28</v>
      </c>
      <c r="I961" s="6" t="s">
        <v>1973</v>
      </c>
      <c r="J961" s="13">
        <v>948.6935999999998</v>
      </c>
      <c r="K961" s="6" t="str">
        <f t="shared" si="1"/>
        <v>Low Earnings</v>
      </c>
    </row>
    <row r="962" ht="14.25" customHeight="1">
      <c r="A962" s="6" t="s">
        <v>2927</v>
      </c>
      <c r="B962" s="17">
        <v>45904.0</v>
      </c>
      <c r="C962" s="6" t="s">
        <v>422</v>
      </c>
      <c r="D962" s="6" t="s">
        <v>1785</v>
      </c>
      <c r="E962" s="6" t="s">
        <v>1916</v>
      </c>
      <c r="F962" s="6">
        <v>1.0</v>
      </c>
      <c r="G962" s="13">
        <v>126.92</v>
      </c>
      <c r="H962" s="6">
        <v>0.24</v>
      </c>
      <c r="I962" s="6" t="s">
        <v>1973</v>
      </c>
      <c r="J962" s="13">
        <v>96.4592</v>
      </c>
      <c r="K962" s="6" t="str">
        <f t="shared" si="1"/>
        <v>Low Earnings</v>
      </c>
    </row>
    <row r="963" ht="14.25" customHeight="1">
      <c r="A963" s="6" t="s">
        <v>2928</v>
      </c>
      <c r="B963" s="17">
        <v>45489.0</v>
      </c>
      <c r="C963" s="6" t="s">
        <v>35</v>
      </c>
      <c r="D963" s="6" t="s">
        <v>1807</v>
      </c>
      <c r="E963" s="6" t="s">
        <v>1909</v>
      </c>
      <c r="F963" s="6">
        <v>4.0</v>
      </c>
      <c r="G963" s="13">
        <v>834.7</v>
      </c>
      <c r="H963" s="6">
        <v>0.14</v>
      </c>
      <c r="I963" s="6" t="s">
        <v>1965</v>
      </c>
      <c r="J963" s="13">
        <v>2871.368</v>
      </c>
      <c r="K963" s="6" t="str">
        <f t="shared" si="1"/>
        <v>High Earnings</v>
      </c>
    </row>
    <row r="964" ht="14.25" customHeight="1">
      <c r="A964" s="6" t="s">
        <v>2929</v>
      </c>
      <c r="B964" s="17">
        <v>45909.0</v>
      </c>
      <c r="C964" s="6" t="s">
        <v>1086</v>
      </c>
      <c r="D964" s="6" t="s">
        <v>1711</v>
      </c>
      <c r="E964" s="6" t="s">
        <v>1932</v>
      </c>
      <c r="F964" s="6">
        <v>2.0</v>
      </c>
      <c r="G964" s="13">
        <v>271.88</v>
      </c>
      <c r="H964" s="6">
        <v>0.11</v>
      </c>
      <c r="I964" s="6" t="s">
        <v>1973</v>
      </c>
      <c r="J964" s="13">
        <v>483.9464</v>
      </c>
      <c r="K964" s="6" t="str">
        <f t="shared" si="1"/>
        <v>Low Earnings</v>
      </c>
    </row>
    <row r="965" ht="14.25" customHeight="1">
      <c r="A965" s="6" t="s">
        <v>2930</v>
      </c>
      <c r="B965" s="17">
        <v>45720.0</v>
      </c>
      <c r="C965" s="6" t="s">
        <v>1494</v>
      </c>
      <c r="D965" s="6" t="s">
        <v>1608</v>
      </c>
      <c r="E965" s="6" t="s">
        <v>1897</v>
      </c>
      <c r="F965" s="6">
        <v>4.0</v>
      </c>
      <c r="G965" s="13">
        <v>972.14</v>
      </c>
      <c r="H965" s="6">
        <v>0.25</v>
      </c>
      <c r="I965" s="6" t="s">
        <v>1965</v>
      </c>
      <c r="J965" s="13">
        <v>2916.42</v>
      </c>
      <c r="K965" s="6" t="str">
        <f t="shared" si="1"/>
        <v>High Earnings</v>
      </c>
    </row>
    <row r="966" ht="14.25" customHeight="1">
      <c r="A966" s="6" t="s">
        <v>2931</v>
      </c>
      <c r="B966" s="17">
        <v>45831.0</v>
      </c>
      <c r="C966" s="6" t="s">
        <v>343</v>
      </c>
      <c r="D966" s="6" t="s">
        <v>1714</v>
      </c>
      <c r="E966" s="6" t="s">
        <v>1909</v>
      </c>
      <c r="F966" s="6">
        <v>3.0</v>
      </c>
      <c r="G966" s="13">
        <v>523.66</v>
      </c>
      <c r="H966" s="6">
        <v>0.27</v>
      </c>
      <c r="I966" s="6" t="s">
        <v>1967</v>
      </c>
      <c r="J966" s="13">
        <v>1146.8154</v>
      </c>
      <c r="K966" s="6" t="str">
        <f t="shared" si="1"/>
        <v>Average Earnings</v>
      </c>
    </row>
    <row r="967" ht="14.25" customHeight="1">
      <c r="A967" s="6" t="s">
        <v>2932</v>
      </c>
      <c r="B967" s="17">
        <v>45602.0</v>
      </c>
      <c r="C967" s="6" t="s">
        <v>510</v>
      </c>
      <c r="D967" s="6" t="s">
        <v>1779</v>
      </c>
      <c r="E967" s="6" t="s">
        <v>1901</v>
      </c>
      <c r="F967" s="6">
        <v>4.0</v>
      </c>
      <c r="G967" s="13">
        <v>838.99</v>
      </c>
      <c r="H967" s="6">
        <v>0.16</v>
      </c>
      <c r="I967" s="6" t="s">
        <v>1965</v>
      </c>
      <c r="J967" s="13">
        <v>2819.0064</v>
      </c>
      <c r="K967" s="6" t="str">
        <f t="shared" si="1"/>
        <v>High Earnings</v>
      </c>
    </row>
    <row r="968" ht="14.25" customHeight="1">
      <c r="A968" s="6" t="s">
        <v>2933</v>
      </c>
      <c r="B968" s="17">
        <v>45722.0</v>
      </c>
      <c r="C968" s="6" t="s">
        <v>472</v>
      </c>
      <c r="D968" s="6" t="s">
        <v>1608</v>
      </c>
      <c r="E968" s="6" t="s">
        <v>1947</v>
      </c>
      <c r="F968" s="6">
        <v>4.0</v>
      </c>
      <c r="G968" s="13">
        <v>838.7</v>
      </c>
      <c r="H968" s="6">
        <v>0.21</v>
      </c>
      <c r="I968" s="6" t="s">
        <v>1973</v>
      </c>
      <c r="J968" s="13">
        <v>2650.292</v>
      </c>
      <c r="K968" s="6" t="str">
        <f t="shared" si="1"/>
        <v>High Earnings</v>
      </c>
    </row>
    <row r="969" ht="14.25" customHeight="1">
      <c r="A969" s="6" t="s">
        <v>2934</v>
      </c>
      <c r="B969" s="17">
        <v>45794.0</v>
      </c>
      <c r="C969" s="6" t="s">
        <v>1320</v>
      </c>
      <c r="D969" s="6" t="s">
        <v>1810</v>
      </c>
      <c r="E969" s="6" t="s">
        <v>1922</v>
      </c>
      <c r="F969" s="6">
        <v>3.0</v>
      </c>
      <c r="G969" s="13">
        <v>943.24</v>
      </c>
      <c r="H969" s="6">
        <v>0.21</v>
      </c>
      <c r="I969" s="6" t="s">
        <v>1965</v>
      </c>
      <c r="J969" s="13">
        <v>2235.4788</v>
      </c>
      <c r="K969" s="6" t="str">
        <f t="shared" si="1"/>
        <v>Average Earnings</v>
      </c>
    </row>
    <row r="970" ht="14.25" customHeight="1">
      <c r="A970" s="6" t="s">
        <v>2935</v>
      </c>
      <c r="B970" s="17">
        <v>45538.0</v>
      </c>
      <c r="C970" s="6" t="s">
        <v>881</v>
      </c>
      <c r="D970" s="6" t="s">
        <v>1831</v>
      </c>
      <c r="E970" s="6" t="s">
        <v>1916</v>
      </c>
      <c r="F970" s="6">
        <v>2.0</v>
      </c>
      <c r="G970" s="13">
        <v>549.33</v>
      </c>
      <c r="H970" s="6">
        <v>0.01</v>
      </c>
      <c r="I970" s="6" t="s">
        <v>1973</v>
      </c>
      <c r="J970" s="13">
        <v>1087.6734</v>
      </c>
      <c r="K970" s="6" t="str">
        <f t="shared" si="1"/>
        <v>Average Earnings</v>
      </c>
    </row>
    <row r="971" ht="14.25" customHeight="1">
      <c r="A971" s="6" t="s">
        <v>2936</v>
      </c>
      <c r="B971" s="17">
        <v>45659.0</v>
      </c>
      <c r="C971" s="6" t="s">
        <v>960</v>
      </c>
      <c r="D971" s="6" t="s">
        <v>1560</v>
      </c>
      <c r="E971" s="6" t="s">
        <v>1947</v>
      </c>
      <c r="F971" s="6">
        <v>2.0</v>
      </c>
      <c r="G971" s="13">
        <v>310.33</v>
      </c>
      <c r="H971" s="6">
        <v>0.26</v>
      </c>
      <c r="I971" s="6" t="s">
        <v>1965</v>
      </c>
      <c r="J971" s="13">
        <v>459.2884</v>
      </c>
      <c r="K971" s="6" t="str">
        <f t="shared" si="1"/>
        <v>Low Earnings</v>
      </c>
    </row>
    <row r="972" ht="14.25" customHeight="1">
      <c r="A972" s="6" t="s">
        <v>2937</v>
      </c>
      <c r="B972" s="17">
        <v>45501.0</v>
      </c>
      <c r="C972" s="6" t="s">
        <v>1101</v>
      </c>
      <c r="D972" s="6" t="s">
        <v>1720</v>
      </c>
      <c r="E972" s="6" t="s">
        <v>1892</v>
      </c>
      <c r="F972" s="6">
        <v>3.0</v>
      </c>
      <c r="G972" s="13">
        <v>201.05</v>
      </c>
      <c r="H972" s="6">
        <v>0.23</v>
      </c>
      <c r="I972" s="6" t="s">
        <v>1967</v>
      </c>
      <c r="J972" s="13">
        <v>464.4255000000001</v>
      </c>
      <c r="K972" s="6" t="str">
        <f t="shared" si="1"/>
        <v>Low Earnings</v>
      </c>
    </row>
    <row r="973" ht="14.25" customHeight="1">
      <c r="A973" s="6" t="s">
        <v>2938</v>
      </c>
      <c r="B973" s="17">
        <v>45408.0</v>
      </c>
      <c r="C973" s="6" t="s">
        <v>821</v>
      </c>
      <c r="D973" s="6" t="s">
        <v>1761</v>
      </c>
      <c r="E973" s="6" t="s">
        <v>1947</v>
      </c>
      <c r="F973" s="6">
        <v>1.0</v>
      </c>
      <c r="G973" s="13">
        <v>803.37</v>
      </c>
      <c r="H973" s="6">
        <v>0.3</v>
      </c>
      <c r="I973" s="6" t="s">
        <v>1967</v>
      </c>
      <c r="J973" s="13">
        <v>562.3589999999999</v>
      </c>
      <c r="K973" s="6" t="str">
        <f t="shared" si="1"/>
        <v>Low Earnings</v>
      </c>
    </row>
    <row r="974" ht="14.25" customHeight="1">
      <c r="A974" s="6" t="s">
        <v>2939</v>
      </c>
      <c r="B974" s="17">
        <v>45886.0</v>
      </c>
      <c r="C974" s="6" t="s">
        <v>152</v>
      </c>
      <c r="D974" s="6" t="s">
        <v>1770</v>
      </c>
      <c r="E974" s="6" t="s">
        <v>1941</v>
      </c>
      <c r="F974" s="6">
        <v>3.0</v>
      </c>
      <c r="G974" s="13">
        <v>259.98</v>
      </c>
      <c r="H974" s="6">
        <v>0.07</v>
      </c>
      <c r="I974" s="6" t="s">
        <v>1973</v>
      </c>
      <c r="J974" s="13">
        <v>725.3442</v>
      </c>
      <c r="K974" s="6" t="str">
        <f t="shared" si="1"/>
        <v>Low Earnings</v>
      </c>
    </row>
    <row r="975" ht="14.25" customHeight="1">
      <c r="A975" s="6" t="s">
        <v>2940</v>
      </c>
      <c r="B975" s="17">
        <v>45426.0</v>
      </c>
      <c r="C975" s="6" t="s">
        <v>437</v>
      </c>
      <c r="D975" s="6" t="s">
        <v>1570</v>
      </c>
      <c r="E975" s="6" t="s">
        <v>1906</v>
      </c>
      <c r="F975" s="6">
        <v>4.0</v>
      </c>
      <c r="G975" s="13">
        <v>591.9</v>
      </c>
      <c r="H975" s="6">
        <v>0.2</v>
      </c>
      <c r="I975" s="6" t="s">
        <v>1967</v>
      </c>
      <c r="J975" s="13">
        <v>1894.08</v>
      </c>
      <c r="K975" s="6" t="str">
        <f t="shared" si="1"/>
        <v>Average Earnings</v>
      </c>
    </row>
    <row r="976" ht="14.25" customHeight="1">
      <c r="A976" s="6" t="s">
        <v>2941</v>
      </c>
      <c r="B976" s="17">
        <v>45730.0</v>
      </c>
      <c r="C976" s="6" t="s">
        <v>135</v>
      </c>
      <c r="D976" s="6" t="s">
        <v>1767</v>
      </c>
      <c r="E976" s="6" t="s">
        <v>1934</v>
      </c>
      <c r="F976" s="6">
        <v>2.0</v>
      </c>
      <c r="G976" s="13">
        <v>396.9</v>
      </c>
      <c r="H976" s="6">
        <v>0.18</v>
      </c>
      <c r="I976" s="6" t="s">
        <v>1967</v>
      </c>
      <c r="J976" s="13">
        <v>650.916</v>
      </c>
      <c r="K976" s="6" t="str">
        <f t="shared" si="1"/>
        <v>Low Earnings</v>
      </c>
    </row>
    <row r="977" ht="14.25" customHeight="1">
      <c r="A977" s="6" t="s">
        <v>2942</v>
      </c>
      <c r="B977" s="17">
        <v>45731.0</v>
      </c>
      <c r="C977" s="6" t="s">
        <v>1416</v>
      </c>
      <c r="D977" s="6" t="s">
        <v>1882</v>
      </c>
      <c r="E977" s="6" t="s">
        <v>1901</v>
      </c>
      <c r="F977" s="6">
        <v>1.0</v>
      </c>
      <c r="G977" s="13">
        <v>176.84</v>
      </c>
      <c r="H977" s="6">
        <v>0.19</v>
      </c>
      <c r="I977" s="6" t="s">
        <v>1965</v>
      </c>
      <c r="J977" s="13">
        <v>143.2404</v>
      </c>
      <c r="K977" s="6" t="str">
        <f t="shared" si="1"/>
        <v>Low Earnings</v>
      </c>
    </row>
    <row r="978" ht="14.25" customHeight="1">
      <c r="A978" s="6" t="s">
        <v>2943</v>
      </c>
      <c r="B978" s="17">
        <v>45272.0</v>
      </c>
      <c r="C978" s="6" t="s">
        <v>827</v>
      </c>
      <c r="D978" s="6" t="s">
        <v>1660</v>
      </c>
      <c r="E978" s="6" t="s">
        <v>1892</v>
      </c>
      <c r="F978" s="6">
        <v>2.0</v>
      </c>
      <c r="G978" s="13">
        <v>614.21</v>
      </c>
      <c r="H978" s="6">
        <v>0.11</v>
      </c>
      <c r="I978" s="6" t="s">
        <v>1967</v>
      </c>
      <c r="J978" s="13">
        <v>1093.2938</v>
      </c>
      <c r="K978" s="6" t="str">
        <f t="shared" si="1"/>
        <v>Average Earnings</v>
      </c>
    </row>
    <row r="979" ht="14.25" customHeight="1">
      <c r="A979" s="6" t="s">
        <v>2944</v>
      </c>
      <c r="B979" s="17">
        <v>45584.0</v>
      </c>
      <c r="C979" s="6" t="s">
        <v>389</v>
      </c>
      <c r="D979" s="6" t="s">
        <v>1574</v>
      </c>
      <c r="E979" s="6" t="s">
        <v>1919</v>
      </c>
      <c r="F979" s="6">
        <v>3.0</v>
      </c>
      <c r="G979" s="13">
        <v>604.66</v>
      </c>
      <c r="H979" s="6">
        <v>0.18</v>
      </c>
      <c r="I979" s="6" t="s">
        <v>1973</v>
      </c>
      <c r="J979" s="13">
        <v>1487.4636</v>
      </c>
      <c r="K979" s="6" t="str">
        <f t="shared" si="1"/>
        <v>Average Earnings</v>
      </c>
    </row>
    <row r="980" ht="14.25" customHeight="1">
      <c r="A980" s="6" t="s">
        <v>2945</v>
      </c>
      <c r="B980" s="17">
        <v>45534.0</v>
      </c>
      <c r="C980" s="6" t="s">
        <v>1546</v>
      </c>
      <c r="D980" s="6" t="s">
        <v>1570</v>
      </c>
      <c r="E980" s="6" t="s">
        <v>1934</v>
      </c>
      <c r="F980" s="6">
        <v>3.0</v>
      </c>
      <c r="G980" s="13">
        <v>24.29</v>
      </c>
      <c r="H980" s="6">
        <v>0.12</v>
      </c>
      <c r="I980" s="6" t="s">
        <v>1967</v>
      </c>
      <c r="J980" s="13">
        <v>64.1256</v>
      </c>
      <c r="K980" s="6" t="str">
        <f t="shared" si="1"/>
        <v>Low Earnings</v>
      </c>
    </row>
    <row r="981" ht="14.25" customHeight="1">
      <c r="A981" s="6" t="s">
        <v>2946</v>
      </c>
      <c r="B981" s="17">
        <v>45411.0</v>
      </c>
      <c r="C981" s="6" t="s">
        <v>1209</v>
      </c>
      <c r="D981" s="6" t="s">
        <v>1577</v>
      </c>
      <c r="E981" s="6" t="s">
        <v>1906</v>
      </c>
      <c r="F981" s="6">
        <v>3.0</v>
      </c>
      <c r="G981" s="13">
        <v>620.22</v>
      </c>
      <c r="H981" s="6">
        <v>0.04</v>
      </c>
      <c r="I981" s="6" t="s">
        <v>1965</v>
      </c>
      <c r="J981" s="13">
        <v>1786.2336</v>
      </c>
      <c r="K981" s="6" t="str">
        <f t="shared" si="1"/>
        <v>Average Earnings</v>
      </c>
    </row>
    <row r="982" ht="14.25" customHeight="1">
      <c r="A982" s="6" t="s">
        <v>2947</v>
      </c>
      <c r="B982" s="17">
        <v>45482.0</v>
      </c>
      <c r="C982" s="6" t="s">
        <v>428</v>
      </c>
      <c r="D982" s="6" t="s">
        <v>1776</v>
      </c>
      <c r="E982" s="6" t="s">
        <v>1932</v>
      </c>
      <c r="F982" s="6">
        <v>1.0</v>
      </c>
      <c r="G982" s="13">
        <v>503.95</v>
      </c>
      <c r="H982" s="6">
        <v>0.24</v>
      </c>
      <c r="I982" s="6" t="s">
        <v>1967</v>
      </c>
      <c r="J982" s="13">
        <v>383.002</v>
      </c>
      <c r="K982" s="6" t="str">
        <f t="shared" si="1"/>
        <v>Low Earnings</v>
      </c>
    </row>
    <row r="983" ht="14.25" customHeight="1">
      <c r="A983" s="6" t="s">
        <v>2948</v>
      </c>
      <c r="B983" s="17">
        <v>45475.0</v>
      </c>
      <c r="C983" s="6" t="s">
        <v>1020</v>
      </c>
      <c r="D983" s="6" t="s">
        <v>1740</v>
      </c>
      <c r="E983" s="6" t="s">
        <v>1939</v>
      </c>
      <c r="F983" s="6">
        <v>4.0</v>
      </c>
      <c r="G983" s="13">
        <v>860.78</v>
      </c>
      <c r="H983" s="6">
        <v>0.03</v>
      </c>
      <c r="I983" s="6" t="s">
        <v>1965</v>
      </c>
      <c r="J983" s="13">
        <v>3339.8264</v>
      </c>
      <c r="K983" s="6" t="str">
        <f t="shared" si="1"/>
        <v>High Earnings</v>
      </c>
    </row>
    <row r="984" ht="14.25" customHeight="1">
      <c r="A984" s="6" t="s">
        <v>2949</v>
      </c>
      <c r="B984" s="17">
        <v>45234.0</v>
      </c>
      <c r="C984" s="6" t="s">
        <v>658</v>
      </c>
      <c r="D984" s="6" t="s">
        <v>1711</v>
      </c>
      <c r="E984" s="6" t="s">
        <v>1906</v>
      </c>
      <c r="F984" s="6">
        <v>3.0</v>
      </c>
      <c r="G984" s="13">
        <v>41.97</v>
      </c>
      <c r="H984" s="6">
        <v>0.03</v>
      </c>
      <c r="I984" s="6" t="s">
        <v>1973</v>
      </c>
      <c r="J984" s="13">
        <v>122.1327</v>
      </c>
      <c r="K984" s="6" t="str">
        <f t="shared" si="1"/>
        <v>Low Earnings</v>
      </c>
    </row>
    <row r="985" ht="14.25" customHeight="1">
      <c r="A985" s="6" t="s">
        <v>2950</v>
      </c>
      <c r="B985" s="17">
        <v>45397.0</v>
      </c>
      <c r="C985" s="6" t="s">
        <v>142</v>
      </c>
      <c r="D985" s="6" t="s">
        <v>1622</v>
      </c>
      <c r="E985" s="6" t="s">
        <v>1913</v>
      </c>
      <c r="F985" s="6">
        <v>1.0</v>
      </c>
      <c r="G985" s="13">
        <v>649.59</v>
      </c>
      <c r="H985" s="6">
        <v>0.12</v>
      </c>
      <c r="I985" s="6" t="s">
        <v>1973</v>
      </c>
      <c r="J985" s="13">
        <v>571.6392000000001</v>
      </c>
      <c r="K985" s="6" t="str">
        <f t="shared" si="1"/>
        <v>Low Earnings</v>
      </c>
    </row>
    <row r="986" ht="14.25" customHeight="1">
      <c r="A986" s="6" t="s">
        <v>2951</v>
      </c>
      <c r="B986" s="17">
        <v>45502.0</v>
      </c>
      <c r="C986" s="6" t="s">
        <v>210</v>
      </c>
      <c r="D986" s="6" t="s">
        <v>1776</v>
      </c>
      <c r="E986" s="6" t="s">
        <v>1926</v>
      </c>
      <c r="F986" s="6">
        <v>2.0</v>
      </c>
      <c r="G986" s="13">
        <v>386.09</v>
      </c>
      <c r="H986" s="6">
        <v>0.19</v>
      </c>
      <c r="I986" s="6" t="s">
        <v>1967</v>
      </c>
      <c r="J986" s="13">
        <v>625.4658</v>
      </c>
      <c r="K986" s="6" t="str">
        <f t="shared" si="1"/>
        <v>Low Earnings</v>
      </c>
    </row>
    <row r="987" ht="14.25" customHeight="1">
      <c r="A987" s="6" t="s">
        <v>2952</v>
      </c>
      <c r="B987" s="17">
        <v>45644.0</v>
      </c>
      <c r="C987" s="6" t="s">
        <v>361</v>
      </c>
      <c r="D987" s="6" t="s">
        <v>1740</v>
      </c>
      <c r="E987" s="6" t="s">
        <v>1934</v>
      </c>
      <c r="F987" s="6">
        <v>1.0</v>
      </c>
      <c r="G987" s="13">
        <v>891.62</v>
      </c>
      <c r="H987" s="6">
        <v>0.06</v>
      </c>
      <c r="I987" s="6" t="s">
        <v>1967</v>
      </c>
      <c r="J987" s="13">
        <v>838.1228</v>
      </c>
      <c r="K987" s="6" t="str">
        <f t="shared" si="1"/>
        <v>Low Earnings</v>
      </c>
    </row>
    <row r="988" ht="14.25" customHeight="1">
      <c r="A988" s="6" t="s">
        <v>2953</v>
      </c>
      <c r="B988" s="17">
        <v>45617.0</v>
      </c>
      <c r="C988" s="6" t="s">
        <v>1206</v>
      </c>
      <c r="D988" s="6" t="s">
        <v>1779</v>
      </c>
      <c r="E988" s="6" t="s">
        <v>1941</v>
      </c>
      <c r="F988" s="6">
        <v>2.0</v>
      </c>
      <c r="G988" s="13">
        <v>558.9</v>
      </c>
      <c r="H988" s="6">
        <v>0.05</v>
      </c>
      <c r="I988" s="6" t="s">
        <v>1973</v>
      </c>
      <c r="J988" s="13">
        <v>1061.91</v>
      </c>
      <c r="K988" s="6" t="str">
        <f t="shared" si="1"/>
        <v>Average Earnings</v>
      </c>
    </row>
    <row r="989" ht="14.25" customHeight="1">
      <c r="A989" s="6" t="s">
        <v>2954</v>
      </c>
      <c r="B989" s="17">
        <v>45797.0</v>
      </c>
      <c r="C989" s="6" t="s">
        <v>1119</v>
      </c>
      <c r="D989" s="6" t="s">
        <v>1565</v>
      </c>
      <c r="E989" s="6" t="s">
        <v>1906</v>
      </c>
      <c r="F989" s="6">
        <v>2.0</v>
      </c>
      <c r="G989" s="13">
        <v>99.04</v>
      </c>
      <c r="H989" s="6">
        <v>0.26</v>
      </c>
      <c r="I989" s="6" t="s">
        <v>1973</v>
      </c>
      <c r="J989" s="13">
        <v>146.5792</v>
      </c>
      <c r="K989" s="6" t="str">
        <f t="shared" si="1"/>
        <v>Low Earnings</v>
      </c>
    </row>
    <row r="990" ht="14.25" customHeight="1">
      <c r="A990" s="6" t="s">
        <v>2955</v>
      </c>
      <c r="B990" s="17">
        <v>45740.0</v>
      </c>
      <c r="C990" s="6" t="s">
        <v>938</v>
      </c>
      <c r="D990" s="6" t="s">
        <v>1574</v>
      </c>
      <c r="E990" s="6" t="s">
        <v>1922</v>
      </c>
      <c r="F990" s="6">
        <v>4.0</v>
      </c>
      <c r="G990" s="13">
        <v>625.13</v>
      </c>
      <c r="H990" s="6">
        <v>0.06</v>
      </c>
      <c r="I990" s="6" t="s">
        <v>1965</v>
      </c>
      <c r="J990" s="13">
        <v>2350.4888</v>
      </c>
      <c r="K990" s="6" t="str">
        <f t="shared" si="1"/>
        <v>Average Earnings</v>
      </c>
    </row>
    <row r="991" ht="14.25" customHeight="1">
      <c r="A991" s="6" t="s">
        <v>2956</v>
      </c>
      <c r="B991" s="17">
        <v>45824.0</v>
      </c>
      <c r="C991" s="6" t="s">
        <v>152</v>
      </c>
      <c r="D991" s="6" t="s">
        <v>1705</v>
      </c>
      <c r="E991" s="6" t="s">
        <v>1950</v>
      </c>
      <c r="F991" s="6">
        <v>4.0</v>
      </c>
      <c r="G991" s="13">
        <v>38.38</v>
      </c>
      <c r="H991" s="6">
        <v>0.16</v>
      </c>
      <c r="I991" s="6" t="s">
        <v>1973</v>
      </c>
      <c r="J991" s="13">
        <v>128.9568</v>
      </c>
      <c r="K991" s="6" t="str">
        <f t="shared" si="1"/>
        <v>Low Earnings</v>
      </c>
    </row>
    <row r="992" ht="14.25" customHeight="1">
      <c r="A992" s="6" t="s">
        <v>2957</v>
      </c>
      <c r="B992" s="17">
        <v>45411.0</v>
      </c>
      <c r="C992" s="6" t="s">
        <v>337</v>
      </c>
      <c r="D992" s="6" t="s">
        <v>1723</v>
      </c>
      <c r="E992" s="6" t="s">
        <v>1906</v>
      </c>
      <c r="F992" s="6">
        <v>1.0</v>
      </c>
      <c r="G992" s="13">
        <v>580.76</v>
      </c>
      <c r="H992" s="6">
        <v>0.1</v>
      </c>
      <c r="I992" s="6" t="s">
        <v>1973</v>
      </c>
      <c r="J992" s="13">
        <v>522.684</v>
      </c>
      <c r="K992" s="6" t="str">
        <f t="shared" si="1"/>
        <v>Low Earnings</v>
      </c>
    </row>
    <row r="993" ht="14.25" customHeight="1">
      <c r="A993" s="6" t="s">
        <v>2958</v>
      </c>
      <c r="B993" s="17">
        <v>45404.0</v>
      </c>
      <c r="C993" s="6" t="s">
        <v>1529</v>
      </c>
      <c r="D993" s="6" t="s">
        <v>1870</v>
      </c>
      <c r="E993" s="6" t="s">
        <v>1929</v>
      </c>
      <c r="F993" s="6">
        <v>4.0</v>
      </c>
      <c r="G993" s="13">
        <v>731.72</v>
      </c>
      <c r="H993" s="6">
        <v>0.22</v>
      </c>
      <c r="I993" s="6" t="s">
        <v>1973</v>
      </c>
      <c r="J993" s="13">
        <v>2282.9664</v>
      </c>
      <c r="K993" s="6" t="str">
        <f t="shared" si="1"/>
        <v>Average Earnings</v>
      </c>
    </row>
    <row r="994" ht="14.25" customHeight="1">
      <c r="A994" s="6" t="s">
        <v>2959</v>
      </c>
      <c r="B994" s="17">
        <v>45916.0</v>
      </c>
      <c r="C994" s="6" t="s">
        <v>1427</v>
      </c>
      <c r="D994" s="6" t="s">
        <v>1831</v>
      </c>
      <c r="E994" s="6" t="s">
        <v>1953</v>
      </c>
      <c r="F994" s="6">
        <v>3.0</v>
      </c>
      <c r="G994" s="13">
        <v>825.33</v>
      </c>
      <c r="H994" s="6">
        <v>0.21</v>
      </c>
      <c r="I994" s="6" t="s">
        <v>1965</v>
      </c>
      <c r="J994" s="13">
        <v>1956.0321</v>
      </c>
      <c r="K994" s="6" t="str">
        <f t="shared" si="1"/>
        <v>Average Earnings</v>
      </c>
    </row>
    <row r="995" ht="14.25" customHeight="1">
      <c r="A995" s="6" t="s">
        <v>2960</v>
      </c>
      <c r="B995" s="17">
        <v>45269.0</v>
      </c>
      <c r="C995" s="6" t="s">
        <v>229</v>
      </c>
      <c r="D995" s="6" t="s">
        <v>1798</v>
      </c>
      <c r="E995" s="6" t="s">
        <v>1939</v>
      </c>
      <c r="F995" s="6">
        <v>2.0</v>
      </c>
      <c r="G995" s="13">
        <v>47.3</v>
      </c>
      <c r="H995" s="6">
        <v>0.01</v>
      </c>
      <c r="I995" s="6" t="s">
        <v>1967</v>
      </c>
      <c r="J995" s="13">
        <v>93.654</v>
      </c>
      <c r="K995" s="6" t="str">
        <f t="shared" si="1"/>
        <v>Low Earnings</v>
      </c>
    </row>
    <row r="996" ht="14.25" customHeight="1">
      <c r="A996" s="6" t="s">
        <v>2961</v>
      </c>
      <c r="B996" s="17">
        <v>45493.0</v>
      </c>
      <c r="C996" s="6" t="s">
        <v>579</v>
      </c>
      <c r="D996" s="6" t="s">
        <v>1804</v>
      </c>
      <c r="E996" s="6" t="s">
        <v>1947</v>
      </c>
      <c r="F996" s="6">
        <v>1.0</v>
      </c>
      <c r="G996" s="13">
        <v>389.12</v>
      </c>
      <c r="H996" s="6">
        <v>0.18</v>
      </c>
      <c r="I996" s="6" t="s">
        <v>1967</v>
      </c>
      <c r="J996" s="13">
        <v>319.0784</v>
      </c>
      <c r="K996" s="6" t="str">
        <f t="shared" si="1"/>
        <v>Low Earnings</v>
      </c>
    </row>
    <row r="997" ht="14.25" customHeight="1">
      <c r="A997" s="6" t="s">
        <v>2962</v>
      </c>
      <c r="B997" s="17">
        <v>45558.0</v>
      </c>
      <c r="C997" s="6" t="s">
        <v>1430</v>
      </c>
      <c r="D997" s="6" t="s">
        <v>1834</v>
      </c>
      <c r="E997" s="6" t="s">
        <v>1950</v>
      </c>
      <c r="F997" s="6">
        <v>3.0</v>
      </c>
      <c r="G997" s="13">
        <v>543.83</v>
      </c>
      <c r="H997" s="6">
        <v>0.05</v>
      </c>
      <c r="I997" s="6" t="s">
        <v>1965</v>
      </c>
      <c r="J997" s="13">
        <v>1549.9155</v>
      </c>
      <c r="K997" s="6" t="str">
        <f t="shared" si="1"/>
        <v>Average Earnings</v>
      </c>
    </row>
    <row r="998" ht="14.25" customHeight="1">
      <c r="A998" s="6" t="s">
        <v>2963</v>
      </c>
      <c r="B998" s="17">
        <v>45423.0</v>
      </c>
      <c r="C998" s="6" t="s">
        <v>111</v>
      </c>
      <c r="D998" s="6" t="s">
        <v>1618</v>
      </c>
      <c r="E998" s="6" t="s">
        <v>1897</v>
      </c>
      <c r="F998" s="6">
        <v>2.0</v>
      </c>
      <c r="G998" s="13">
        <v>660.27</v>
      </c>
      <c r="H998" s="6">
        <v>0.01</v>
      </c>
      <c r="I998" s="6" t="s">
        <v>1967</v>
      </c>
      <c r="J998" s="13">
        <v>1307.3346</v>
      </c>
      <c r="K998" s="6" t="str">
        <f t="shared" si="1"/>
        <v>Average Earnings</v>
      </c>
    </row>
    <row r="999" ht="14.25" customHeight="1">
      <c r="A999" s="6" t="s">
        <v>2964</v>
      </c>
      <c r="B999" s="17">
        <v>45780.0</v>
      </c>
      <c r="C999" s="6" t="s">
        <v>1362</v>
      </c>
      <c r="D999" s="6" t="s">
        <v>1615</v>
      </c>
      <c r="E999" s="6" t="s">
        <v>1922</v>
      </c>
      <c r="F999" s="6">
        <v>4.0</v>
      </c>
      <c r="G999" s="13">
        <v>729.31</v>
      </c>
      <c r="H999" s="6">
        <v>0.03</v>
      </c>
      <c r="I999" s="6" t="s">
        <v>1965</v>
      </c>
      <c r="J999" s="13">
        <v>2829.7228</v>
      </c>
      <c r="K999" s="6" t="str">
        <f t="shared" si="1"/>
        <v>High Earnings</v>
      </c>
    </row>
    <row r="1000" ht="14.25" customHeight="1">
      <c r="A1000" s="6" t="s">
        <v>2965</v>
      </c>
      <c r="B1000" s="17">
        <v>45345.0</v>
      </c>
      <c r="C1000" s="6" t="s">
        <v>1323</v>
      </c>
      <c r="D1000" s="6" t="s">
        <v>1849</v>
      </c>
      <c r="E1000" s="6" t="s">
        <v>1916</v>
      </c>
      <c r="F1000" s="6">
        <v>2.0</v>
      </c>
      <c r="G1000" s="13">
        <v>152.91</v>
      </c>
      <c r="H1000" s="6">
        <v>0.24</v>
      </c>
      <c r="I1000" s="6" t="s">
        <v>1967</v>
      </c>
      <c r="J1000" s="13">
        <v>232.4232</v>
      </c>
      <c r="K1000" s="6" t="str">
        <f t="shared" si="1"/>
        <v>Low Earnings</v>
      </c>
    </row>
    <row r="1001" ht="14.25" customHeight="1">
      <c r="A1001" s="6" t="s">
        <v>2966</v>
      </c>
      <c r="B1001" s="17">
        <v>45344.0</v>
      </c>
      <c r="C1001" s="6" t="s">
        <v>1438</v>
      </c>
      <c r="D1001" s="6" t="s">
        <v>1810</v>
      </c>
      <c r="E1001" s="6" t="s">
        <v>1941</v>
      </c>
      <c r="F1001" s="6">
        <v>4.0</v>
      </c>
      <c r="G1001" s="13">
        <v>592.14</v>
      </c>
      <c r="H1001" s="6">
        <v>0.12</v>
      </c>
      <c r="I1001" s="6" t="s">
        <v>1973</v>
      </c>
      <c r="J1001" s="13">
        <v>2084.3328</v>
      </c>
      <c r="K1001" s="6" t="str">
        <f t="shared" si="1"/>
        <v>Average Earnings</v>
      </c>
    </row>
    <row r="1002" ht="14.25" customHeight="1">
      <c r="A1002" s="6" t="s">
        <v>2967</v>
      </c>
      <c r="B1002" s="17">
        <v>45525.0</v>
      </c>
      <c r="C1002" s="6" t="s">
        <v>238</v>
      </c>
      <c r="D1002" s="6" t="s">
        <v>1822</v>
      </c>
      <c r="E1002" s="6" t="s">
        <v>1934</v>
      </c>
      <c r="F1002" s="6">
        <v>1.0</v>
      </c>
      <c r="G1002" s="13">
        <v>984.37</v>
      </c>
      <c r="H1002" s="6">
        <v>0.0</v>
      </c>
      <c r="I1002" s="6" t="s">
        <v>1967</v>
      </c>
      <c r="J1002" s="13">
        <v>984.37</v>
      </c>
      <c r="K1002" s="6" t="str">
        <f t="shared" si="1"/>
        <v>Low Earnings</v>
      </c>
    </row>
    <row r="1003" ht="14.25" customHeight="1">
      <c r="A1003" s="6" t="s">
        <v>2968</v>
      </c>
      <c r="B1003" s="17">
        <v>45369.0</v>
      </c>
      <c r="C1003" s="6" t="s">
        <v>782</v>
      </c>
      <c r="D1003" s="6" t="s">
        <v>1767</v>
      </c>
      <c r="E1003" s="6" t="s">
        <v>1937</v>
      </c>
      <c r="F1003" s="6">
        <v>4.0</v>
      </c>
      <c r="G1003" s="13">
        <f>J1003/F1003*(1-H1003)</f>
        <v>427.788288</v>
      </c>
      <c r="H1003" s="6">
        <v>0.04</v>
      </c>
      <c r="I1003" s="6" t="s">
        <v>1973</v>
      </c>
      <c r="J1003" s="13">
        <v>1782.4512</v>
      </c>
      <c r="K1003" s="6" t="str">
        <f t="shared" si="1"/>
        <v>Average Earnings</v>
      </c>
    </row>
    <row r="1004" ht="14.25" customHeight="1">
      <c r="A1004" s="6" t="s">
        <v>2969</v>
      </c>
      <c r="B1004" s="17">
        <v>45775.0</v>
      </c>
      <c r="C1004" s="6" t="s">
        <v>1065</v>
      </c>
      <c r="D1004" s="6" t="s">
        <v>1801</v>
      </c>
      <c r="E1004" s="6" t="s">
        <v>1926</v>
      </c>
      <c r="F1004" s="6">
        <v>3.0</v>
      </c>
      <c r="G1004" s="13">
        <v>444.55</v>
      </c>
      <c r="H1004" s="6">
        <v>0.14</v>
      </c>
      <c r="I1004" s="6" t="s">
        <v>1967</v>
      </c>
      <c r="J1004" s="13">
        <v>1146.939</v>
      </c>
      <c r="K1004" s="6" t="str">
        <f t="shared" si="1"/>
        <v>Average Earnings</v>
      </c>
    </row>
    <row r="1005" ht="14.25" customHeight="1">
      <c r="A1005" s="6" t="s">
        <v>2970</v>
      </c>
      <c r="B1005" s="17">
        <v>45329.0</v>
      </c>
      <c r="C1005" s="6" t="s">
        <v>941</v>
      </c>
      <c r="D1005" s="6" t="s">
        <v>1565</v>
      </c>
      <c r="E1005" s="6" t="s">
        <v>1934</v>
      </c>
      <c r="F1005" s="6">
        <v>2.0</v>
      </c>
      <c r="G1005" s="13">
        <v>237.59</v>
      </c>
      <c r="H1005" s="6">
        <v>0.12</v>
      </c>
      <c r="I1005" s="6" t="s">
        <v>1965</v>
      </c>
      <c r="J1005" s="13">
        <v>418.1584</v>
      </c>
      <c r="K1005" s="6" t="str">
        <f t="shared" si="1"/>
        <v>Low Earnings</v>
      </c>
    </row>
    <row r="1006" ht="14.25" customHeight="1">
      <c r="A1006" s="6" t="s">
        <v>2971</v>
      </c>
      <c r="B1006" s="17">
        <v>45250.0</v>
      </c>
      <c r="C1006" s="6" t="s">
        <v>1353</v>
      </c>
      <c r="D1006" s="6" t="s">
        <v>1657</v>
      </c>
      <c r="E1006" s="6" t="s">
        <v>1922</v>
      </c>
      <c r="F1006" s="6">
        <v>1.0</v>
      </c>
      <c r="G1006" s="13">
        <v>52.06</v>
      </c>
      <c r="H1006" s="6">
        <v>0.27</v>
      </c>
      <c r="I1006" s="6" t="s">
        <v>1973</v>
      </c>
      <c r="J1006" s="13">
        <v>38.0038</v>
      </c>
      <c r="K1006" s="6" t="str">
        <f t="shared" si="1"/>
        <v>Low Earnings</v>
      </c>
    </row>
    <row r="1007" ht="14.25" customHeight="1">
      <c r="A1007" s="6" t="s">
        <v>2972</v>
      </c>
      <c r="B1007" s="17">
        <v>45691.0</v>
      </c>
      <c r="C1007" s="6" t="s">
        <v>1421</v>
      </c>
      <c r="D1007" s="6" t="s">
        <v>1574</v>
      </c>
      <c r="E1007" s="6" t="s">
        <v>1897</v>
      </c>
      <c r="F1007" s="6">
        <v>2.0</v>
      </c>
      <c r="G1007" s="13">
        <v>594.63</v>
      </c>
      <c r="H1007" s="6">
        <v>0.12</v>
      </c>
      <c r="I1007" s="6" t="s">
        <v>1965</v>
      </c>
      <c r="J1007" s="13">
        <v>1046.5488</v>
      </c>
      <c r="K1007" s="6" t="str">
        <f t="shared" si="1"/>
        <v>Average Earnings</v>
      </c>
    </row>
    <row r="1008" ht="14.25" customHeight="1">
      <c r="A1008" s="6" t="s">
        <v>2973</v>
      </c>
      <c r="B1008" s="17">
        <v>45644.0</v>
      </c>
      <c r="C1008" s="6" t="s">
        <v>567</v>
      </c>
      <c r="D1008" s="6" t="s">
        <v>1574</v>
      </c>
      <c r="E1008" s="6" t="s">
        <v>1892</v>
      </c>
      <c r="F1008" s="6">
        <v>3.0</v>
      </c>
      <c r="G1008" s="13">
        <v>476.1</v>
      </c>
      <c r="H1008" s="6">
        <v>0.05</v>
      </c>
      <c r="I1008" s="6" t="s">
        <v>1973</v>
      </c>
      <c r="J1008" s="13">
        <v>1356.885</v>
      </c>
      <c r="K1008" s="6" t="str">
        <f t="shared" si="1"/>
        <v>Average Earnings</v>
      </c>
    </row>
    <row r="1009" ht="14.25" customHeight="1">
      <c r="A1009" s="6" t="s">
        <v>2974</v>
      </c>
      <c r="B1009" s="17">
        <v>45514.0</v>
      </c>
      <c r="C1009" s="6" t="s">
        <v>235</v>
      </c>
      <c r="D1009" s="6" t="s">
        <v>1770</v>
      </c>
      <c r="E1009" s="6" t="s">
        <v>1916</v>
      </c>
      <c r="F1009" s="6">
        <v>1.0</v>
      </c>
      <c r="G1009" s="13">
        <v>546.47</v>
      </c>
      <c r="H1009" s="6">
        <v>0.08</v>
      </c>
      <c r="I1009" s="6" t="s">
        <v>1973</v>
      </c>
      <c r="J1009" s="13">
        <v>502.7524</v>
      </c>
      <c r="K1009" s="6" t="str">
        <f t="shared" si="1"/>
        <v>Low Earnings</v>
      </c>
    </row>
    <row r="1010" ht="14.25" customHeight="1">
      <c r="A1010" s="6" t="s">
        <v>2975</v>
      </c>
      <c r="B1010" s="17">
        <v>45760.0</v>
      </c>
      <c r="C1010" s="6" t="s">
        <v>594</v>
      </c>
      <c r="D1010" s="6" t="s">
        <v>1813</v>
      </c>
      <c r="E1010" s="6" t="s">
        <v>1934</v>
      </c>
      <c r="F1010" s="6">
        <v>1.0</v>
      </c>
      <c r="G1010" s="13">
        <v>979.49</v>
      </c>
      <c r="H1010" s="6">
        <v>0.19</v>
      </c>
      <c r="I1010" s="6" t="s">
        <v>1973</v>
      </c>
      <c r="J1010" s="13">
        <v>793.3869000000001</v>
      </c>
      <c r="K1010" s="6" t="str">
        <f t="shared" si="1"/>
        <v>Low Earnings</v>
      </c>
    </row>
    <row r="1011" ht="14.25" customHeight="1">
      <c r="A1011" s="6" t="s">
        <v>2976</v>
      </c>
      <c r="B1011" s="17">
        <v>45289.0</v>
      </c>
      <c r="C1011" s="6" t="s">
        <v>646</v>
      </c>
      <c r="D1011" s="6" t="s">
        <v>1630</v>
      </c>
      <c r="E1011" s="6" t="s">
        <v>1901</v>
      </c>
      <c r="F1011" s="6">
        <v>3.0</v>
      </c>
      <c r="G1011" s="13">
        <v>988.53</v>
      </c>
      <c r="H1011" s="6">
        <v>0.3</v>
      </c>
      <c r="I1011" s="6" t="s">
        <v>1973</v>
      </c>
      <c r="J1011" s="13">
        <v>2075.913</v>
      </c>
      <c r="K1011" s="6" t="str">
        <f t="shared" si="1"/>
        <v>Average Earnings</v>
      </c>
    </row>
    <row r="1012" ht="14.25" customHeight="1">
      <c r="A1012" s="6" t="s">
        <v>2977</v>
      </c>
      <c r="B1012" s="17">
        <v>45704.0</v>
      </c>
      <c r="C1012" s="6" t="s">
        <v>830</v>
      </c>
      <c r="D1012" s="6" t="s">
        <v>1816</v>
      </c>
      <c r="E1012" s="6" t="s">
        <v>1906</v>
      </c>
      <c r="F1012" s="6">
        <v>4.0</v>
      </c>
      <c r="G1012" s="13">
        <v>849.29</v>
      </c>
      <c r="H1012" s="6">
        <v>0.26</v>
      </c>
      <c r="I1012" s="6" t="s">
        <v>1965</v>
      </c>
      <c r="J1012" s="13">
        <v>2513.8984</v>
      </c>
      <c r="K1012" s="6" t="str">
        <f t="shared" si="1"/>
        <v>High Earnings</v>
      </c>
    </row>
    <row r="1013" ht="14.25" customHeight="1">
      <c r="A1013" s="6" t="s">
        <v>2978</v>
      </c>
      <c r="B1013" s="17">
        <v>45318.0</v>
      </c>
      <c r="C1013" s="6" t="s">
        <v>1092</v>
      </c>
      <c r="D1013" s="6" t="s">
        <v>1873</v>
      </c>
      <c r="E1013" s="6" t="s">
        <v>1939</v>
      </c>
      <c r="F1013" s="6">
        <v>2.0</v>
      </c>
      <c r="G1013" s="13">
        <v>452.29</v>
      </c>
      <c r="H1013" s="6">
        <v>0.01</v>
      </c>
      <c r="I1013" s="6" t="s">
        <v>1973</v>
      </c>
      <c r="J1013" s="13">
        <v>895.5342</v>
      </c>
      <c r="K1013" s="6" t="str">
        <f t="shared" si="1"/>
        <v>Low Earnings</v>
      </c>
    </row>
    <row r="1014" ht="14.25" customHeight="1">
      <c r="A1014" s="6" t="s">
        <v>2979</v>
      </c>
      <c r="B1014" s="17">
        <v>45495.0</v>
      </c>
      <c r="C1014" s="6" t="s">
        <v>1393</v>
      </c>
      <c r="D1014" s="6" t="s">
        <v>1749</v>
      </c>
      <c r="E1014" s="6" t="s">
        <v>1950</v>
      </c>
      <c r="F1014" s="6">
        <v>2.0</v>
      </c>
      <c r="G1014" s="13">
        <v>810.81</v>
      </c>
      <c r="H1014" s="6">
        <v>0.11</v>
      </c>
      <c r="I1014" s="6" t="s">
        <v>1973</v>
      </c>
      <c r="J1014" s="13">
        <v>1443.2418</v>
      </c>
      <c r="K1014" s="6" t="str">
        <f t="shared" si="1"/>
        <v>Average Earnings</v>
      </c>
    </row>
    <row r="1015" ht="14.25" customHeight="1">
      <c r="A1015" s="6" t="s">
        <v>2980</v>
      </c>
      <c r="B1015" s="17">
        <v>45459.0</v>
      </c>
      <c r="C1015" s="6" t="s">
        <v>481</v>
      </c>
      <c r="D1015" s="6" t="s">
        <v>1723</v>
      </c>
      <c r="E1015" s="6" t="s">
        <v>1950</v>
      </c>
      <c r="F1015" s="6">
        <v>1.0</v>
      </c>
      <c r="G1015" s="13">
        <v>804.9</v>
      </c>
      <c r="H1015" s="6">
        <v>0.03</v>
      </c>
      <c r="I1015" s="6" t="s">
        <v>1967</v>
      </c>
      <c r="J1015" s="13">
        <v>780.7529999999999</v>
      </c>
      <c r="K1015" s="6" t="str">
        <f t="shared" si="1"/>
        <v>Low Earnings</v>
      </c>
    </row>
    <row r="1016" ht="14.25" customHeight="1">
      <c r="A1016" s="6" t="s">
        <v>2981</v>
      </c>
      <c r="B1016" s="17">
        <v>45560.0</v>
      </c>
      <c r="C1016" s="6" t="s">
        <v>135</v>
      </c>
      <c r="D1016" s="6" t="s">
        <v>1770</v>
      </c>
      <c r="E1016" s="6" t="s">
        <v>1922</v>
      </c>
      <c r="F1016" s="6">
        <v>1.0</v>
      </c>
      <c r="G1016" s="13">
        <v>846.67</v>
      </c>
      <c r="H1016" s="6">
        <v>0.1</v>
      </c>
      <c r="I1016" s="6" t="s">
        <v>1973</v>
      </c>
      <c r="J1016" s="13">
        <v>762.0029999999999</v>
      </c>
      <c r="K1016" s="6" t="str">
        <f t="shared" si="1"/>
        <v>Low Earnings</v>
      </c>
    </row>
    <row r="1017" ht="14.25" customHeight="1">
      <c r="A1017" s="6" t="s">
        <v>2982</v>
      </c>
      <c r="B1017" s="17">
        <v>45367.0</v>
      </c>
      <c r="C1017" s="6" t="s">
        <v>85</v>
      </c>
      <c r="D1017" s="6" t="s">
        <v>1653</v>
      </c>
      <c r="E1017" s="6" t="s">
        <v>1916</v>
      </c>
      <c r="F1017" s="6">
        <v>4.0</v>
      </c>
      <c r="G1017" s="13">
        <v>73.55</v>
      </c>
      <c r="H1017" s="6">
        <v>0.24</v>
      </c>
      <c r="I1017" s="6" t="s">
        <v>1973</v>
      </c>
      <c r="J1017" s="13">
        <v>223.592</v>
      </c>
      <c r="K1017" s="6" t="str">
        <f t="shared" si="1"/>
        <v>Low Earnings</v>
      </c>
    </row>
    <row r="1018" ht="14.25" customHeight="1">
      <c r="A1018" s="6" t="s">
        <v>2983</v>
      </c>
      <c r="B1018" s="17">
        <v>45861.0</v>
      </c>
      <c r="C1018" s="6" t="s">
        <v>899</v>
      </c>
      <c r="D1018" s="6" t="s">
        <v>1864</v>
      </c>
      <c r="E1018" s="6" t="s">
        <v>1916</v>
      </c>
      <c r="F1018" s="6">
        <v>1.0</v>
      </c>
      <c r="G1018" s="13">
        <v>882.03</v>
      </c>
      <c r="H1018" s="6">
        <v>0.04</v>
      </c>
      <c r="I1018" s="6" t="s">
        <v>1973</v>
      </c>
      <c r="J1018" s="13">
        <v>846.7488</v>
      </c>
      <c r="K1018" s="6" t="str">
        <f t="shared" si="1"/>
        <v>Low Earnings</v>
      </c>
    </row>
    <row r="1019" ht="14.25" customHeight="1">
      <c r="A1019" s="6" t="s">
        <v>2984</v>
      </c>
      <c r="B1019" s="17">
        <v>45589.0</v>
      </c>
      <c r="C1019" s="6" t="s">
        <v>51</v>
      </c>
      <c r="D1019" s="6" t="s">
        <v>1647</v>
      </c>
      <c r="E1019" s="6" t="s">
        <v>1939</v>
      </c>
      <c r="F1019" s="6">
        <v>1.0</v>
      </c>
      <c r="G1019" s="13">
        <v>958.44</v>
      </c>
      <c r="H1019" s="6">
        <v>0.21</v>
      </c>
      <c r="I1019" s="6" t="s">
        <v>1965</v>
      </c>
      <c r="J1019" s="13">
        <v>757.1676000000001</v>
      </c>
      <c r="K1019" s="6" t="str">
        <f t="shared" si="1"/>
        <v>Low Earnings</v>
      </c>
    </row>
    <row r="1020" ht="14.25" customHeight="1">
      <c r="A1020" s="6" t="s">
        <v>2985</v>
      </c>
      <c r="B1020" s="17">
        <v>45560.0</v>
      </c>
      <c r="C1020" s="6" t="s">
        <v>51</v>
      </c>
      <c r="D1020" s="6" t="s">
        <v>1885</v>
      </c>
      <c r="E1020" s="6" t="s">
        <v>1901</v>
      </c>
      <c r="F1020" s="6">
        <v>1.0</v>
      </c>
      <c r="G1020" s="13">
        <v>716.29</v>
      </c>
      <c r="H1020" s="6">
        <v>0.01</v>
      </c>
      <c r="I1020" s="6" t="s">
        <v>1967</v>
      </c>
      <c r="J1020" s="13">
        <v>709.1270999999999</v>
      </c>
      <c r="K1020" s="6" t="str">
        <f t="shared" si="1"/>
        <v>Low Earnings</v>
      </c>
    </row>
    <row r="1021" ht="14.25" customHeight="1">
      <c r="A1021" s="6" t="s">
        <v>2986</v>
      </c>
      <c r="B1021" s="17">
        <v>45408.0</v>
      </c>
      <c r="C1021" s="6" t="s">
        <v>1032</v>
      </c>
      <c r="D1021" s="6" t="s">
        <v>1599</v>
      </c>
      <c r="E1021" s="6" t="s">
        <v>1944</v>
      </c>
      <c r="F1021" s="6">
        <v>2.0</v>
      </c>
      <c r="G1021" s="13">
        <v>409.14</v>
      </c>
      <c r="H1021" s="6">
        <v>0.01</v>
      </c>
      <c r="I1021" s="6" t="s">
        <v>1967</v>
      </c>
      <c r="J1021" s="13">
        <v>810.0971999999999</v>
      </c>
      <c r="K1021" s="6" t="str">
        <f t="shared" si="1"/>
        <v>Low Earnings</v>
      </c>
    </row>
    <row r="1022" ht="14.25" customHeight="1">
      <c r="A1022" s="6" t="s">
        <v>2987</v>
      </c>
      <c r="B1022" s="17">
        <v>45714.0</v>
      </c>
      <c r="C1022" s="6" t="s">
        <v>312</v>
      </c>
      <c r="D1022" s="6" t="s">
        <v>1885</v>
      </c>
      <c r="E1022" s="6" t="s">
        <v>1926</v>
      </c>
      <c r="F1022" s="6">
        <v>4.0</v>
      </c>
      <c r="G1022" s="13">
        <v>261.73</v>
      </c>
      <c r="H1022" s="6">
        <v>0.1</v>
      </c>
      <c r="I1022" s="6" t="s">
        <v>1967</v>
      </c>
      <c r="J1022" s="13">
        <v>942.2280000000001</v>
      </c>
      <c r="K1022" s="6" t="str">
        <f t="shared" si="1"/>
        <v>Low Earnings</v>
      </c>
    </row>
    <row r="1023" ht="14.25" customHeight="1">
      <c r="A1023" s="6" t="s">
        <v>2988</v>
      </c>
      <c r="B1023" s="17">
        <v>45661.0</v>
      </c>
      <c r="C1023" s="6" t="s">
        <v>1453</v>
      </c>
      <c r="D1023" s="6" t="s">
        <v>1611</v>
      </c>
      <c r="E1023" s="6" t="s">
        <v>1892</v>
      </c>
      <c r="F1023" s="6">
        <v>2.0</v>
      </c>
      <c r="G1023" s="13">
        <v>687.35</v>
      </c>
      <c r="H1023" s="6">
        <v>0.2</v>
      </c>
      <c r="I1023" s="6" t="s">
        <v>1973</v>
      </c>
      <c r="J1023" s="13">
        <v>1099.76</v>
      </c>
      <c r="K1023" s="6" t="str">
        <f t="shared" si="1"/>
        <v>Average Earnings</v>
      </c>
    </row>
    <row r="1024" ht="14.25" customHeight="1">
      <c r="A1024" s="6" t="s">
        <v>2989</v>
      </c>
      <c r="B1024" s="17">
        <v>45921.0</v>
      </c>
      <c r="C1024" s="6" t="s">
        <v>687</v>
      </c>
      <c r="D1024" s="6" t="s">
        <v>1840</v>
      </c>
      <c r="E1024" s="6" t="s">
        <v>1922</v>
      </c>
      <c r="F1024" s="6">
        <v>2.0</v>
      </c>
      <c r="G1024" s="13">
        <v>30.14</v>
      </c>
      <c r="H1024" s="6">
        <v>0.21</v>
      </c>
      <c r="I1024" s="6" t="s">
        <v>1965</v>
      </c>
      <c r="J1024" s="13">
        <v>47.6212</v>
      </c>
      <c r="K1024" s="6" t="str">
        <f t="shared" si="1"/>
        <v>Low Earnings</v>
      </c>
    </row>
    <row r="1025" ht="14.25" customHeight="1">
      <c r="A1025" s="6" t="s">
        <v>2990</v>
      </c>
      <c r="B1025" s="17">
        <v>45651.0</v>
      </c>
      <c r="C1025" s="6" t="s">
        <v>361</v>
      </c>
      <c r="D1025" s="6" t="s">
        <v>1685</v>
      </c>
      <c r="E1025" s="6" t="s">
        <v>1922</v>
      </c>
      <c r="F1025" s="6">
        <v>3.0</v>
      </c>
      <c r="G1025" s="13">
        <v>570.12</v>
      </c>
      <c r="H1025" s="6">
        <v>0.12</v>
      </c>
      <c r="I1025" s="6" t="s">
        <v>1967</v>
      </c>
      <c r="J1025" s="13">
        <v>1505.1168</v>
      </c>
      <c r="K1025" s="6" t="str">
        <f t="shared" si="1"/>
        <v>Average Earnings</v>
      </c>
    </row>
    <row r="1026" ht="14.25" customHeight="1">
      <c r="A1026" s="6" t="s">
        <v>2991</v>
      </c>
      <c r="B1026" s="17">
        <v>45617.0</v>
      </c>
      <c r="C1026" s="6" t="s">
        <v>1332</v>
      </c>
      <c r="D1026" s="6" t="s">
        <v>1864</v>
      </c>
      <c r="E1026" s="6" t="s">
        <v>1939</v>
      </c>
      <c r="F1026" s="6">
        <v>3.0</v>
      </c>
      <c r="G1026" s="13">
        <v>361.65</v>
      </c>
      <c r="H1026" s="6">
        <v>0.15</v>
      </c>
      <c r="I1026" s="6" t="s">
        <v>1973</v>
      </c>
      <c r="J1026" s="13">
        <v>922.2074999999999</v>
      </c>
      <c r="K1026" s="6" t="str">
        <f t="shared" si="1"/>
        <v>Low Earnings</v>
      </c>
    </row>
    <row r="1027" ht="14.25" customHeight="1">
      <c r="A1027" s="6" t="s">
        <v>2992</v>
      </c>
      <c r="B1027" s="17">
        <v>45883.0</v>
      </c>
      <c r="C1027" s="6" t="s">
        <v>908</v>
      </c>
      <c r="D1027" s="6" t="s">
        <v>1819</v>
      </c>
      <c r="E1027" s="6" t="s">
        <v>1953</v>
      </c>
      <c r="F1027" s="6">
        <v>3.0</v>
      </c>
      <c r="G1027" s="13">
        <v>401.87</v>
      </c>
      <c r="H1027" s="6">
        <v>0.29</v>
      </c>
      <c r="I1027" s="6" t="s">
        <v>1973</v>
      </c>
      <c r="J1027" s="13">
        <v>855.9831</v>
      </c>
      <c r="K1027" s="6" t="str">
        <f t="shared" si="1"/>
        <v>Low Earnings</v>
      </c>
    </row>
    <row r="1028" ht="14.25" customHeight="1">
      <c r="A1028" s="6" t="s">
        <v>2993</v>
      </c>
      <c r="B1028" s="17">
        <v>45624.0</v>
      </c>
      <c r="C1028" s="6" t="s">
        <v>1540</v>
      </c>
      <c r="D1028" s="6" t="s">
        <v>1825</v>
      </c>
      <c r="E1028" s="6" t="s">
        <v>1934</v>
      </c>
      <c r="F1028" s="6">
        <v>4.0</v>
      </c>
      <c r="G1028" s="13">
        <v>619.35</v>
      </c>
      <c r="H1028" s="6">
        <v>0.3</v>
      </c>
      <c r="I1028" s="6" t="s">
        <v>1965</v>
      </c>
      <c r="J1028" s="13">
        <v>1734.18</v>
      </c>
      <c r="K1028" s="6" t="str">
        <f t="shared" si="1"/>
        <v>Average Earnings</v>
      </c>
    </row>
    <row r="1029" ht="14.25" customHeight="1">
      <c r="A1029" s="6" t="s">
        <v>2994</v>
      </c>
      <c r="B1029" s="17">
        <v>45276.0</v>
      </c>
      <c r="C1029" s="6" t="s">
        <v>806</v>
      </c>
      <c r="D1029" s="6" t="s">
        <v>1723</v>
      </c>
      <c r="E1029" s="6" t="s">
        <v>1947</v>
      </c>
      <c r="F1029" s="6">
        <v>4.0</v>
      </c>
      <c r="G1029" s="13">
        <v>569.36</v>
      </c>
      <c r="H1029" s="6">
        <v>0.27</v>
      </c>
      <c r="I1029" s="6" t="s">
        <v>1967</v>
      </c>
      <c r="J1029" s="13">
        <v>1662.5312</v>
      </c>
      <c r="K1029" s="6" t="str">
        <f t="shared" si="1"/>
        <v>Average Earnings</v>
      </c>
    </row>
    <row r="1030" ht="14.25" customHeight="1">
      <c r="A1030" s="6" t="s">
        <v>2995</v>
      </c>
      <c r="B1030" s="17">
        <v>45344.0</v>
      </c>
      <c r="C1030" s="6" t="s">
        <v>1482</v>
      </c>
      <c r="D1030" s="6" t="s">
        <v>1663</v>
      </c>
      <c r="E1030" s="6" t="s">
        <v>1909</v>
      </c>
      <c r="F1030" s="6">
        <v>2.0</v>
      </c>
      <c r="G1030" s="13">
        <v>846.35</v>
      </c>
      <c r="H1030" s="6">
        <v>0.3</v>
      </c>
      <c r="I1030" s="6" t="s">
        <v>1973</v>
      </c>
      <c r="J1030" s="13">
        <v>1184.89</v>
      </c>
      <c r="K1030" s="6" t="str">
        <f t="shared" si="1"/>
        <v>Average Earnings</v>
      </c>
    </row>
    <row r="1031" ht="14.25" customHeight="1">
      <c r="A1031" s="6" t="s">
        <v>2996</v>
      </c>
      <c r="B1031" s="17">
        <v>45849.0</v>
      </c>
      <c r="C1031" s="6" t="s">
        <v>1362</v>
      </c>
      <c r="D1031" s="6" t="s">
        <v>1672</v>
      </c>
      <c r="E1031" s="6" t="s">
        <v>1901</v>
      </c>
      <c r="F1031" s="6">
        <v>1.0</v>
      </c>
      <c r="G1031" s="13">
        <v>788.45</v>
      </c>
      <c r="H1031" s="6">
        <v>0.29</v>
      </c>
      <c r="I1031" s="6" t="s">
        <v>1967</v>
      </c>
      <c r="J1031" s="13">
        <v>559.7995</v>
      </c>
      <c r="K1031" s="6" t="str">
        <f t="shared" si="1"/>
        <v>Low Earnings</v>
      </c>
    </row>
    <row r="1032" ht="14.25" customHeight="1">
      <c r="A1032" s="6" t="s">
        <v>2997</v>
      </c>
      <c r="B1032" s="17">
        <v>45880.0</v>
      </c>
      <c r="C1032" s="6" t="s">
        <v>1143</v>
      </c>
      <c r="D1032" s="6" t="s">
        <v>1688</v>
      </c>
      <c r="E1032" s="6" t="s">
        <v>1934</v>
      </c>
      <c r="F1032" s="6">
        <v>2.0</v>
      </c>
      <c r="G1032" s="13">
        <v>338.81</v>
      </c>
      <c r="H1032" s="6">
        <v>0.07</v>
      </c>
      <c r="I1032" s="6" t="s">
        <v>1973</v>
      </c>
      <c r="J1032" s="13">
        <v>630.1866</v>
      </c>
      <c r="K1032" s="6" t="str">
        <f t="shared" si="1"/>
        <v>Low Earnings</v>
      </c>
    </row>
    <row r="1033" ht="14.25" customHeight="1">
      <c r="A1033" s="6" t="s">
        <v>2998</v>
      </c>
      <c r="B1033" s="17">
        <v>45907.0</v>
      </c>
      <c r="C1033" s="6" t="s">
        <v>118</v>
      </c>
      <c r="D1033" s="6" t="s">
        <v>1618</v>
      </c>
      <c r="E1033" s="6" t="s">
        <v>1913</v>
      </c>
      <c r="F1033" s="6">
        <v>4.0</v>
      </c>
      <c r="G1033" s="13">
        <v>94.48</v>
      </c>
      <c r="H1033" s="6">
        <v>0.06</v>
      </c>
      <c r="I1033" s="6" t="s">
        <v>1973</v>
      </c>
      <c r="J1033" s="13">
        <v>355.2448</v>
      </c>
      <c r="K1033" s="6" t="str">
        <f t="shared" si="1"/>
        <v>Low Earnings</v>
      </c>
    </row>
    <row r="1034" ht="14.25" customHeight="1">
      <c r="A1034" s="6" t="s">
        <v>2999</v>
      </c>
      <c r="B1034" s="17">
        <v>45545.0</v>
      </c>
      <c r="C1034" s="6" t="s">
        <v>1485</v>
      </c>
      <c r="D1034" s="6" t="s">
        <v>1636</v>
      </c>
      <c r="E1034" s="6" t="s">
        <v>1937</v>
      </c>
      <c r="F1034" s="6">
        <v>3.0</v>
      </c>
      <c r="G1034" s="13">
        <v>941.85</v>
      </c>
      <c r="H1034" s="6">
        <v>0.16</v>
      </c>
      <c r="I1034" s="6" t="s">
        <v>1967</v>
      </c>
      <c r="J1034" s="13">
        <v>2373.462</v>
      </c>
      <c r="K1034" s="6" t="str">
        <f t="shared" si="1"/>
        <v>Average Earnings</v>
      </c>
    </row>
    <row r="1035" ht="14.25" customHeight="1">
      <c r="A1035" s="6" t="s">
        <v>3000</v>
      </c>
      <c r="B1035" s="17">
        <v>45257.0</v>
      </c>
      <c r="C1035" s="6" t="s">
        <v>549</v>
      </c>
      <c r="D1035" s="6" t="s">
        <v>1720</v>
      </c>
      <c r="E1035" s="6" t="s">
        <v>1913</v>
      </c>
      <c r="F1035" s="6">
        <v>2.0</v>
      </c>
      <c r="G1035" s="13">
        <v>336.97</v>
      </c>
      <c r="H1035" s="6">
        <v>0.14</v>
      </c>
      <c r="I1035" s="6" t="s">
        <v>1967</v>
      </c>
      <c r="J1035" s="13">
        <v>579.5884000000001</v>
      </c>
      <c r="K1035" s="6" t="str">
        <f t="shared" si="1"/>
        <v>Low Earnings</v>
      </c>
    </row>
    <row r="1036" ht="14.25" customHeight="1">
      <c r="A1036" s="6" t="s">
        <v>3001</v>
      </c>
      <c r="B1036" s="17">
        <v>45466.0</v>
      </c>
      <c r="C1036" s="6" t="s">
        <v>993</v>
      </c>
      <c r="D1036" s="6" t="s">
        <v>1581</v>
      </c>
      <c r="E1036" s="6" t="s">
        <v>1913</v>
      </c>
      <c r="F1036" s="6">
        <v>2.0</v>
      </c>
      <c r="G1036" s="13">
        <v>344.16</v>
      </c>
      <c r="H1036" s="6">
        <v>0.09</v>
      </c>
      <c r="I1036" s="6" t="s">
        <v>1967</v>
      </c>
      <c r="J1036" s="13">
        <v>626.3712</v>
      </c>
      <c r="K1036" s="6" t="str">
        <f t="shared" si="1"/>
        <v>Low Earnings</v>
      </c>
    </row>
    <row r="1037" ht="14.25" customHeight="1">
      <c r="A1037" s="6" t="s">
        <v>3002</v>
      </c>
      <c r="B1037" s="17">
        <v>45763.0</v>
      </c>
      <c r="C1037" s="6" t="s">
        <v>552</v>
      </c>
      <c r="D1037" s="6" t="s">
        <v>1590</v>
      </c>
      <c r="E1037" s="6" t="s">
        <v>1909</v>
      </c>
      <c r="F1037" s="6">
        <v>1.0</v>
      </c>
      <c r="G1037" s="13">
        <v>271.76</v>
      </c>
      <c r="H1037" s="6">
        <v>0.03</v>
      </c>
      <c r="I1037" s="6" t="s">
        <v>1965</v>
      </c>
      <c r="J1037" s="13">
        <v>263.6072</v>
      </c>
      <c r="K1037" s="6" t="str">
        <f t="shared" si="1"/>
        <v>Low Earnings</v>
      </c>
    </row>
    <row r="1038" ht="14.25" customHeight="1">
      <c r="A1038" s="6" t="s">
        <v>3003</v>
      </c>
      <c r="B1038" s="17">
        <v>45847.0</v>
      </c>
      <c r="C1038" s="6" t="s">
        <v>963</v>
      </c>
      <c r="D1038" s="6" t="s">
        <v>1730</v>
      </c>
      <c r="E1038" s="6" t="s">
        <v>1926</v>
      </c>
      <c r="F1038" s="6">
        <v>1.0</v>
      </c>
      <c r="G1038" s="13">
        <v>841.53</v>
      </c>
      <c r="H1038" s="6">
        <v>0.15</v>
      </c>
      <c r="I1038" s="6" t="s">
        <v>1965</v>
      </c>
      <c r="J1038" s="13">
        <v>715.3004999999999</v>
      </c>
      <c r="K1038" s="6" t="str">
        <f t="shared" si="1"/>
        <v>Low Earnings</v>
      </c>
    </row>
    <row r="1039" ht="14.25" customHeight="1">
      <c r="A1039" s="6" t="s">
        <v>3004</v>
      </c>
      <c r="B1039" s="17">
        <v>45825.0</v>
      </c>
      <c r="C1039" s="6" t="s">
        <v>1332</v>
      </c>
      <c r="D1039" s="6" t="s">
        <v>1837</v>
      </c>
      <c r="E1039" s="6" t="s">
        <v>1947</v>
      </c>
      <c r="F1039" s="6">
        <v>3.0</v>
      </c>
      <c r="G1039" s="13">
        <v>63.36</v>
      </c>
      <c r="H1039" s="6">
        <v>0.29</v>
      </c>
      <c r="I1039" s="6" t="s">
        <v>1973</v>
      </c>
      <c r="J1039" s="13">
        <v>134.9568</v>
      </c>
      <c r="K1039" s="6" t="str">
        <f t="shared" si="1"/>
        <v>Low Earnings</v>
      </c>
    </row>
    <row r="1040" ht="14.25" customHeight="1">
      <c r="A1040" s="6" t="s">
        <v>3005</v>
      </c>
      <c r="B1040" s="17">
        <v>45839.0</v>
      </c>
      <c r="C1040" s="6" t="s">
        <v>1540</v>
      </c>
      <c r="D1040" s="6" t="s">
        <v>1822</v>
      </c>
      <c r="E1040" s="6" t="s">
        <v>1922</v>
      </c>
      <c r="F1040" s="6">
        <v>2.0</v>
      </c>
      <c r="G1040" s="13">
        <v>552.49</v>
      </c>
      <c r="H1040" s="6">
        <v>0.1</v>
      </c>
      <c r="I1040" s="6" t="s">
        <v>1965</v>
      </c>
      <c r="J1040" s="13">
        <v>994.4820000000001</v>
      </c>
      <c r="K1040" s="6" t="str">
        <f t="shared" si="1"/>
        <v>Low Earnings</v>
      </c>
    </row>
    <row r="1041" ht="14.25" customHeight="1">
      <c r="A1041" s="6" t="s">
        <v>3006</v>
      </c>
      <c r="B1041" s="17">
        <v>45720.0</v>
      </c>
      <c r="C1041" s="6" t="s">
        <v>773</v>
      </c>
      <c r="D1041" s="6" t="s">
        <v>1653</v>
      </c>
      <c r="E1041" s="6" t="s">
        <v>1916</v>
      </c>
      <c r="F1041" s="6">
        <v>3.0</v>
      </c>
      <c r="G1041" s="13">
        <v>447.38</v>
      </c>
      <c r="H1041" s="6">
        <v>0.03</v>
      </c>
      <c r="I1041" s="6" t="s">
        <v>1965</v>
      </c>
      <c r="J1041" s="13">
        <v>1301.8758</v>
      </c>
      <c r="K1041" s="6" t="str">
        <f t="shared" si="1"/>
        <v>Average Earnings</v>
      </c>
    </row>
    <row r="1042" ht="14.25" customHeight="1">
      <c r="A1042" s="6" t="s">
        <v>3007</v>
      </c>
      <c r="B1042" s="17">
        <v>45250.0</v>
      </c>
      <c r="C1042" s="6" t="s">
        <v>1408</v>
      </c>
      <c r="D1042" s="6" t="s">
        <v>1807</v>
      </c>
      <c r="E1042" s="6" t="s">
        <v>1953</v>
      </c>
      <c r="F1042" s="6">
        <v>1.0</v>
      </c>
      <c r="G1042" s="13">
        <v>727.7</v>
      </c>
      <c r="H1042" s="6">
        <v>0.21</v>
      </c>
      <c r="I1042" s="6" t="s">
        <v>1973</v>
      </c>
      <c r="J1042" s="13">
        <v>574.883</v>
      </c>
      <c r="K1042" s="6" t="str">
        <f t="shared" si="1"/>
        <v>Low Earnings</v>
      </c>
    </row>
    <row r="1043" ht="14.25" customHeight="1">
      <c r="A1043" s="6" t="s">
        <v>3008</v>
      </c>
      <c r="B1043" s="17">
        <v>45258.0</v>
      </c>
      <c r="C1043" s="6" t="s">
        <v>1368</v>
      </c>
      <c r="D1043" s="6" t="s">
        <v>1740</v>
      </c>
      <c r="E1043" s="6" t="s">
        <v>1919</v>
      </c>
      <c r="F1043" s="6">
        <v>4.0</v>
      </c>
      <c r="G1043" s="13">
        <v>581.34</v>
      </c>
      <c r="H1043" s="6">
        <v>0.08</v>
      </c>
      <c r="I1043" s="6" t="s">
        <v>1965</v>
      </c>
      <c r="J1043" s="13">
        <v>2139.3312</v>
      </c>
      <c r="K1043" s="6" t="str">
        <f t="shared" si="1"/>
        <v>Average Earnings</v>
      </c>
    </row>
    <row r="1044" ht="14.25" customHeight="1">
      <c r="A1044" s="6" t="s">
        <v>3009</v>
      </c>
      <c r="B1044" s="17">
        <v>45793.0</v>
      </c>
      <c r="C1044" s="6" t="s">
        <v>352</v>
      </c>
      <c r="D1044" s="6" t="s">
        <v>1785</v>
      </c>
      <c r="E1044" s="6" t="s">
        <v>1897</v>
      </c>
      <c r="F1044" s="6">
        <v>1.0</v>
      </c>
      <c r="G1044" s="13">
        <v>338.83</v>
      </c>
      <c r="H1044" s="6">
        <v>0.19</v>
      </c>
      <c r="I1044" s="6" t="s">
        <v>1967</v>
      </c>
      <c r="J1044" s="13">
        <v>274.4523</v>
      </c>
      <c r="K1044" s="6" t="str">
        <f t="shared" si="1"/>
        <v>Low Earnings</v>
      </c>
    </row>
    <row r="1045" ht="14.25" customHeight="1">
      <c r="A1045" s="6" t="s">
        <v>3010</v>
      </c>
      <c r="B1045" s="17">
        <v>45265.0</v>
      </c>
      <c r="C1045" s="6" t="s">
        <v>920</v>
      </c>
      <c r="D1045" s="6" t="s">
        <v>1733</v>
      </c>
      <c r="E1045" s="6" t="s">
        <v>1937</v>
      </c>
      <c r="F1045" s="6">
        <v>4.0</v>
      </c>
      <c r="G1045" s="13">
        <v>568.81</v>
      </c>
      <c r="H1045" s="6">
        <v>0.25</v>
      </c>
      <c r="I1045" s="6" t="s">
        <v>1965</v>
      </c>
      <c r="J1045" s="13">
        <v>1706.43</v>
      </c>
      <c r="K1045" s="6" t="str">
        <f t="shared" si="1"/>
        <v>Average Earnings</v>
      </c>
    </row>
    <row r="1046" ht="14.25" customHeight="1">
      <c r="A1046" s="6" t="s">
        <v>3011</v>
      </c>
      <c r="B1046" s="17">
        <v>45607.0</v>
      </c>
      <c r="C1046" s="6" t="s">
        <v>1188</v>
      </c>
      <c r="D1046" s="6" t="s">
        <v>1770</v>
      </c>
      <c r="E1046" s="6" t="s">
        <v>1947</v>
      </c>
      <c r="F1046" s="6">
        <v>2.0</v>
      </c>
      <c r="G1046" s="13">
        <v>352.63</v>
      </c>
      <c r="H1046" s="6">
        <v>0.15</v>
      </c>
      <c r="I1046" s="6" t="s">
        <v>1967</v>
      </c>
      <c r="J1046" s="13">
        <v>599.471</v>
      </c>
      <c r="K1046" s="6" t="str">
        <f t="shared" si="1"/>
        <v>Low Earnings</v>
      </c>
    </row>
    <row r="1047" ht="14.25" customHeight="1">
      <c r="A1047" s="6" t="s">
        <v>3012</v>
      </c>
      <c r="B1047" s="17">
        <v>45382.0</v>
      </c>
      <c r="C1047" s="6" t="s">
        <v>534</v>
      </c>
      <c r="D1047" s="6" t="s">
        <v>1876</v>
      </c>
      <c r="E1047" s="6" t="s">
        <v>1937</v>
      </c>
      <c r="F1047" s="6">
        <v>2.0</v>
      </c>
      <c r="G1047" s="13">
        <v>629.86</v>
      </c>
      <c r="H1047" s="6">
        <v>0.15</v>
      </c>
      <c r="I1047" s="6" t="s">
        <v>1967</v>
      </c>
      <c r="J1047" s="13">
        <v>1070.762</v>
      </c>
      <c r="K1047" s="6" t="str">
        <f t="shared" si="1"/>
        <v>Average Earnings</v>
      </c>
    </row>
    <row r="1048" ht="14.25" customHeight="1">
      <c r="A1048" s="6" t="s">
        <v>3013</v>
      </c>
      <c r="B1048" s="17">
        <v>45618.0</v>
      </c>
      <c r="C1048" s="6" t="s">
        <v>1032</v>
      </c>
      <c r="D1048" s="6" t="s">
        <v>1733</v>
      </c>
      <c r="E1048" s="6" t="s">
        <v>1929</v>
      </c>
      <c r="F1048" s="6">
        <v>3.0</v>
      </c>
      <c r="G1048" s="13">
        <v>958.15</v>
      </c>
      <c r="H1048" s="6">
        <v>0.24</v>
      </c>
      <c r="I1048" s="6" t="s">
        <v>1973</v>
      </c>
      <c r="J1048" s="13">
        <v>2184.582</v>
      </c>
      <c r="K1048" s="6" t="str">
        <f t="shared" si="1"/>
        <v>Average Earnings</v>
      </c>
    </row>
    <row r="1049" ht="14.25" customHeight="1">
      <c r="A1049" s="6" t="s">
        <v>3014</v>
      </c>
      <c r="B1049" s="17">
        <v>45793.0</v>
      </c>
      <c r="C1049" s="6" t="s">
        <v>1532</v>
      </c>
      <c r="D1049" s="6" t="s">
        <v>1882</v>
      </c>
      <c r="E1049" s="6" t="s">
        <v>1906</v>
      </c>
      <c r="F1049" s="6">
        <v>3.0</v>
      </c>
      <c r="G1049" s="13">
        <v>212.08</v>
      </c>
      <c r="H1049" s="6">
        <v>0.07</v>
      </c>
      <c r="I1049" s="6" t="s">
        <v>1965</v>
      </c>
      <c r="J1049" s="13">
        <v>591.7031999999999</v>
      </c>
      <c r="K1049" s="6" t="str">
        <f t="shared" si="1"/>
        <v>Low Earnings</v>
      </c>
    </row>
    <row r="1050" ht="14.25" customHeight="1">
      <c r="A1050" s="6" t="s">
        <v>3015</v>
      </c>
      <c r="B1050" s="17">
        <v>45590.0</v>
      </c>
      <c r="C1050" s="6" t="s">
        <v>549</v>
      </c>
      <c r="D1050" s="6" t="s">
        <v>1758</v>
      </c>
      <c r="E1050" s="6" t="s">
        <v>1901</v>
      </c>
      <c r="F1050" s="6">
        <v>3.0</v>
      </c>
      <c r="G1050" s="13">
        <v>878.62</v>
      </c>
      <c r="H1050" s="6">
        <v>0.05</v>
      </c>
      <c r="I1050" s="6" t="s">
        <v>1967</v>
      </c>
      <c r="J1050" s="13">
        <v>2504.067</v>
      </c>
      <c r="K1050" s="6" t="str">
        <f t="shared" si="1"/>
        <v>High Earnings</v>
      </c>
    </row>
    <row r="1051" ht="14.25" customHeight="1">
      <c r="A1051" s="6" t="s">
        <v>3016</v>
      </c>
      <c r="B1051" s="17">
        <v>45679.0</v>
      </c>
      <c r="C1051" s="6" t="s">
        <v>848</v>
      </c>
      <c r="D1051" s="6" t="s">
        <v>1828</v>
      </c>
      <c r="E1051" s="6" t="s">
        <v>1929</v>
      </c>
      <c r="F1051" s="6">
        <v>4.0</v>
      </c>
      <c r="G1051" s="13">
        <v>87.83</v>
      </c>
      <c r="H1051" s="6">
        <v>0.23</v>
      </c>
      <c r="I1051" s="6" t="s">
        <v>1967</v>
      </c>
      <c r="J1051" s="13">
        <v>270.5164</v>
      </c>
      <c r="K1051" s="6" t="str">
        <f t="shared" si="1"/>
        <v>Low Earnings</v>
      </c>
    </row>
    <row r="1052" ht="14.25" customHeight="1">
      <c r="A1052" s="6" t="s">
        <v>3017</v>
      </c>
      <c r="B1052" s="17">
        <v>45814.0</v>
      </c>
      <c r="C1052" s="6" t="s">
        <v>890</v>
      </c>
      <c r="D1052" s="6" t="s">
        <v>1755</v>
      </c>
      <c r="E1052" s="6" t="s">
        <v>1926</v>
      </c>
      <c r="F1052" s="6">
        <v>3.0</v>
      </c>
      <c r="G1052" s="13">
        <v>442.64</v>
      </c>
      <c r="H1052" s="6">
        <v>0.15</v>
      </c>
      <c r="I1052" s="6" t="s">
        <v>1973</v>
      </c>
      <c r="J1052" s="13">
        <v>1128.732</v>
      </c>
      <c r="K1052" s="6" t="str">
        <f t="shared" si="1"/>
        <v>Average Earnings</v>
      </c>
    </row>
    <row r="1053" ht="14.25" customHeight="1">
      <c r="A1053" s="6" t="s">
        <v>3018</v>
      </c>
      <c r="B1053" s="17">
        <v>45795.0</v>
      </c>
      <c r="C1053" s="6" t="s">
        <v>343</v>
      </c>
      <c r="D1053" s="6" t="s">
        <v>1698</v>
      </c>
      <c r="E1053" s="6" t="s">
        <v>1901</v>
      </c>
      <c r="F1053" s="6">
        <v>3.0</v>
      </c>
      <c r="G1053" s="13">
        <v>410.04</v>
      </c>
      <c r="H1053" s="6">
        <v>0.09</v>
      </c>
      <c r="I1053" s="6" t="s">
        <v>1973</v>
      </c>
      <c r="J1053" s="13">
        <v>1119.4092</v>
      </c>
      <c r="K1053" s="6" t="str">
        <f t="shared" si="1"/>
        <v>Average Earnings</v>
      </c>
    </row>
    <row r="1054" ht="14.25" customHeight="1">
      <c r="A1054" s="6" t="s">
        <v>3019</v>
      </c>
      <c r="B1054" s="17">
        <v>45797.0</v>
      </c>
      <c r="C1054" s="6" t="s">
        <v>466</v>
      </c>
      <c r="D1054" s="6" t="s">
        <v>1870</v>
      </c>
      <c r="E1054" s="6" t="s">
        <v>1947</v>
      </c>
      <c r="F1054" s="6">
        <v>1.0</v>
      </c>
      <c r="G1054" s="13">
        <v>355.31</v>
      </c>
      <c r="H1054" s="6">
        <v>0.27</v>
      </c>
      <c r="I1054" s="6" t="s">
        <v>1965</v>
      </c>
      <c r="J1054" s="13">
        <v>259.3763</v>
      </c>
      <c r="K1054" s="6" t="str">
        <f t="shared" si="1"/>
        <v>Low Earnings</v>
      </c>
    </row>
    <row r="1055" ht="14.25" customHeight="1">
      <c r="A1055" s="6" t="s">
        <v>3020</v>
      </c>
      <c r="B1055" s="17">
        <v>45607.0</v>
      </c>
      <c r="C1055" s="6" t="s">
        <v>1191</v>
      </c>
      <c r="D1055" s="6" t="s">
        <v>1599</v>
      </c>
      <c r="E1055" s="6" t="s">
        <v>1937</v>
      </c>
      <c r="F1055" s="6">
        <v>4.0</v>
      </c>
      <c r="G1055" s="13">
        <v>243.13</v>
      </c>
      <c r="H1055" s="6">
        <v>0.25</v>
      </c>
      <c r="I1055" s="6" t="s">
        <v>1973</v>
      </c>
      <c r="J1055" s="13">
        <v>729.39</v>
      </c>
      <c r="K1055" s="6" t="str">
        <f t="shared" si="1"/>
        <v>Low Earnings</v>
      </c>
    </row>
    <row r="1056" ht="14.25" customHeight="1">
      <c r="A1056" s="6" t="s">
        <v>3021</v>
      </c>
      <c r="B1056" s="17">
        <v>45614.0</v>
      </c>
      <c r="C1056" s="6" t="s">
        <v>752</v>
      </c>
      <c r="D1056" s="6" t="s">
        <v>1764</v>
      </c>
      <c r="E1056" s="6" t="s">
        <v>1932</v>
      </c>
      <c r="F1056" s="6">
        <v>2.0</v>
      </c>
      <c r="G1056" s="13">
        <v>410.63</v>
      </c>
      <c r="H1056" s="6">
        <v>0.28</v>
      </c>
      <c r="I1056" s="6" t="s">
        <v>1973</v>
      </c>
      <c r="J1056" s="13">
        <v>591.3072</v>
      </c>
      <c r="K1056" s="6" t="str">
        <f t="shared" si="1"/>
        <v>Low Earnings</v>
      </c>
    </row>
    <row r="1057" ht="14.25" customHeight="1">
      <c r="A1057" s="6" t="s">
        <v>3022</v>
      </c>
      <c r="B1057" s="17">
        <v>45293.0</v>
      </c>
      <c r="C1057" s="6" t="s">
        <v>1335</v>
      </c>
      <c r="D1057" s="6" t="s">
        <v>1870</v>
      </c>
      <c r="E1057" s="6" t="s">
        <v>1929</v>
      </c>
      <c r="F1057" s="6">
        <v>4.0</v>
      </c>
      <c r="G1057" s="13">
        <v>101.25</v>
      </c>
      <c r="H1057" s="6">
        <v>0.16</v>
      </c>
      <c r="I1057" s="6" t="s">
        <v>1967</v>
      </c>
      <c r="J1057" s="13">
        <v>340.2</v>
      </c>
      <c r="K1057" s="6" t="str">
        <f t="shared" si="1"/>
        <v>Low Earnings</v>
      </c>
    </row>
    <row r="1058" ht="14.25" customHeight="1">
      <c r="A1058" s="6" t="s">
        <v>3023</v>
      </c>
      <c r="B1058" s="17">
        <v>45301.0</v>
      </c>
      <c r="C1058" s="6" t="s">
        <v>745</v>
      </c>
      <c r="D1058" s="6" t="s">
        <v>1590</v>
      </c>
      <c r="E1058" s="6" t="s">
        <v>1947</v>
      </c>
      <c r="F1058" s="6">
        <v>4.0</v>
      </c>
      <c r="G1058" s="13">
        <v>716.39</v>
      </c>
      <c r="H1058" s="6">
        <v>0.03</v>
      </c>
      <c r="I1058" s="6" t="s">
        <v>1967</v>
      </c>
      <c r="J1058" s="13">
        <v>2779.5932</v>
      </c>
      <c r="K1058" s="6" t="str">
        <f t="shared" si="1"/>
        <v>High Earnings</v>
      </c>
    </row>
    <row r="1059" ht="14.25" customHeight="1">
      <c r="A1059" s="6" t="s">
        <v>3024</v>
      </c>
      <c r="B1059" s="17">
        <v>45290.0</v>
      </c>
      <c r="C1059" s="6" t="s">
        <v>1341</v>
      </c>
      <c r="D1059" s="6" t="s">
        <v>1767</v>
      </c>
      <c r="E1059" s="6" t="s">
        <v>1947</v>
      </c>
      <c r="F1059" s="6">
        <v>1.0</v>
      </c>
      <c r="G1059" s="13">
        <v>889.19</v>
      </c>
      <c r="H1059" s="6">
        <v>0.03</v>
      </c>
      <c r="I1059" s="6" t="s">
        <v>1965</v>
      </c>
      <c r="J1059" s="13">
        <v>862.5143</v>
      </c>
      <c r="K1059" s="6" t="str">
        <f t="shared" si="1"/>
        <v>Low Earnings</v>
      </c>
    </row>
    <row r="1060" ht="14.25" customHeight="1">
      <c r="A1060" s="6" t="s">
        <v>3025</v>
      </c>
      <c r="B1060" s="17">
        <v>45311.0</v>
      </c>
      <c r="C1060" s="6" t="s">
        <v>346</v>
      </c>
      <c r="D1060" s="6" t="s">
        <v>1807</v>
      </c>
      <c r="E1060" s="6" t="s">
        <v>1897</v>
      </c>
      <c r="F1060" s="6">
        <v>1.0</v>
      </c>
      <c r="G1060" s="13">
        <v>721.74</v>
      </c>
      <c r="H1060" s="6">
        <v>0.24</v>
      </c>
      <c r="I1060" s="6" t="s">
        <v>1967</v>
      </c>
      <c r="J1060" s="13">
        <v>548.5224000000001</v>
      </c>
      <c r="K1060" s="6" t="str">
        <f t="shared" si="1"/>
        <v>Low Earnings</v>
      </c>
    </row>
    <row r="1061" ht="14.25" customHeight="1">
      <c r="A1061" s="6" t="s">
        <v>3026</v>
      </c>
      <c r="B1061" s="17">
        <v>45702.0</v>
      </c>
      <c r="C1061" s="6" t="s">
        <v>213</v>
      </c>
      <c r="D1061" s="6" t="s">
        <v>1773</v>
      </c>
      <c r="E1061" s="6" t="s">
        <v>1932</v>
      </c>
      <c r="F1061" s="6">
        <v>2.0</v>
      </c>
      <c r="G1061" s="13">
        <v>527.91</v>
      </c>
      <c r="H1061" s="6">
        <v>0.02</v>
      </c>
      <c r="I1061" s="6" t="s">
        <v>1965</v>
      </c>
      <c r="J1061" s="13">
        <v>1034.7036</v>
      </c>
      <c r="K1061" s="6" t="str">
        <f t="shared" si="1"/>
        <v>Average Earnings</v>
      </c>
    </row>
    <row r="1062" ht="14.25" customHeight="1">
      <c r="A1062" s="6" t="s">
        <v>3027</v>
      </c>
      <c r="B1062" s="17">
        <v>45525.0</v>
      </c>
      <c r="C1062" s="6" t="s">
        <v>1020</v>
      </c>
      <c r="D1062" s="6" t="s">
        <v>1743</v>
      </c>
      <c r="E1062" s="6" t="s">
        <v>1937</v>
      </c>
      <c r="F1062" s="6">
        <v>2.0</v>
      </c>
      <c r="G1062" s="13">
        <v>945.92</v>
      </c>
      <c r="H1062" s="6">
        <v>0.19</v>
      </c>
      <c r="I1062" s="6" t="s">
        <v>1973</v>
      </c>
      <c r="J1062" s="13">
        <v>1532.3904</v>
      </c>
      <c r="K1062" s="6" t="str">
        <f t="shared" si="1"/>
        <v>Average Earnings</v>
      </c>
    </row>
    <row r="1063" ht="14.25" customHeight="1">
      <c r="A1063" s="6" t="s">
        <v>3028</v>
      </c>
      <c r="B1063" s="17">
        <v>45780.0</v>
      </c>
      <c r="C1063" s="6" t="s">
        <v>303</v>
      </c>
      <c r="D1063" s="6" t="s">
        <v>1755</v>
      </c>
      <c r="E1063" s="6" t="s">
        <v>1947</v>
      </c>
      <c r="F1063" s="6">
        <v>2.0</v>
      </c>
      <c r="G1063" s="13">
        <v>981.35</v>
      </c>
      <c r="H1063" s="6">
        <v>0.16</v>
      </c>
      <c r="I1063" s="6" t="s">
        <v>1967</v>
      </c>
      <c r="J1063" s="13">
        <v>1648.668</v>
      </c>
      <c r="K1063" s="6" t="str">
        <f t="shared" si="1"/>
        <v>Average Earnings</v>
      </c>
    </row>
    <row r="1064" ht="14.25" customHeight="1">
      <c r="A1064" s="6" t="s">
        <v>3029</v>
      </c>
      <c r="B1064" s="17">
        <v>45819.0</v>
      </c>
      <c r="C1064" s="6" t="s">
        <v>736</v>
      </c>
      <c r="D1064" s="6" t="s">
        <v>1764</v>
      </c>
      <c r="E1064" s="6" t="s">
        <v>1906</v>
      </c>
      <c r="F1064" s="6">
        <v>1.0</v>
      </c>
      <c r="G1064" s="13">
        <v>913.99</v>
      </c>
      <c r="H1064" s="6">
        <v>0.14</v>
      </c>
      <c r="I1064" s="6" t="s">
        <v>1965</v>
      </c>
      <c r="J1064" s="13">
        <v>786.0314</v>
      </c>
      <c r="K1064" s="6" t="str">
        <f t="shared" si="1"/>
        <v>Low Earnings</v>
      </c>
    </row>
    <row r="1065" ht="14.25" customHeight="1">
      <c r="A1065" s="6" t="s">
        <v>3030</v>
      </c>
      <c r="B1065" s="17">
        <v>45863.0</v>
      </c>
      <c r="C1065" s="6" t="s">
        <v>62</v>
      </c>
      <c r="D1065" s="6" t="s">
        <v>1785</v>
      </c>
      <c r="E1065" s="6" t="s">
        <v>1922</v>
      </c>
      <c r="F1065" s="6">
        <v>4.0</v>
      </c>
      <c r="G1065" s="13">
        <v>270.69</v>
      </c>
      <c r="H1065" s="6">
        <v>0.18</v>
      </c>
      <c r="I1065" s="6" t="s">
        <v>1967</v>
      </c>
      <c r="J1065" s="13">
        <v>887.8632</v>
      </c>
      <c r="K1065" s="6" t="str">
        <f t="shared" si="1"/>
        <v>Low Earnings</v>
      </c>
    </row>
    <row r="1066" ht="14.25" customHeight="1">
      <c r="A1066" s="6" t="s">
        <v>3031</v>
      </c>
      <c r="B1066" s="17">
        <v>45687.0</v>
      </c>
      <c r="C1066" s="6" t="s">
        <v>549</v>
      </c>
      <c r="D1066" s="6" t="s">
        <v>1819</v>
      </c>
      <c r="E1066" s="6" t="s">
        <v>1916</v>
      </c>
      <c r="F1066" s="6">
        <v>3.0</v>
      </c>
      <c r="G1066" s="13">
        <v>998.58</v>
      </c>
      <c r="H1066" s="6">
        <v>0.02</v>
      </c>
      <c r="I1066" s="6" t="s">
        <v>1965</v>
      </c>
      <c r="J1066" s="13">
        <v>2935.8252</v>
      </c>
      <c r="K1066" s="6" t="str">
        <f t="shared" si="1"/>
        <v>High Earnings</v>
      </c>
    </row>
    <row r="1067" ht="14.25" customHeight="1">
      <c r="A1067" s="6" t="s">
        <v>3032</v>
      </c>
      <c r="B1067" s="17">
        <v>45806.0</v>
      </c>
      <c r="C1067" s="6" t="s">
        <v>1424</v>
      </c>
      <c r="D1067" s="6" t="s">
        <v>1694</v>
      </c>
      <c r="E1067" s="6" t="s">
        <v>1926</v>
      </c>
      <c r="F1067" s="6">
        <v>3.0</v>
      </c>
      <c r="G1067" s="13">
        <v>765.12</v>
      </c>
      <c r="H1067" s="6">
        <v>0.18</v>
      </c>
      <c r="I1067" s="6" t="s">
        <v>1965</v>
      </c>
      <c r="J1067" s="13">
        <v>1882.1952</v>
      </c>
      <c r="K1067" s="6" t="str">
        <f t="shared" si="1"/>
        <v>Average Earnings</v>
      </c>
    </row>
    <row r="1068" ht="14.25" customHeight="1">
      <c r="A1068" s="6" t="s">
        <v>3033</v>
      </c>
      <c r="B1068" s="17">
        <v>45216.0</v>
      </c>
      <c r="C1068" s="6" t="s">
        <v>272</v>
      </c>
      <c r="D1068" s="6" t="s">
        <v>1779</v>
      </c>
      <c r="E1068" s="6" t="s">
        <v>1953</v>
      </c>
      <c r="F1068" s="6">
        <v>3.0</v>
      </c>
      <c r="G1068" s="13">
        <v>449.99</v>
      </c>
      <c r="H1068" s="6">
        <v>0.17</v>
      </c>
      <c r="I1068" s="6" t="s">
        <v>1973</v>
      </c>
      <c r="J1068" s="13">
        <v>1120.4751</v>
      </c>
      <c r="K1068" s="6" t="str">
        <f t="shared" si="1"/>
        <v>Average Earnings</v>
      </c>
    </row>
    <row r="1069" ht="14.25" customHeight="1">
      <c r="A1069" s="6" t="s">
        <v>3034</v>
      </c>
      <c r="B1069" s="17">
        <v>45639.0</v>
      </c>
      <c r="C1069" s="6" t="s">
        <v>821</v>
      </c>
      <c r="D1069" s="6" t="s">
        <v>1714</v>
      </c>
      <c r="E1069" s="6" t="s">
        <v>1932</v>
      </c>
      <c r="F1069" s="6">
        <v>2.0</v>
      </c>
      <c r="G1069" s="13">
        <v>249.02</v>
      </c>
      <c r="H1069" s="6">
        <v>0.01</v>
      </c>
      <c r="I1069" s="6" t="s">
        <v>1973</v>
      </c>
      <c r="J1069" s="13">
        <v>493.0596</v>
      </c>
      <c r="K1069" s="6" t="str">
        <f t="shared" si="1"/>
        <v>Low Earnings</v>
      </c>
    </row>
    <row r="1070" ht="14.25" customHeight="1">
      <c r="A1070" s="6" t="s">
        <v>3035</v>
      </c>
      <c r="B1070" s="17">
        <v>45904.0</v>
      </c>
      <c r="C1070" s="6" t="s">
        <v>1447</v>
      </c>
      <c r="D1070" s="6" t="s">
        <v>1758</v>
      </c>
      <c r="E1070" s="6" t="s">
        <v>1944</v>
      </c>
      <c r="F1070" s="6">
        <v>4.0</v>
      </c>
      <c r="G1070" s="13">
        <v>689.67</v>
      </c>
      <c r="H1070" s="6">
        <v>0.05</v>
      </c>
      <c r="I1070" s="6" t="s">
        <v>1973</v>
      </c>
      <c r="J1070" s="13">
        <v>2620.746</v>
      </c>
      <c r="K1070" s="6" t="str">
        <f t="shared" si="1"/>
        <v>High Earnings</v>
      </c>
    </row>
    <row r="1071" ht="14.25" customHeight="1">
      <c r="A1071" s="6" t="s">
        <v>3036</v>
      </c>
      <c r="B1071" s="17">
        <v>45454.0</v>
      </c>
      <c r="C1071" s="6" t="s">
        <v>478</v>
      </c>
      <c r="D1071" s="6" t="s">
        <v>1758</v>
      </c>
      <c r="E1071" s="6" t="s">
        <v>1953</v>
      </c>
      <c r="F1071" s="6">
        <v>3.0</v>
      </c>
      <c r="G1071" s="13">
        <v>223.64</v>
      </c>
      <c r="H1071" s="6">
        <v>0.05</v>
      </c>
      <c r="I1071" s="6" t="s">
        <v>1965</v>
      </c>
      <c r="J1071" s="13">
        <v>637.3739999999999</v>
      </c>
      <c r="K1071" s="6" t="str">
        <f t="shared" si="1"/>
        <v>Low Earnings</v>
      </c>
    </row>
    <row r="1072" ht="14.25" customHeight="1">
      <c r="A1072" s="6" t="s">
        <v>3037</v>
      </c>
      <c r="B1072" s="17">
        <v>45934.0</v>
      </c>
      <c r="C1072" s="6" t="s">
        <v>383</v>
      </c>
      <c r="D1072" s="6" t="s">
        <v>1653</v>
      </c>
      <c r="E1072" s="6" t="s">
        <v>1909</v>
      </c>
      <c r="F1072" s="6">
        <v>2.0</v>
      </c>
      <c r="G1072" s="13">
        <v>92.94</v>
      </c>
      <c r="H1072" s="6">
        <v>0.12</v>
      </c>
      <c r="I1072" s="6" t="s">
        <v>1965</v>
      </c>
      <c r="J1072" s="13">
        <v>163.5744</v>
      </c>
      <c r="K1072" s="6" t="str">
        <f t="shared" si="1"/>
        <v>Low Earnings</v>
      </c>
    </row>
    <row r="1073" ht="14.25" customHeight="1">
      <c r="A1073" s="6" t="s">
        <v>3038</v>
      </c>
      <c r="B1073" s="17">
        <v>45401.0</v>
      </c>
      <c r="C1073" s="6" t="s">
        <v>1146</v>
      </c>
      <c r="D1073" s="6" t="s">
        <v>1626</v>
      </c>
      <c r="E1073" s="6" t="s">
        <v>1901</v>
      </c>
      <c r="F1073" s="6">
        <v>4.0</v>
      </c>
      <c r="G1073" s="13">
        <v>268.3</v>
      </c>
      <c r="H1073" s="6">
        <v>0.02</v>
      </c>
      <c r="I1073" s="6" t="s">
        <v>1973</v>
      </c>
      <c r="J1073" s="13">
        <v>1051.736</v>
      </c>
      <c r="K1073" s="6" t="str">
        <f t="shared" si="1"/>
        <v>Average Earnings</v>
      </c>
    </row>
    <row r="1074" ht="14.25" customHeight="1">
      <c r="A1074" s="6" t="s">
        <v>3039</v>
      </c>
      <c r="B1074" s="17">
        <v>45770.0</v>
      </c>
      <c r="C1074" s="6" t="s">
        <v>1384</v>
      </c>
      <c r="D1074" s="6" t="s">
        <v>1764</v>
      </c>
      <c r="E1074" s="6" t="s">
        <v>1953</v>
      </c>
      <c r="F1074" s="6">
        <v>4.0</v>
      </c>
      <c r="G1074" s="13">
        <v>835.61</v>
      </c>
      <c r="H1074" s="6">
        <v>0.03</v>
      </c>
      <c r="I1074" s="6" t="s">
        <v>1965</v>
      </c>
      <c r="J1074" s="13">
        <v>3242.1668</v>
      </c>
      <c r="K1074" s="6" t="str">
        <f t="shared" si="1"/>
        <v>High Earnings</v>
      </c>
    </row>
    <row r="1075" ht="14.25" customHeight="1">
      <c r="A1075" s="6" t="s">
        <v>3040</v>
      </c>
      <c r="B1075" s="17">
        <v>45405.0</v>
      </c>
      <c r="C1075" s="6" t="s">
        <v>1209</v>
      </c>
      <c r="D1075" s="6" t="s">
        <v>1791</v>
      </c>
      <c r="E1075" s="6" t="s">
        <v>1913</v>
      </c>
      <c r="F1075" s="6">
        <v>3.0</v>
      </c>
      <c r="G1075" s="13">
        <v>120.97</v>
      </c>
      <c r="H1075" s="6">
        <v>0.11</v>
      </c>
      <c r="I1075" s="6" t="s">
        <v>1965</v>
      </c>
      <c r="J1075" s="13">
        <v>322.9899</v>
      </c>
      <c r="K1075" s="6" t="str">
        <f t="shared" si="1"/>
        <v>Low Earnings</v>
      </c>
    </row>
    <row r="1076" ht="14.25" customHeight="1">
      <c r="A1076" s="6" t="s">
        <v>3041</v>
      </c>
      <c r="B1076" s="17">
        <v>45424.0</v>
      </c>
      <c r="C1076" s="6" t="s">
        <v>132</v>
      </c>
      <c r="D1076" s="6" t="s">
        <v>1705</v>
      </c>
      <c r="E1076" s="6" t="s">
        <v>1926</v>
      </c>
      <c r="F1076" s="6">
        <v>2.0</v>
      </c>
      <c r="G1076" s="13">
        <v>26.36</v>
      </c>
      <c r="H1076" s="6">
        <v>0.03</v>
      </c>
      <c r="I1076" s="6" t="s">
        <v>1973</v>
      </c>
      <c r="J1076" s="13">
        <v>51.1384</v>
      </c>
      <c r="K1076" s="6" t="str">
        <f t="shared" si="1"/>
        <v>Low Earnings</v>
      </c>
    </row>
    <row r="1077" ht="14.25" customHeight="1">
      <c r="A1077" s="6" t="s">
        <v>3042</v>
      </c>
      <c r="B1077" s="17">
        <v>45881.0</v>
      </c>
      <c r="C1077" s="6" t="s">
        <v>142</v>
      </c>
      <c r="D1077" s="6" t="s">
        <v>1819</v>
      </c>
      <c r="E1077" s="6" t="s">
        <v>1916</v>
      </c>
      <c r="F1077" s="6">
        <v>1.0</v>
      </c>
      <c r="G1077" s="13">
        <v>918.87</v>
      </c>
      <c r="H1077" s="6">
        <v>0.11</v>
      </c>
      <c r="I1077" s="6" t="s">
        <v>1967</v>
      </c>
      <c r="J1077" s="13">
        <v>817.7943</v>
      </c>
      <c r="K1077" s="6" t="str">
        <f t="shared" si="1"/>
        <v>Low Earnings</v>
      </c>
    </row>
    <row r="1078" ht="14.25" customHeight="1">
      <c r="A1078" s="6" t="s">
        <v>3043</v>
      </c>
      <c r="B1078" s="17">
        <v>45794.0</v>
      </c>
      <c r="C1078" s="6" t="s">
        <v>135</v>
      </c>
      <c r="D1078" s="6" t="s">
        <v>1788</v>
      </c>
      <c r="E1078" s="6" t="s">
        <v>1932</v>
      </c>
      <c r="F1078" s="6">
        <v>2.0</v>
      </c>
      <c r="G1078" s="13">
        <v>924.73</v>
      </c>
      <c r="H1078" s="6">
        <v>0.29</v>
      </c>
      <c r="I1078" s="6" t="s">
        <v>1967</v>
      </c>
      <c r="J1078" s="13">
        <v>1313.1166</v>
      </c>
      <c r="K1078" s="6" t="str">
        <f t="shared" si="1"/>
        <v>Average Earnings</v>
      </c>
    </row>
    <row r="1079" ht="14.25" customHeight="1">
      <c r="A1079" s="6" t="s">
        <v>3044</v>
      </c>
      <c r="B1079" s="17">
        <v>45665.0</v>
      </c>
      <c r="C1079" s="6" t="s">
        <v>100</v>
      </c>
      <c r="D1079" s="6" t="s">
        <v>1611</v>
      </c>
      <c r="E1079" s="6" t="s">
        <v>1929</v>
      </c>
      <c r="F1079" s="6">
        <v>3.0</v>
      </c>
      <c r="G1079" s="13">
        <v>195.31</v>
      </c>
      <c r="H1079" s="6">
        <v>0.13</v>
      </c>
      <c r="I1079" s="6" t="s">
        <v>1973</v>
      </c>
      <c r="J1079" s="13">
        <v>509.7591</v>
      </c>
      <c r="K1079" s="6" t="str">
        <f t="shared" si="1"/>
        <v>Low Earnings</v>
      </c>
    </row>
    <row r="1080" ht="14.25" customHeight="1">
      <c r="A1080" s="6" t="s">
        <v>3045</v>
      </c>
      <c r="B1080" s="17">
        <v>45793.0</v>
      </c>
      <c r="C1080" s="6" t="s">
        <v>492</v>
      </c>
      <c r="D1080" s="6" t="s">
        <v>1698</v>
      </c>
      <c r="E1080" s="6" t="s">
        <v>1922</v>
      </c>
      <c r="F1080" s="6">
        <v>1.0</v>
      </c>
      <c r="G1080" s="13">
        <v>91.38</v>
      </c>
      <c r="H1080" s="6">
        <v>0.14</v>
      </c>
      <c r="I1080" s="6" t="s">
        <v>1965</v>
      </c>
      <c r="J1080" s="13">
        <v>78.5868</v>
      </c>
      <c r="K1080" s="6" t="str">
        <f t="shared" si="1"/>
        <v>Low Earnings</v>
      </c>
    </row>
    <row r="1081" ht="14.25" customHeight="1">
      <c r="A1081" s="6" t="s">
        <v>3046</v>
      </c>
      <c r="B1081" s="17">
        <v>45227.0</v>
      </c>
      <c r="C1081" s="6" t="s">
        <v>472</v>
      </c>
      <c r="D1081" s="6" t="s">
        <v>1717</v>
      </c>
      <c r="E1081" s="6" t="s">
        <v>1932</v>
      </c>
      <c r="F1081" s="6">
        <v>1.0</v>
      </c>
      <c r="G1081" s="13">
        <v>541.24</v>
      </c>
      <c r="H1081" s="6">
        <v>0.03</v>
      </c>
      <c r="I1081" s="6" t="s">
        <v>1967</v>
      </c>
      <c r="J1081" s="13">
        <v>525.0028</v>
      </c>
      <c r="K1081" s="6" t="str">
        <f t="shared" si="1"/>
        <v>Low Earnings</v>
      </c>
    </row>
    <row r="1082" ht="14.25" customHeight="1">
      <c r="A1082" s="6" t="s">
        <v>3047</v>
      </c>
      <c r="B1082" s="17">
        <v>45563.0</v>
      </c>
      <c r="C1082" s="6" t="s">
        <v>1503</v>
      </c>
      <c r="D1082" s="6" t="s">
        <v>1846</v>
      </c>
      <c r="E1082" s="6" t="s">
        <v>1932</v>
      </c>
      <c r="F1082" s="6">
        <v>2.0</v>
      </c>
      <c r="G1082" s="13">
        <v>494.35</v>
      </c>
      <c r="H1082" s="6">
        <v>0.1</v>
      </c>
      <c r="I1082" s="6" t="s">
        <v>1965</v>
      </c>
      <c r="J1082" s="13">
        <v>889.83</v>
      </c>
      <c r="K1082" s="6" t="str">
        <f t="shared" si="1"/>
        <v>Low Earnings</v>
      </c>
    </row>
    <row r="1083" ht="14.25" customHeight="1">
      <c r="A1083" s="6" t="s">
        <v>3048</v>
      </c>
      <c r="B1083" s="17">
        <v>45577.0</v>
      </c>
      <c r="C1083" s="6" t="s">
        <v>830</v>
      </c>
      <c r="D1083" s="6" t="s">
        <v>1653</v>
      </c>
      <c r="E1083" s="6" t="s">
        <v>1929</v>
      </c>
      <c r="F1083" s="6">
        <v>1.0</v>
      </c>
      <c r="G1083" s="13">
        <v>412.2</v>
      </c>
      <c r="H1083" s="6">
        <v>0.11</v>
      </c>
      <c r="I1083" s="6" t="s">
        <v>1965</v>
      </c>
      <c r="J1083" s="13">
        <v>366.858</v>
      </c>
      <c r="K1083" s="6" t="str">
        <f t="shared" si="1"/>
        <v>Low Earnings</v>
      </c>
    </row>
    <row r="1084" ht="14.25" customHeight="1">
      <c r="A1084" s="6" t="s">
        <v>3049</v>
      </c>
      <c r="B1084" s="17">
        <v>45466.0</v>
      </c>
      <c r="C1084" s="6" t="s">
        <v>1245</v>
      </c>
      <c r="D1084" s="6" t="s">
        <v>1825</v>
      </c>
      <c r="E1084" s="6" t="s">
        <v>1944</v>
      </c>
      <c r="F1084" s="6">
        <v>1.0</v>
      </c>
      <c r="G1084" s="13">
        <v>650.47</v>
      </c>
      <c r="H1084" s="6">
        <v>0.13</v>
      </c>
      <c r="I1084" s="6" t="s">
        <v>1967</v>
      </c>
      <c r="J1084" s="13">
        <v>565.9089</v>
      </c>
      <c r="K1084" s="6" t="str">
        <f t="shared" si="1"/>
        <v>Low Earnings</v>
      </c>
    </row>
    <row r="1085" ht="14.25" customHeight="1">
      <c r="A1085" s="6" t="s">
        <v>3050</v>
      </c>
      <c r="B1085" s="17">
        <v>45256.0</v>
      </c>
      <c r="C1085" s="6" t="s">
        <v>531</v>
      </c>
      <c r="D1085" s="6" t="s">
        <v>1618</v>
      </c>
      <c r="E1085" s="6" t="s">
        <v>1934</v>
      </c>
      <c r="F1085" s="6">
        <v>1.0</v>
      </c>
      <c r="G1085" s="13">
        <v>68.21</v>
      </c>
      <c r="H1085" s="6">
        <v>0.05</v>
      </c>
      <c r="I1085" s="6" t="s">
        <v>1967</v>
      </c>
      <c r="J1085" s="13">
        <v>64.7995</v>
      </c>
      <c r="K1085" s="6" t="str">
        <f t="shared" si="1"/>
        <v>Low Earnings</v>
      </c>
    </row>
    <row r="1086" ht="14.25" customHeight="1">
      <c r="A1086" s="6" t="s">
        <v>3051</v>
      </c>
      <c r="B1086" s="17">
        <v>45886.0</v>
      </c>
      <c r="C1086" s="6" t="s">
        <v>472</v>
      </c>
      <c r="D1086" s="6" t="s">
        <v>1746</v>
      </c>
      <c r="E1086" s="6" t="s">
        <v>1919</v>
      </c>
      <c r="F1086" s="6">
        <v>2.0</v>
      </c>
      <c r="G1086" s="13">
        <v>842.89</v>
      </c>
      <c r="H1086" s="6">
        <v>0.25</v>
      </c>
      <c r="I1086" s="6" t="s">
        <v>1973</v>
      </c>
      <c r="J1086" s="13">
        <v>1264.335</v>
      </c>
      <c r="K1086" s="6" t="str">
        <f t="shared" si="1"/>
        <v>Average Earnings</v>
      </c>
    </row>
    <row r="1087" ht="14.25" customHeight="1">
      <c r="A1087" s="6" t="s">
        <v>3052</v>
      </c>
      <c r="B1087" s="17">
        <v>45390.0</v>
      </c>
      <c r="C1087" s="6" t="s">
        <v>963</v>
      </c>
      <c r="D1087" s="6" t="s">
        <v>1581</v>
      </c>
      <c r="E1087" s="6" t="s">
        <v>1909</v>
      </c>
      <c r="F1087" s="6">
        <v>2.0</v>
      </c>
      <c r="G1087" s="13">
        <v>227.95</v>
      </c>
      <c r="H1087" s="6">
        <v>0.24</v>
      </c>
      <c r="I1087" s="6" t="s">
        <v>1973</v>
      </c>
      <c r="J1087" s="13">
        <v>346.484</v>
      </c>
      <c r="K1087" s="6" t="str">
        <f t="shared" si="1"/>
        <v>Low Earnings</v>
      </c>
    </row>
    <row r="1088" ht="14.25" customHeight="1">
      <c r="A1088" s="6" t="s">
        <v>3053</v>
      </c>
      <c r="B1088" s="17">
        <v>45388.0</v>
      </c>
      <c r="C1088" s="6" t="s">
        <v>643</v>
      </c>
      <c r="D1088" s="6" t="s">
        <v>1785</v>
      </c>
      <c r="E1088" s="6" t="s">
        <v>1934</v>
      </c>
      <c r="F1088" s="6">
        <v>3.0</v>
      </c>
      <c r="G1088" s="13">
        <v>685.97</v>
      </c>
      <c r="H1088" s="6">
        <v>0.24</v>
      </c>
      <c r="I1088" s="6" t="s">
        <v>1967</v>
      </c>
      <c r="J1088" s="13">
        <v>1564.0116</v>
      </c>
      <c r="K1088" s="6" t="str">
        <f t="shared" si="1"/>
        <v>Average Earnings</v>
      </c>
    </row>
    <row r="1089" ht="14.25" customHeight="1">
      <c r="A1089" s="6" t="s">
        <v>3054</v>
      </c>
      <c r="B1089" s="17">
        <v>45793.0</v>
      </c>
      <c r="C1089" s="6" t="s">
        <v>1158</v>
      </c>
      <c r="D1089" s="6" t="s">
        <v>1669</v>
      </c>
      <c r="E1089" s="6" t="s">
        <v>1901</v>
      </c>
      <c r="F1089" s="6">
        <v>1.0</v>
      </c>
      <c r="G1089" s="13">
        <v>722.57</v>
      </c>
      <c r="H1089" s="6">
        <v>0.18</v>
      </c>
      <c r="I1089" s="6" t="s">
        <v>1965</v>
      </c>
      <c r="J1089" s="13">
        <v>592.5074000000001</v>
      </c>
      <c r="K1089" s="6" t="str">
        <f t="shared" si="1"/>
        <v>Low Earnings</v>
      </c>
    </row>
    <row r="1090" ht="14.25" customHeight="1">
      <c r="A1090" s="6" t="s">
        <v>3055</v>
      </c>
      <c r="B1090" s="17">
        <v>45615.0</v>
      </c>
      <c r="C1090" s="6" t="s">
        <v>486</v>
      </c>
      <c r="D1090" s="6" t="s">
        <v>1688</v>
      </c>
      <c r="E1090" s="6" t="s">
        <v>1913</v>
      </c>
      <c r="F1090" s="6">
        <v>3.0</v>
      </c>
      <c r="G1090" s="13">
        <v>585.55</v>
      </c>
      <c r="H1090" s="6">
        <v>0.14</v>
      </c>
      <c r="I1090" s="6" t="s">
        <v>1973</v>
      </c>
      <c r="J1090" s="13">
        <v>1510.719</v>
      </c>
      <c r="K1090" s="6" t="str">
        <f t="shared" si="1"/>
        <v>Average Earnings</v>
      </c>
    </row>
    <row r="1091" ht="14.25" customHeight="1">
      <c r="A1091" s="6" t="s">
        <v>3056</v>
      </c>
      <c r="B1091" s="17">
        <v>45666.0</v>
      </c>
      <c r="C1091" s="6" t="s">
        <v>990</v>
      </c>
      <c r="D1091" s="6" t="s">
        <v>1723</v>
      </c>
      <c r="E1091" s="6" t="s">
        <v>1937</v>
      </c>
      <c r="F1091" s="6">
        <v>2.0</v>
      </c>
      <c r="G1091" s="13">
        <v>635.81</v>
      </c>
      <c r="H1091" s="6">
        <v>0.13</v>
      </c>
      <c r="I1091" s="6" t="s">
        <v>1967</v>
      </c>
      <c r="J1091" s="13">
        <v>1106.3094</v>
      </c>
      <c r="K1091" s="6" t="str">
        <f t="shared" si="1"/>
        <v>Average Earnings</v>
      </c>
    </row>
    <row r="1092" ht="14.25" customHeight="1">
      <c r="A1092" s="6" t="s">
        <v>3057</v>
      </c>
      <c r="B1092" s="17">
        <v>45600.0</v>
      </c>
      <c r="C1092" s="6" t="s">
        <v>1402</v>
      </c>
      <c r="D1092" s="6" t="s">
        <v>1831</v>
      </c>
      <c r="E1092" s="6" t="s">
        <v>1916</v>
      </c>
      <c r="F1092" s="6">
        <v>1.0</v>
      </c>
      <c r="G1092" s="13">
        <v>454.71</v>
      </c>
      <c r="H1092" s="6">
        <v>0.16</v>
      </c>
      <c r="I1092" s="6" t="s">
        <v>1967</v>
      </c>
      <c r="J1092" s="13">
        <v>381.9564</v>
      </c>
      <c r="K1092" s="6" t="str">
        <f t="shared" si="1"/>
        <v>Low Earnings</v>
      </c>
    </row>
    <row r="1093" ht="14.25" customHeight="1">
      <c r="A1093" s="6" t="s">
        <v>3058</v>
      </c>
      <c r="B1093" s="17">
        <v>45644.0</v>
      </c>
      <c r="C1093" s="6" t="s">
        <v>896</v>
      </c>
      <c r="D1093" s="6" t="s">
        <v>1618</v>
      </c>
      <c r="E1093" s="6" t="s">
        <v>1909</v>
      </c>
      <c r="F1093" s="6">
        <v>2.0</v>
      </c>
      <c r="G1093" s="13">
        <v>353.74</v>
      </c>
      <c r="H1093" s="6">
        <v>0.01</v>
      </c>
      <c r="I1093" s="6" t="s">
        <v>1965</v>
      </c>
      <c r="J1093" s="13">
        <v>700.4052</v>
      </c>
      <c r="K1093" s="6" t="str">
        <f t="shared" si="1"/>
        <v>Low Earnings</v>
      </c>
    </row>
    <row r="1094" ht="14.25" customHeight="1">
      <c r="A1094" s="6" t="s">
        <v>3059</v>
      </c>
      <c r="B1094" s="17">
        <v>45648.0</v>
      </c>
      <c r="C1094" s="6" t="s">
        <v>857</v>
      </c>
      <c r="D1094" s="6" t="s">
        <v>1691</v>
      </c>
      <c r="E1094" s="6" t="s">
        <v>1919</v>
      </c>
      <c r="F1094" s="6">
        <v>1.0</v>
      </c>
      <c r="G1094" s="13">
        <v>377.52</v>
      </c>
      <c r="H1094" s="6">
        <v>0.15</v>
      </c>
      <c r="I1094" s="6" t="s">
        <v>1965</v>
      </c>
      <c r="J1094" s="13">
        <v>320.892</v>
      </c>
      <c r="K1094" s="6" t="str">
        <f t="shared" si="1"/>
        <v>Low Earnings</v>
      </c>
    </row>
    <row r="1095" ht="14.25" customHeight="1">
      <c r="A1095" s="6" t="s">
        <v>3060</v>
      </c>
      <c r="B1095" s="17">
        <v>45500.0</v>
      </c>
      <c r="C1095" s="6" t="s">
        <v>681</v>
      </c>
      <c r="D1095" s="6" t="s">
        <v>1791</v>
      </c>
      <c r="E1095" s="6" t="s">
        <v>1901</v>
      </c>
      <c r="F1095" s="6">
        <v>3.0</v>
      </c>
      <c r="G1095" s="13">
        <v>901.49</v>
      </c>
      <c r="H1095" s="6">
        <v>0.0</v>
      </c>
      <c r="I1095" s="6" t="s">
        <v>1965</v>
      </c>
      <c r="J1095" s="13">
        <v>2704.47</v>
      </c>
      <c r="K1095" s="6" t="str">
        <f t="shared" si="1"/>
        <v>High Earnings</v>
      </c>
    </row>
    <row r="1096" ht="14.25" customHeight="1">
      <c r="A1096" s="6" t="s">
        <v>3061</v>
      </c>
      <c r="B1096" s="17">
        <v>45806.0</v>
      </c>
      <c r="C1096" s="6" t="s">
        <v>666</v>
      </c>
      <c r="D1096" s="6" t="s">
        <v>1672</v>
      </c>
      <c r="E1096" s="6" t="s">
        <v>1913</v>
      </c>
      <c r="F1096" s="6">
        <v>1.0</v>
      </c>
      <c r="G1096" s="13">
        <v>563.01</v>
      </c>
      <c r="H1096" s="6">
        <v>0.1</v>
      </c>
      <c r="I1096" s="6" t="s">
        <v>1965</v>
      </c>
      <c r="J1096" s="13">
        <v>506.709</v>
      </c>
      <c r="K1096" s="6" t="str">
        <f t="shared" si="1"/>
        <v>Low Earnings</v>
      </c>
    </row>
    <row r="1097" ht="14.25" customHeight="1">
      <c r="A1097" s="6" t="s">
        <v>3062</v>
      </c>
      <c r="B1097" s="17">
        <v>45365.0</v>
      </c>
      <c r="C1097" s="6" t="s">
        <v>206</v>
      </c>
      <c r="D1097" s="6" t="s">
        <v>1798</v>
      </c>
      <c r="E1097" s="6" t="s">
        <v>1916</v>
      </c>
      <c r="F1097" s="6">
        <v>4.0</v>
      </c>
      <c r="G1097" s="13">
        <v>167.25</v>
      </c>
      <c r="H1097" s="6">
        <v>0.11</v>
      </c>
      <c r="I1097" s="6" t="s">
        <v>1965</v>
      </c>
      <c r="J1097" s="13">
        <v>595.41</v>
      </c>
      <c r="K1097" s="6" t="str">
        <f t="shared" si="1"/>
        <v>Low Earnings</v>
      </c>
    </row>
    <row r="1098" ht="14.25" customHeight="1">
      <c r="A1098" s="6" t="s">
        <v>3063</v>
      </c>
      <c r="B1098" s="17">
        <v>45229.0</v>
      </c>
      <c r="C1098" s="6" t="s">
        <v>1419</v>
      </c>
      <c r="D1098" s="6" t="s">
        <v>1767</v>
      </c>
      <c r="E1098" s="6" t="s">
        <v>1950</v>
      </c>
      <c r="F1098" s="6">
        <v>3.0</v>
      </c>
      <c r="G1098" s="13">
        <v>345.43</v>
      </c>
      <c r="H1098" s="6">
        <v>0.08</v>
      </c>
      <c r="I1098" s="6" t="s">
        <v>1973</v>
      </c>
      <c r="J1098" s="13">
        <v>953.3868</v>
      </c>
      <c r="K1098" s="6" t="str">
        <f t="shared" si="1"/>
        <v>Low Earnings</v>
      </c>
    </row>
    <row r="1099" ht="14.25" customHeight="1">
      <c r="A1099" s="6" t="s">
        <v>3064</v>
      </c>
      <c r="B1099" s="17">
        <v>45349.0</v>
      </c>
      <c r="C1099" s="6" t="s">
        <v>987</v>
      </c>
      <c r="D1099" s="6" t="s">
        <v>1834</v>
      </c>
      <c r="E1099" s="6" t="s">
        <v>1926</v>
      </c>
      <c r="F1099" s="6">
        <v>4.0</v>
      </c>
      <c r="G1099" s="13">
        <v>752.48</v>
      </c>
      <c r="H1099" s="6">
        <v>0.23</v>
      </c>
      <c r="I1099" s="6" t="s">
        <v>1965</v>
      </c>
      <c r="J1099" s="13">
        <v>2317.6384</v>
      </c>
      <c r="K1099" s="6" t="str">
        <f t="shared" si="1"/>
        <v>Average Earnings</v>
      </c>
    </row>
    <row r="1100" ht="14.25" customHeight="1">
      <c r="A1100" s="6" t="s">
        <v>3065</v>
      </c>
      <c r="B1100" s="17">
        <v>45886.0</v>
      </c>
      <c r="C1100" s="6" t="s">
        <v>1405</v>
      </c>
      <c r="D1100" s="6" t="s">
        <v>1758</v>
      </c>
      <c r="E1100" s="6" t="s">
        <v>1953</v>
      </c>
      <c r="F1100" s="6">
        <v>1.0</v>
      </c>
      <c r="G1100" s="13">
        <v>120.02</v>
      </c>
      <c r="H1100" s="6">
        <v>0.26</v>
      </c>
      <c r="I1100" s="6" t="s">
        <v>1965</v>
      </c>
      <c r="J1100" s="13">
        <v>88.81479999999999</v>
      </c>
      <c r="K1100" s="6" t="str">
        <f t="shared" si="1"/>
        <v>Low Earnings</v>
      </c>
    </row>
    <row r="1101" ht="14.25" customHeight="1">
      <c r="A1101" s="6" t="s">
        <v>3066</v>
      </c>
      <c r="B1101" s="17">
        <v>45359.0</v>
      </c>
      <c r="C1101" s="6" t="s">
        <v>1032</v>
      </c>
      <c r="D1101" s="6" t="s">
        <v>1708</v>
      </c>
      <c r="E1101" s="6" t="s">
        <v>1922</v>
      </c>
      <c r="F1101" s="6">
        <v>3.0</v>
      </c>
      <c r="G1101" s="13">
        <v>146.71</v>
      </c>
      <c r="H1101" s="6">
        <v>0.28</v>
      </c>
      <c r="I1101" s="6" t="s">
        <v>1965</v>
      </c>
      <c r="J1101" s="13">
        <v>316.8936</v>
      </c>
      <c r="K1101" s="6" t="str">
        <f t="shared" si="1"/>
        <v>Low Earnings</v>
      </c>
    </row>
    <row r="1102" ht="14.25" customHeight="1">
      <c r="A1102" s="6" t="s">
        <v>3067</v>
      </c>
      <c r="B1102" s="17">
        <v>45730.0</v>
      </c>
      <c r="C1102" s="6" t="s">
        <v>306</v>
      </c>
      <c r="D1102" s="6" t="s">
        <v>1779</v>
      </c>
      <c r="E1102" s="6" t="s">
        <v>1892</v>
      </c>
      <c r="F1102" s="6">
        <v>2.0</v>
      </c>
      <c r="G1102" s="13">
        <v>358.87</v>
      </c>
      <c r="H1102" s="6">
        <v>0.24</v>
      </c>
      <c r="I1102" s="6" t="s">
        <v>1965</v>
      </c>
      <c r="J1102" s="13">
        <v>545.4824</v>
      </c>
      <c r="K1102" s="6" t="str">
        <f t="shared" si="1"/>
        <v>Low Earnings</v>
      </c>
    </row>
    <row r="1103" ht="14.25" customHeight="1">
      <c r="A1103" s="6" t="s">
        <v>3068</v>
      </c>
      <c r="B1103" s="17">
        <v>45646.0</v>
      </c>
      <c r="C1103" s="6" t="s">
        <v>158</v>
      </c>
      <c r="D1103" s="6" t="s">
        <v>1785</v>
      </c>
      <c r="E1103" s="6" t="s">
        <v>1913</v>
      </c>
      <c r="F1103" s="6">
        <v>2.0</v>
      </c>
      <c r="G1103" s="13">
        <v>397.63</v>
      </c>
      <c r="H1103" s="6">
        <v>0.26</v>
      </c>
      <c r="I1103" s="6" t="s">
        <v>1965</v>
      </c>
      <c r="J1103" s="13">
        <v>588.4924</v>
      </c>
      <c r="K1103" s="6" t="str">
        <f t="shared" si="1"/>
        <v>Low Earnings</v>
      </c>
    </row>
    <row r="1104" ht="14.25" customHeight="1">
      <c r="A1104" s="6" t="s">
        <v>3069</v>
      </c>
      <c r="B1104" s="17">
        <v>45456.0</v>
      </c>
      <c r="C1104" s="6" t="s">
        <v>788</v>
      </c>
      <c r="D1104" s="6" t="s">
        <v>1743</v>
      </c>
      <c r="E1104" s="6" t="s">
        <v>1906</v>
      </c>
      <c r="F1104" s="6">
        <v>4.0</v>
      </c>
      <c r="G1104" s="13">
        <v>212.75</v>
      </c>
      <c r="H1104" s="6">
        <v>0.11</v>
      </c>
      <c r="I1104" s="6" t="s">
        <v>1973</v>
      </c>
      <c r="J1104" s="13">
        <v>757.39</v>
      </c>
      <c r="K1104" s="6" t="str">
        <f t="shared" si="1"/>
        <v>Low Earnings</v>
      </c>
    </row>
    <row r="1105" ht="14.25" customHeight="1">
      <c r="A1105" s="6" t="s">
        <v>3070</v>
      </c>
      <c r="B1105" s="17">
        <v>45450.0</v>
      </c>
      <c r="C1105" s="6" t="s">
        <v>1044</v>
      </c>
      <c r="D1105" s="6" t="s">
        <v>1720</v>
      </c>
      <c r="E1105" s="6" t="s">
        <v>1932</v>
      </c>
      <c r="F1105" s="6">
        <v>1.0</v>
      </c>
      <c r="G1105" s="13">
        <v>183.47</v>
      </c>
      <c r="H1105" s="6">
        <v>0.17</v>
      </c>
      <c r="I1105" s="6" t="s">
        <v>1967</v>
      </c>
      <c r="J1105" s="13">
        <v>152.2801</v>
      </c>
      <c r="K1105" s="6" t="str">
        <f t="shared" si="1"/>
        <v>Low Earnings</v>
      </c>
    </row>
    <row r="1106" ht="14.25" customHeight="1">
      <c r="A1106" s="6" t="s">
        <v>3071</v>
      </c>
      <c r="B1106" s="17">
        <v>45493.0</v>
      </c>
      <c r="C1106" s="6" t="s">
        <v>259</v>
      </c>
      <c r="D1106" s="6" t="s">
        <v>1855</v>
      </c>
      <c r="E1106" s="6" t="s">
        <v>1941</v>
      </c>
      <c r="F1106" s="6">
        <v>4.0</v>
      </c>
      <c r="G1106" s="13">
        <v>569.98</v>
      </c>
      <c r="H1106" s="6">
        <v>0.23</v>
      </c>
      <c r="I1106" s="6" t="s">
        <v>1965</v>
      </c>
      <c r="J1106" s="13">
        <v>1755.5384</v>
      </c>
      <c r="K1106" s="6" t="str">
        <f t="shared" si="1"/>
        <v>Average Earnings</v>
      </c>
    </row>
    <row r="1107" ht="14.25" customHeight="1">
      <c r="A1107" s="6" t="s">
        <v>3072</v>
      </c>
      <c r="B1107" s="17">
        <v>45274.0</v>
      </c>
      <c r="C1107" s="6" t="s">
        <v>1471</v>
      </c>
      <c r="D1107" s="6" t="s">
        <v>1643</v>
      </c>
      <c r="E1107" s="6" t="s">
        <v>1934</v>
      </c>
      <c r="F1107" s="6">
        <v>3.0</v>
      </c>
      <c r="G1107" s="13">
        <v>984.12</v>
      </c>
      <c r="H1107" s="6">
        <v>0.27</v>
      </c>
      <c r="I1107" s="6" t="s">
        <v>1965</v>
      </c>
      <c r="J1107" s="13">
        <v>2155.2228</v>
      </c>
      <c r="K1107" s="6" t="str">
        <f t="shared" si="1"/>
        <v>Average Earnings</v>
      </c>
    </row>
    <row r="1108" ht="14.25" customHeight="1">
      <c r="A1108" s="6" t="s">
        <v>3073</v>
      </c>
      <c r="B1108" s="17">
        <v>45844.0</v>
      </c>
      <c r="C1108" s="6" t="s">
        <v>1474</v>
      </c>
      <c r="D1108" s="6" t="s">
        <v>1840</v>
      </c>
      <c r="E1108" s="6" t="s">
        <v>1922</v>
      </c>
      <c r="F1108" s="6">
        <v>1.0</v>
      </c>
      <c r="G1108" s="13">
        <v>905.23</v>
      </c>
      <c r="H1108" s="6">
        <v>0.0</v>
      </c>
      <c r="I1108" s="6" t="s">
        <v>1965</v>
      </c>
      <c r="J1108" s="13">
        <v>905.23</v>
      </c>
      <c r="K1108" s="6" t="str">
        <f t="shared" si="1"/>
        <v>Low Earnings</v>
      </c>
    </row>
    <row r="1109" ht="14.25" customHeight="1">
      <c r="A1109" s="6" t="s">
        <v>3074</v>
      </c>
      <c r="B1109" s="17">
        <v>45264.0</v>
      </c>
      <c r="C1109" s="6" t="s">
        <v>625</v>
      </c>
      <c r="D1109" s="6" t="s">
        <v>1885</v>
      </c>
      <c r="E1109" s="6" t="s">
        <v>1953</v>
      </c>
      <c r="F1109" s="6">
        <v>3.0</v>
      </c>
      <c r="G1109" s="13">
        <v>112.77</v>
      </c>
      <c r="H1109" s="6">
        <v>0.19</v>
      </c>
      <c r="I1109" s="6" t="s">
        <v>1965</v>
      </c>
      <c r="J1109" s="13">
        <v>274.0311</v>
      </c>
      <c r="K1109" s="6" t="str">
        <f t="shared" si="1"/>
        <v>Low Earnings</v>
      </c>
    </row>
    <row r="1110" ht="14.25" customHeight="1">
      <c r="A1110" s="6" t="s">
        <v>3075</v>
      </c>
      <c r="B1110" s="17">
        <v>45773.0</v>
      </c>
      <c r="C1110" s="6" t="s">
        <v>549</v>
      </c>
      <c r="D1110" s="6" t="s">
        <v>1688</v>
      </c>
      <c r="E1110" s="6" t="s">
        <v>1922</v>
      </c>
      <c r="F1110" s="6">
        <v>3.0</v>
      </c>
      <c r="G1110" s="13">
        <v>875.99</v>
      </c>
      <c r="H1110" s="6">
        <v>0.09</v>
      </c>
      <c r="I1110" s="6" t="s">
        <v>1967</v>
      </c>
      <c r="J1110" s="13">
        <v>2391.4527</v>
      </c>
      <c r="K1110" s="6" t="str">
        <f t="shared" si="1"/>
        <v>Average Earnings</v>
      </c>
    </row>
    <row r="1111" ht="14.25" customHeight="1">
      <c r="A1111" s="6" t="s">
        <v>3076</v>
      </c>
      <c r="B1111" s="17">
        <v>45460.0</v>
      </c>
      <c r="C1111" s="6" t="s">
        <v>450</v>
      </c>
      <c r="D1111" s="6" t="s">
        <v>1855</v>
      </c>
      <c r="E1111" s="6" t="s">
        <v>1929</v>
      </c>
      <c r="F1111" s="6">
        <v>2.0</v>
      </c>
      <c r="G1111" s="13">
        <v>685.31</v>
      </c>
      <c r="H1111" s="6">
        <v>0.26</v>
      </c>
      <c r="I1111" s="6" t="s">
        <v>1967</v>
      </c>
      <c r="J1111" s="13">
        <v>1014.2588</v>
      </c>
      <c r="K1111" s="6" t="str">
        <f t="shared" si="1"/>
        <v>Average Earnings</v>
      </c>
    </row>
    <row r="1112" ht="14.25" customHeight="1">
      <c r="A1112" s="6" t="s">
        <v>3077</v>
      </c>
      <c r="B1112" s="17">
        <v>45607.0</v>
      </c>
      <c r="C1112" s="6" t="s">
        <v>206</v>
      </c>
      <c r="D1112" s="6" t="s">
        <v>1770</v>
      </c>
      <c r="E1112" s="6" t="s">
        <v>1932</v>
      </c>
      <c r="F1112" s="6">
        <v>3.0</v>
      </c>
      <c r="G1112" s="13">
        <v>945.37</v>
      </c>
      <c r="H1112" s="6">
        <v>0.05</v>
      </c>
      <c r="I1112" s="6" t="s">
        <v>1965</v>
      </c>
      <c r="J1112" s="13">
        <v>2694.3045</v>
      </c>
      <c r="K1112" s="6" t="str">
        <f t="shared" si="1"/>
        <v>High Earnings</v>
      </c>
    </row>
    <row r="1113" ht="14.25" customHeight="1">
      <c r="A1113" s="6" t="s">
        <v>3078</v>
      </c>
      <c r="B1113" s="17">
        <v>45267.0</v>
      </c>
      <c r="C1113" s="6" t="s">
        <v>108</v>
      </c>
      <c r="D1113" s="6" t="s">
        <v>1816</v>
      </c>
      <c r="E1113" s="6" t="s">
        <v>1953</v>
      </c>
      <c r="F1113" s="6">
        <v>3.0</v>
      </c>
      <c r="G1113" s="13">
        <v>68.45</v>
      </c>
      <c r="H1113" s="6">
        <v>0.17</v>
      </c>
      <c r="I1113" s="6" t="s">
        <v>1967</v>
      </c>
      <c r="J1113" s="13">
        <v>170.4405</v>
      </c>
      <c r="K1113" s="6" t="str">
        <f t="shared" si="1"/>
        <v>Low Earnings</v>
      </c>
    </row>
    <row r="1114" ht="14.25" customHeight="1">
      <c r="A1114" s="6" t="s">
        <v>3079</v>
      </c>
      <c r="B1114" s="17">
        <v>45446.0</v>
      </c>
      <c r="C1114" s="6" t="s">
        <v>219</v>
      </c>
      <c r="D1114" s="6" t="s">
        <v>1733</v>
      </c>
      <c r="E1114" s="6" t="s">
        <v>1922</v>
      </c>
      <c r="F1114" s="6">
        <v>4.0</v>
      </c>
      <c r="G1114" s="13">
        <v>914.05</v>
      </c>
      <c r="H1114" s="6">
        <v>0.25</v>
      </c>
      <c r="I1114" s="6" t="s">
        <v>1965</v>
      </c>
      <c r="J1114" s="13">
        <v>2742.15</v>
      </c>
      <c r="K1114" s="6" t="str">
        <f t="shared" si="1"/>
        <v>High Earnings</v>
      </c>
    </row>
    <row r="1115" ht="14.25" customHeight="1">
      <c r="A1115" s="6" t="s">
        <v>3080</v>
      </c>
      <c r="B1115" s="17">
        <v>45843.0</v>
      </c>
      <c r="C1115" s="6" t="s">
        <v>498</v>
      </c>
      <c r="D1115" s="6" t="s">
        <v>1804</v>
      </c>
      <c r="E1115" s="6" t="s">
        <v>1947</v>
      </c>
      <c r="F1115" s="6">
        <v>3.0</v>
      </c>
      <c r="G1115" s="13">
        <v>986.04</v>
      </c>
      <c r="H1115" s="6">
        <v>0.27</v>
      </c>
      <c r="I1115" s="6" t="s">
        <v>1973</v>
      </c>
      <c r="J1115" s="13">
        <v>2159.4276</v>
      </c>
      <c r="K1115" s="6" t="str">
        <f t="shared" si="1"/>
        <v>Average Earnings</v>
      </c>
    </row>
    <row r="1116" ht="14.25" customHeight="1">
      <c r="A1116" s="6" t="s">
        <v>3081</v>
      </c>
      <c r="B1116" s="17">
        <v>45725.0</v>
      </c>
      <c r="C1116" s="6" t="s">
        <v>576</v>
      </c>
      <c r="D1116" s="6" t="s">
        <v>1837</v>
      </c>
      <c r="E1116" s="6" t="s">
        <v>1916</v>
      </c>
      <c r="F1116" s="6">
        <v>3.0</v>
      </c>
      <c r="G1116" s="13">
        <v>748.56</v>
      </c>
      <c r="H1116" s="6">
        <v>0.26</v>
      </c>
      <c r="I1116" s="6" t="s">
        <v>1967</v>
      </c>
      <c r="J1116" s="13">
        <v>1661.8032</v>
      </c>
      <c r="K1116" s="6" t="str">
        <f t="shared" si="1"/>
        <v>Average Earnings</v>
      </c>
    </row>
    <row r="1117" ht="14.25" customHeight="1">
      <c r="A1117" s="6" t="s">
        <v>3082</v>
      </c>
      <c r="B1117" s="17">
        <v>45742.0</v>
      </c>
      <c r="C1117" s="6" t="s">
        <v>498</v>
      </c>
      <c r="D1117" s="6" t="s">
        <v>1682</v>
      </c>
      <c r="E1117" s="6" t="s">
        <v>1909</v>
      </c>
      <c r="F1117" s="6">
        <v>1.0</v>
      </c>
      <c r="G1117" s="13">
        <v>885.72</v>
      </c>
      <c r="H1117" s="6">
        <v>0.15</v>
      </c>
      <c r="I1117" s="6" t="s">
        <v>1965</v>
      </c>
      <c r="J1117" s="13">
        <v>752.862</v>
      </c>
      <c r="K1117" s="6" t="str">
        <f t="shared" si="1"/>
        <v>Low Earnings</v>
      </c>
    </row>
    <row r="1118" ht="14.25" customHeight="1">
      <c r="A1118" s="6" t="s">
        <v>3083</v>
      </c>
      <c r="B1118" s="17">
        <v>45750.0</v>
      </c>
      <c r="C1118" s="6" t="s">
        <v>389</v>
      </c>
      <c r="D1118" s="6" t="s">
        <v>1773</v>
      </c>
      <c r="E1118" s="6" t="s">
        <v>1897</v>
      </c>
      <c r="F1118" s="6">
        <v>4.0</v>
      </c>
      <c r="G1118" s="13">
        <v>408.07</v>
      </c>
      <c r="H1118" s="6">
        <v>0.28</v>
      </c>
      <c r="I1118" s="6" t="s">
        <v>1973</v>
      </c>
      <c r="J1118" s="13">
        <v>1175.2416</v>
      </c>
      <c r="K1118" s="6" t="str">
        <f t="shared" si="1"/>
        <v>Average Earnings</v>
      </c>
    </row>
    <row r="1119" ht="14.25" customHeight="1">
      <c r="A1119" s="6" t="s">
        <v>3084</v>
      </c>
      <c r="B1119" s="17">
        <v>45327.0</v>
      </c>
      <c r="C1119" s="6" t="s">
        <v>1471</v>
      </c>
      <c r="D1119" s="6" t="s">
        <v>1685</v>
      </c>
      <c r="E1119" s="6" t="s">
        <v>1926</v>
      </c>
      <c r="F1119" s="6">
        <v>2.0</v>
      </c>
      <c r="G1119" s="13">
        <v>597.07</v>
      </c>
      <c r="H1119" s="6">
        <v>0.28</v>
      </c>
      <c r="I1119" s="6" t="s">
        <v>1967</v>
      </c>
      <c r="J1119" s="13">
        <v>859.7808</v>
      </c>
      <c r="K1119" s="6" t="str">
        <f t="shared" si="1"/>
        <v>Low Earnings</v>
      </c>
    </row>
    <row r="1120" ht="14.25" customHeight="1">
      <c r="A1120" s="6" t="s">
        <v>3085</v>
      </c>
      <c r="B1120" s="17">
        <v>45465.0</v>
      </c>
      <c r="C1120" s="6" t="s">
        <v>104</v>
      </c>
      <c r="D1120" s="6" t="s">
        <v>1788</v>
      </c>
      <c r="E1120" s="6" t="s">
        <v>1926</v>
      </c>
      <c r="F1120" s="6">
        <v>3.0</v>
      </c>
      <c r="G1120" s="13">
        <v>723.47</v>
      </c>
      <c r="H1120" s="6">
        <v>0.12</v>
      </c>
      <c r="I1120" s="6" t="s">
        <v>1973</v>
      </c>
      <c r="J1120" s="13">
        <v>1909.9608</v>
      </c>
      <c r="K1120" s="6" t="str">
        <f t="shared" si="1"/>
        <v>Average Earnings</v>
      </c>
    </row>
    <row r="1121" ht="14.25" customHeight="1">
      <c r="A1121" s="6" t="s">
        <v>3086</v>
      </c>
      <c r="B1121" s="17">
        <v>45883.0</v>
      </c>
      <c r="C1121" s="6" t="s">
        <v>1371</v>
      </c>
      <c r="D1121" s="6" t="s">
        <v>1852</v>
      </c>
      <c r="E1121" s="6" t="s">
        <v>1913</v>
      </c>
      <c r="F1121" s="6">
        <v>1.0</v>
      </c>
      <c r="G1121" s="13">
        <v>479.93</v>
      </c>
      <c r="H1121" s="6">
        <v>0.22</v>
      </c>
      <c r="I1121" s="6" t="s">
        <v>1965</v>
      </c>
      <c r="J1121" s="13">
        <v>374.3454</v>
      </c>
      <c r="K1121" s="6" t="str">
        <f t="shared" si="1"/>
        <v>Low Earnings</v>
      </c>
    </row>
    <row r="1122" ht="14.25" customHeight="1">
      <c r="A1122" s="6" t="s">
        <v>3087</v>
      </c>
      <c r="B1122" s="17">
        <v>45445.0</v>
      </c>
      <c r="C1122" s="6" t="s">
        <v>794</v>
      </c>
      <c r="D1122" s="6" t="s">
        <v>1685</v>
      </c>
      <c r="E1122" s="6" t="s">
        <v>1944</v>
      </c>
      <c r="F1122" s="6">
        <v>4.0</v>
      </c>
      <c r="G1122" s="13">
        <v>362.81</v>
      </c>
      <c r="H1122" s="6">
        <v>0.21</v>
      </c>
      <c r="I1122" s="6" t="s">
        <v>1973</v>
      </c>
      <c r="J1122" s="13">
        <v>1146.4796</v>
      </c>
      <c r="K1122" s="6" t="str">
        <f t="shared" si="1"/>
        <v>Average Earnings</v>
      </c>
    </row>
    <row r="1123" ht="14.25" customHeight="1">
      <c r="A1123" s="6" t="s">
        <v>3088</v>
      </c>
      <c r="B1123" s="17">
        <v>45640.0</v>
      </c>
      <c r="C1123" s="6" t="s">
        <v>622</v>
      </c>
      <c r="D1123" s="6" t="s">
        <v>1825</v>
      </c>
      <c r="E1123" s="6" t="s">
        <v>1906</v>
      </c>
      <c r="F1123" s="6">
        <v>1.0</v>
      </c>
      <c r="G1123" s="13">
        <v>127.11</v>
      </c>
      <c r="H1123" s="6">
        <v>0.01</v>
      </c>
      <c r="I1123" s="6" t="s">
        <v>1967</v>
      </c>
      <c r="J1123" s="13">
        <v>125.8389</v>
      </c>
      <c r="K1123" s="6" t="str">
        <f t="shared" si="1"/>
        <v>Low Earnings</v>
      </c>
    </row>
    <row r="1124" ht="14.25" customHeight="1">
      <c r="A1124" s="6" t="s">
        <v>3089</v>
      </c>
      <c r="B1124" s="17">
        <v>45411.0</v>
      </c>
      <c r="C1124" s="6" t="s">
        <v>619</v>
      </c>
      <c r="D1124" s="6" t="s">
        <v>1685</v>
      </c>
      <c r="E1124" s="6" t="s">
        <v>1947</v>
      </c>
      <c r="F1124" s="6">
        <v>4.0</v>
      </c>
      <c r="G1124" s="13">
        <v>931.26</v>
      </c>
      <c r="H1124" s="6">
        <v>0.04</v>
      </c>
      <c r="I1124" s="6" t="s">
        <v>1965</v>
      </c>
      <c r="J1124" s="13">
        <v>3576.0384</v>
      </c>
      <c r="K1124" s="6" t="str">
        <f t="shared" si="1"/>
        <v>High Earnings</v>
      </c>
    </row>
    <row r="1125" ht="14.25" customHeight="1">
      <c r="A1125" s="6" t="s">
        <v>3090</v>
      </c>
      <c r="B1125" s="17">
        <v>45224.0</v>
      </c>
      <c r="C1125" s="6" t="s">
        <v>1176</v>
      </c>
      <c r="D1125" s="6" t="s">
        <v>1788</v>
      </c>
      <c r="E1125" s="6" t="s">
        <v>1922</v>
      </c>
      <c r="F1125" s="6">
        <v>1.0</v>
      </c>
      <c r="G1125" s="13">
        <v>620.81</v>
      </c>
      <c r="H1125" s="6">
        <v>0.04</v>
      </c>
      <c r="I1125" s="6" t="s">
        <v>1967</v>
      </c>
      <c r="J1125" s="13">
        <v>595.9775999999999</v>
      </c>
      <c r="K1125" s="6" t="str">
        <f t="shared" si="1"/>
        <v>Low Earnings</v>
      </c>
    </row>
    <row r="1126" ht="14.25" customHeight="1">
      <c r="A1126" s="6" t="s">
        <v>3091</v>
      </c>
      <c r="B1126" s="17">
        <v>45447.0</v>
      </c>
      <c r="C1126" s="6" t="s">
        <v>1251</v>
      </c>
      <c r="D1126" s="6" t="s">
        <v>1714</v>
      </c>
      <c r="E1126" s="6" t="s">
        <v>1950</v>
      </c>
      <c r="F1126" s="6">
        <v>1.0</v>
      </c>
      <c r="G1126" s="13">
        <v>589.56</v>
      </c>
      <c r="H1126" s="6">
        <v>0.22</v>
      </c>
      <c r="I1126" s="6" t="s">
        <v>1965</v>
      </c>
      <c r="J1126" s="13">
        <v>459.8568</v>
      </c>
      <c r="K1126" s="6" t="str">
        <f t="shared" si="1"/>
        <v>Low Earnings</v>
      </c>
    </row>
    <row r="1127" ht="14.25" customHeight="1">
      <c r="A1127" s="6" t="s">
        <v>3092</v>
      </c>
      <c r="B1127" s="17">
        <v>45497.0</v>
      </c>
      <c r="C1127" s="6" t="s">
        <v>346</v>
      </c>
      <c r="D1127" s="6" t="s">
        <v>1737</v>
      </c>
      <c r="E1127" s="6" t="s">
        <v>1901</v>
      </c>
      <c r="F1127" s="6">
        <v>1.0</v>
      </c>
      <c r="G1127" s="13">
        <v>823.26</v>
      </c>
      <c r="H1127" s="6">
        <v>0.27</v>
      </c>
      <c r="I1127" s="6" t="s">
        <v>1973</v>
      </c>
      <c r="J1127" s="13">
        <v>600.9798</v>
      </c>
      <c r="K1127" s="6" t="str">
        <f t="shared" si="1"/>
        <v>Low Earnings</v>
      </c>
    </row>
    <row r="1128" ht="14.25" customHeight="1">
      <c r="A1128" s="6" t="s">
        <v>3093</v>
      </c>
      <c r="B1128" s="17">
        <v>45807.0</v>
      </c>
      <c r="C1128" s="6" t="s">
        <v>66</v>
      </c>
      <c r="D1128" s="6" t="s">
        <v>1663</v>
      </c>
      <c r="E1128" s="6" t="s">
        <v>1922</v>
      </c>
      <c r="F1128" s="6">
        <v>3.0</v>
      </c>
      <c r="G1128" s="13">
        <v>681.01</v>
      </c>
      <c r="H1128" s="6">
        <v>0.27</v>
      </c>
      <c r="I1128" s="6" t="s">
        <v>1973</v>
      </c>
      <c r="J1128" s="13">
        <v>1491.4119</v>
      </c>
      <c r="K1128" s="6" t="str">
        <f t="shared" si="1"/>
        <v>Average Earnings</v>
      </c>
    </row>
    <row r="1129" ht="14.25" customHeight="1">
      <c r="A1129" s="6" t="s">
        <v>3094</v>
      </c>
      <c r="B1129" s="17">
        <v>45942.0</v>
      </c>
      <c r="C1129" s="6" t="s">
        <v>1384</v>
      </c>
      <c r="D1129" s="6" t="s">
        <v>1755</v>
      </c>
      <c r="E1129" s="6" t="s">
        <v>1953</v>
      </c>
      <c r="F1129" s="6">
        <v>4.0</v>
      </c>
      <c r="G1129" s="13">
        <v>119.83</v>
      </c>
      <c r="H1129" s="6">
        <v>0.13</v>
      </c>
      <c r="I1129" s="6" t="s">
        <v>1965</v>
      </c>
      <c r="J1129" s="13">
        <v>417.0084</v>
      </c>
      <c r="K1129" s="6" t="str">
        <f t="shared" si="1"/>
        <v>Low Earnings</v>
      </c>
    </row>
    <row r="1130" ht="14.25" customHeight="1">
      <c r="A1130" s="6" t="s">
        <v>3095</v>
      </c>
      <c r="B1130" s="17">
        <v>45314.0</v>
      </c>
      <c r="C1130" s="6" t="s">
        <v>984</v>
      </c>
      <c r="D1130" s="6" t="s">
        <v>1822</v>
      </c>
      <c r="E1130" s="6" t="s">
        <v>1901</v>
      </c>
      <c r="F1130" s="6">
        <v>1.0</v>
      </c>
      <c r="G1130" s="13">
        <v>575.66</v>
      </c>
      <c r="H1130" s="6">
        <v>0.03</v>
      </c>
      <c r="I1130" s="6" t="s">
        <v>1967</v>
      </c>
      <c r="J1130" s="13">
        <v>558.3901999999999</v>
      </c>
      <c r="K1130" s="6" t="str">
        <f t="shared" si="1"/>
        <v>Low Earnings</v>
      </c>
    </row>
    <row r="1131" ht="14.25" customHeight="1">
      <c r="A1131" s="6" t="s">
        <v>3096</v>
      </c>
      <c r="B1131" s="17">
        <v>45943.0</v>
      </c>
      <c r="C1131" s="6" t="s">
        <v>663</v>
      </c>
      <c r="D1131" s="6" t="s">
        <v>1730</v>
      </c>
      <c r="E1131" s="6" t="s">
        <v>1944</v>
      </c>
      <c r="F1131" s="6">
        <v>1.0</v>
      </c>
      <c r="G1131" s="13">
        <v>775.84</v>
      </c>
      <c r="H1131" s="6">
        <v>0.26</v>
      </c>
      <c r="I1131" s="6" t="s">
        <v>1965</v>
      </c>
      <c r="J1131" s="13">
        <v>574.1216000000001</v>
      </c>
      <c r="K1131" s="6" t="str">
        <f t="shared" si="1"/>
        <v>Low Earnings</v>
      </c>
    </row>
    <row r="1132" ht="14.25" customHeight="1">
      <c r="A1132" s="6" t="s">
        <v>3097</v>
      </c>
      <c r="B1132" s="17">
        <v>45356.0</v>
      </c>
      <c r="C1132" s="6" t="s">
        <v>1387</v>
      </c>
      <c r="D1132" s="6" t="s">
        <v>1618</v>
      </c>
      <c r="E1132" s="6" t="s">
        <v>1926</v>
      </c>
      <c r="F1132" s="6">
        <v>3.0</v>
      </c>
      <c r="G1132" s="13">
        <v>318.43</v>
      </c>
      <c r="H1132" s="6">
        <v>0.05</v>
      </c>
      <c r="I1132" s="6" t="s">
        <v>1965</v>
      </c>
      <c r="J1132" s="13">
        <v>907.5255</v>
      </c>
      <c r="K1132" s="6" t="str">
        <f t="shared" si="1"/>
        <v>Low Earnings</v>
      </c>
    </row>
    <row r="1133" ht="14.25" customHeight="1">
      <c r="A1133" s="6" t="s">
        <v>3098</v>
      </c>
      <c r="B1133" s="17">
        <v>45854.0</v>
      </c>
      <c r="C1133" s="6" t="s">
        <v>525</v>
      </c>
      <c r="D1133" s="6" t="s">
        <v>1804</v>
      </c>
      <c r="E1133" s="6" t="s">
        <v>1922</v>
      </c>
      <c r="F1133" s="6">
        <v>3.0</v>
      </c>
      <c r="G1133" s="13">
        <v>141.6</v>
      </c>
      <c r="H1133" s="6">
        <v>0.08</v>
      </c>
      <c r="I1133" s="6" t="s">
        <v>1973</v>
      </c>
      <c r="J1133" s="13">
        <v>390.816</v>
      </c>
      <c r="K1133" s="6" t="str">
        <f t="shared" si="1"/>
        <v>Low Earnings</v>
      </c>
    </row>
    <row r="1134" ht="14.25" customHeight="1">
      <c r="A1134" s="6" t="s">
        <v>3099</v>
      </c>
      <c r="B1134" s="17">
        <v>45219.0</v>
      </c>
      <c r="C1134" s="6" t="s">
        <v>864</v>
      </c>
      <c r="D1134" s="6" t="s">
        <v>1622</v>
      </c>
      <c r="E1134" s="6" t="s">
        <v>1953</v>
      </c>
      <c r="F1134" s="6">
        <v>1.0</v>
      </c>
      <c r="G1134" s="13">
        <v>332.82</v>
      </c>
      <c r="H1134" s="6">
        <v>0.14</v>
      </c>
      <c r="I1134" s="6" t="s">
        <v>1967</v>
      </c>
      <c r="J1134" s="13">
        <v>286.2252</v>
      </c>
      <c r="K1134" s="6" t="str">
        <f t="shared" si="1"/>
        <v>Low Earnings</v>
      </c>
    </row>
    <row r="1135" ht="14.25" customHeight="1">
      <c r="A1135" s="6" t="s">
        <v>3100</v>
      </c>
      <c r="B1135" s="17">
        <v>45447.0</v>
      </c>
      <c r="C1135" s="6" t="s">
        <v>803</v>
      </c>
      <c r="D1135" s="6" t="s">
        <v>1804</v>
      </c>
      <c r="E1135" s="6" t="s">
        <v>1897</v>
      </c>
      <c r="F1135" s="6">
        <v>4.0</v>
      </c>
      <c r="G1135" s="13">
        <v>640.97</v>
      </c>
      <c r="H1135" s="6">
        <v>0.11</v>
      </c>
      <c r="I1135" s="6" t="s">
        <v>1973</v>
      </c>
      <c r="J1135" s="13">
        <v>2281.8532</v>
      </c>
      <c r="K1135" s="6" t="str">
        <f t="shared" si="1"/>
        <v>Average Earnings</v>
      </c>
    </row>
    <row r="1136" ht="14.25" customHeight="1">
      <c r="A1136" s="6" t="s">
        <v>3101</v>
      </c>
      <c r="B1136" s="17">
        <v>45225.0</v>
      </c>
      <c r="C1136" s="6" t="s">
        <v>675</v>
      </c>
      <c r="D1136" s="6" t="s">
        <v>1858</v>
      </c>
      <c r="E1136" s="6" t="s">
        <v>1941</v>
      </c>
      <c r="F1136" s="6">
        <v>4.0</v>
      </c>
      <c r="G1136" s="13">
        <v>75.37</v>
      </c>
      <c r="H1136" s="6">
        <v>0.02</v>
      </c>
      <c r="I1136" s="6" t="s">
        <v>1973</v>
      </c>
      <c r="J1136" s="13">
        <v>295.4504</v>
      </c>
      <c r="K1136" s="6" t="str">
        <f t="shared" si="1"/>
        <v>Low Earnings</v>
      </c>
    </row>
    <row r="1137" ht="14.25" customHeight="1">
      <c r="A1137" s="6" t="s">
        <v>3102</v>
      </c>
      <c r="B1137" s="17">
        <v>45394.0</v>
      </c>
      <c r="C1137" s="6" t="s">
        <v>1482</v>
      </c>
      <c r="D1137" s="6" t="s">
        <v>1795</v>
      </c>
      <c r="E1137" s="6" t="s">
        <v>1929</v>
      </c>
      <c r="F1137" s="6">
        <v>3.0</v>
      </c>
      <c r="G1137" s="13">
        <v>979.42</v>
      </c>
      <c r="H1137" s="6">
        <v>0.03</v>
      </c>
      <c r="I1137" s="6" t="s">
        <v>1967</v>
      </c>
      <c r="J1137" s="13">
        <v>2850.1122</v>
      </c>
      <c r="K1137" s="6" t="str">
        <f t="shared" si="1"/>
        <v>High Earnings</v>
      </c>
    </row>
    <row r="1138" ht="14.25" customHeight="1">
      <c r="A1138" s="6" t="s">
        <v>3103</v>
      </c>
      <c r="B1138" s="17">
        <v>45754.0</v>
      </c>
      <c r="C1138" s="6" t="s">
        <v>283</v>
      </c>
      <c r="D1138" s="6" t="s">
        <v>1626</v>
      </c>
      <c r="E1138" s="6" t="s">
        <v>1950</v>
      </c>
      <c r="F1138" s="6">
        <v>3.0</v>
      </c>
      <c r="G1138" s="13">
        <v>434.55</v>
      </c>
      <c r="H1138" s="6">
        <v>0.08</v>
      </c>
      <c r="I1138" s="6" t="s">
        <v>1973</v>
      </c>
      <c r="J1138" s="13">
        <v>1199.358</v>
      </c>
      <c r="K1138" s="6" t="str">
        <f t="shared" si="1"/>
        <v>Average Earnings</v>
      </c>
    </row>
    <row r="1139" ht="14.25" customHeight="1">
      <c r="A1139" s="6" t="s">
        <v>3104</v>
      </c>
      <c r="B1139" s="17">
        <v>45729.0</v>
      </c>
      <c r="C1139" s="6" t="s">
        <v>361</v>
      </c>
      <c r="D1139" s="6" t="s">
        <v>1660</v>
      </c>
      <c r="E1139" s="6" t="s">
        <v>1939</v>
      </c>
      <c r="F1139" s="6">
        <v>4.0</v>
      </c>
      <c r="G1139" s="13">
        <v>652.28</v>
      </c>
      <c r="H1139" s="6">
        <v>0.15</v>
      </c>
      <c r="I1139" s="6" t="s">
        <v>1965</v>
      </c>
      <c r="J1139" s="13">
        <v>2217.752</v>
      </c>
      <c r="K1139" s="6" t="str">
        <f t="shared" si="1"/>
        <v>Average Earnings</v>
      </c>
    </row>
    <row r="1140" ht="14.25" customHeight="1">
      <c r="A1140" s="6" t="s">
        <v>3105</v>
      </c>
      <c r="B1140" s="17">
        <v>45480.0</v>
      </c>
      <c r="C1140" s="6" t="s">
        <v>872</v>
      </c>
      <c r="D1140" s="6" t="s">
        <v>1816</v>
      </c>
      <c r="E1140" s="6" t="s">
        <v>1947</v>
      </c>
      <c r="F1140" s="6">
        <v>3.0</v>
      </c>
      <c r="G1140" s="13">
        <v>207.8</v>
      </c>
      <c r="H1140" s="6">
        <v>0.15</v>
      </c>
      <c r="I1140" s="6" t="s">
        <v>1965</v>
      </c>
      <c r="J1140" s="13">
        <v>529.8900000000001</v>
      </c>
      <c r="K1140" s="6" t="str">
        <f t="shared" si="1"/>
        <v>Low Earnings</v>
      </c>
    </row>
    <row r="1141" ht="14.25" customHeight="1">
      <c r="A1141" s="6" t="s">
        <v>3106</v>
      </c>
      <c r="B1141" s="17">
        <v>45361.0</v>
      </c>
      <c r="C1141" s="6" t="s">
        <v>1537</v>
      </c>
      <c r="D1141" s="6" t="s">
        <v>1770</v>
      </c>
      <c r="E1141" s="6" t="s">
        <v>1941</v>
      </c>
      <c r="F1141" s="6">
        <v>4.0</v>
      </c>
      <c r="G1141" s="13">
        <v>385.5</v>
      </c>
      <c r="H1141" s="6">
        <v>0.03</v>
      </c>
      <c r="I1141" s="6" t="s">
        <v>1967</v>
      </c>
      <c r="J1141" s="13">
        <v>1495.74</v>
      </c>
      <c r="K1141" s="6" t="str">
        <f t="shared" si="1"/>
        <v>Average Earnings</v>
      </c>
    </row>
    <row r="1142" ht="14.25" customHeight="1">
      <c r="A1142" s="6" t="s">
        <v>3107</v>
      </c>
      <c r="B1142" s="17">
        <v>45915.0</v>
      </c>
      <c r="C1142" s="6" t="s">
        <v>352</v>
      </c>
      <c r="D1142" s="6" t="s">
        <v>1782</v>
      </c>
      <c r="E1142" s="6" t="s">
        <v>1916</v>
      </c>
      <c r="F1142" s="6">
        <v>3.0</v>
      </c>
      <c r="G1142" s="13">
        <v>548.19</v>
      </c>
      <c r="H1142" s="6">
        <v>0.12</v>
      </c>
      <c r="I1142" s="6" t="s">
        <v>1965</v>
      </c>
      <c r="J1142" s="13">
        <v>1447.2216</v>
      </c>
      <c r="K1142" s="6" t="str">
        <f t="shared" si="1"/>
        <v>Average Earnings</v>
      </c>
    </row>
    <row r="1143" ht="14.25" customHeight="1">
      <c r="A1143" s="6" t="s">
        <v>3108</v>
      </c>
      <c r="B1143" s="17">
        <v>45607.0</v>
      </c>
      <c r="C1143" s="6" t="s">
        <v>263</v>
      </c>
      <c r="D1143" s="6" t="s">
        <v>1807</v>
      </c>
      <c r="E1143" s="6" t="s">
        <v>1926</v>
      </c>
      <c r="F1143" s="6">
        <v>3.0</v>
      </c>
      <c r="G1143" s="13">
        <v>927.6</v>
      </c>
      <c r="H1143" s="6">
        <v>0.09</v>
      </c>
      <c r="I1143" s="6" t="s">
        <v>1965</v>
      </c>
      <c r="J1143" s="13">
        <v>2532.348</v>
      </c>
      <c r="K1143" s="6" t="str">
        <f t="shared" si="1"/>
        <v>High Earnings</v>
      </c>
    </row>
    <row r="1144" ht="14.25" customHeight="1">
      <c r="A1144" s="6" t="s">
        <v>3109</v>
      </c>
      <c r="B1144" s="17">
        <v>45666.0</v>
      </c>
      <c r="C1144" s="6" t="s">
        <v>864</v>
      </c>
      <c r="D1144" s="6" t="s">
        <v>1770</v>
      </c>
      <c r="E1144" s="6" t="s">
        <v>1906</v>
      </c>
      <c r="F1144" s="6">
        <v>4.0</v>
      </c>
      <c r="G1144" s="13">
        <v>585.04</v>
      </c>
      <c r="H1144" s="6">
        <v>0.22</v>
      </c>
      <c r="I1144" s="6" t="s">
        <v>1967</v>
      </c>
      <c r="J1144" s="13">
        <v>1825.3248</v>
      </c>
      <c r="K1144" s="6" t="str">
        <f t="shared" si="1"/>
        <v>Average Earnings</v>
      </c>
    </row>
    <row r="1145" ht="14.25" customHeight="1">
      <c r="A1145" s="6" t="s">
        <v>3110</v>
      </c>
      <c r="B1145" s="17">
        <v>45406.0</v>
      </c>
      <c r="C1145" s="6" t="s">
        <v>1549</v>
      </c>
      <c r="D1145" s="6" t="s">
        <v>1701</v>
      </c>
      <c r="E1145" s="6" t="s">
        <v>1901</v>
      </c>
      <c r="F1145" s="6">
        <v>2.0</v>
      </c>
      <c r="G1145" s="13">
        <v>999.89</v>
      </c>
      <c r="H1145" s="6">
        <v>0.09</v>
      </c>
      <c r="I1145" s="6" t="s">
        <v>1965</v>
      </c>
      <c r="J1145" s="13">
        <v>1819.7998</v>
      </c>
      <c r="K1145" s="6" t="str">
        <f t="shared" si="1"/>
        <v>Average Earnings</v>
      </c>
    </row>
    <row r="1146" ht="14.25" customHeight="1">
      <c r="A1146" s="6" t="s">
        <v>3111</v>
      </c>
      <c r="B1146" s="17">
        <v>45284.0</v>
      </c>
      <c r="C1146" s="6" t="s">
        <v>386</v>
      </c>
      <c r="D1146" s="6" t="s">
        <v>1813</v>
      </c>
      <c r="E1146" s="6" t="s">
        <v>1906</v>
      </c>
      <c r="F1146" s="6">
        <v>2.0</v>
      </c>
      <c r="G1146" s="13">
        <v>848.98</v>
      </c>
      <c r="H1146" s="6">
        <v>0.04</v>
      </c>
      <c r="I1146" s="6" t="s">
        <v>1967</v>
      </c>
      <c r="J1146" s="13">
        <v>1630.0416</v>
      </c>
      <c r="K1146" s="6" t="str">
        <f t="shared" si="1"/>
        <v>Average Earnings</v>
      </c>
    </row>
    <row r="1147" ht="14.25" customHeight="1">
      <c r="A1147" s="6" t="s">
        <v>3112</v>
      </c>
      <c r="B1147" s="17">
        <v>45348.0</v>
      </c>
      <c r="C1147" s="6" t="s">
        <v>492</v>
      </c>
      <c r="D1147" s="6" t="s">
        <v>1767</v>
      </c>
      <c r="E1147" s="6" t="s">
        <v>1939</v>
      </c>
      <c r="F1147" s="6">
        <v>3.0</v>
      </c>
      <c r="G1147" s="13">
        <v>769.56</v>
      </c>
      <c r="H1147" s="6">
        <v>0.08</v>
      </c>
      <c r="I1147" s="6" t="s">
        <v>1965</v>
      </c>
      <c r="J1147" s="13">
        <v>2123.9856</v>
      </c>
      <c r="K1147" s="6" t="str">
        <f t="shared" si="1"/>
        <v>Average Earnings</v>
      </c>
    </row>
    <row r="1148" ht="14.25" customHeight="1">
      <c r="A1148" s="6" t="s">
        <v>3113</v>
      </c>
      <c r="B1148" s="17">
        <v>45466.0</v>
      </c>
      <c r="C1148" s="6" t="s">
        <v>1167</v>
      </c>
      <c r="D1148" s="6" t="s">
        <v>1611</v>
      </c>
      <c r="E1148" s="6" t="s">
        <v>1922</v>
      </c>
      <c r="F1148" s="6">
        <v>1.0</v>
      </c>
      <c r="G1148" s="13">
        <v>719.28</v>
      </c>
      <c r="H1148" s="6">
        <v>0.08</v>
      </c>
      <c r="I1148" s="6" t="s">
        <v>1965</v>
      </c>
      <c r="J1148" s="13">
        <v>661.7376</v>
      </c>
      <c r="K1148" s="6" t="str">
        <f t="shared" si="1"/>
        <v>Low Earnings</v>
      </c>
    </row>
    <row r="1149" ht="14.25" customHeight="1">
      <c r="A1149" s="6" t="s">
        <v>3114</v>
      </c>
      <c r="B1149" s="17">
        <v>45676.0</v>
      </c>
      <c r="C1149" s="6" t="s">
        <v>196</v>
      </c>
      <c r="D1149" s="6" t="s">
        <v>1730</v>
      </c>
      <c r="E1149" s="6" t="s">
        <v>1937</v>
      </c>
      <c r="F1149" s="6">
        <v>3.0</v>
      </c>
      <c r="G1149" s="13">
        <v>449.88</v>
      </c>
      <c r="H1149" s="6">
        <v>0.1</v>
      </c>
      <c r="I1149" s="6" t="s">
        <v>1967</v>
      </c>
      <c r="J1149" s="13">
        <v>1214.676</v>
      </c>
      <c r="K1149" s="6" t="str">
        <f t="shared" si="1"/>
        <v>Average Earnings</v>
      </c>
    </row>
    <row r="1150" ht="14.25" customHeight="1">
      <c r="A1150" s="6" t="s">
        <v>3115</v>
      </c>
      <c r="B1150" s="17">
        <v>45863.0</v>
      </c>
      <c r="C1150" s="6" t="s">
        <v>890</v>
      </c>
      <c r="D1150" s="6" t="s">
        <v>1795</v>
      </c>
      <c r="E1150" s="6" t="s">
        <v>1934</v>
      </c>
      <c r="F1150" s="6">
        <v>4.0</v>
      </c>
      <c r="G1150" s="13">
        <v>383.74</v>
      </c>
      <c r="H1150" s="6">
        <v>0.01</v>
      </c>
      <c r="I1150" s="6" t="s">
        <v>1965</v>
      </c>
      <c r="J1150" s="13">
        <v>1519.6104</v>
      </c>
      <c r="K1150" s="6" t="str">
        <f t="shared" si="1"/>
        <v>Average Earnings</v>
      </c>
    </row>
    <row r="1151" ht="14.25" customHeight="1">
      <c r="A1151" s="6" t="s">
        <v>3116</v>
      </c>
      <c r="B1151" s="17">
        <v>45409.0</v>
      </c>
      <c r="C1151" s="6" t="s">
        <v>510</v>
      </c>
      <c r="D1151" s="6" t="s">
        <v>1761</v>
      </c>
      <c r="E1151" s="6" t="s">
        <v>1929</v>
      </c>
      <c r="F1151" s="6">
        <v>4.0</v>
      </c>
      <c r="G1151" s="13">
        <v>794.97</v>
      </c>
      <c r="H1151" s="6">
        <v>0.24</v>
      </c>
      <c r="I1151" s="6" t="s">
        <v>1967</v>
      </c>
      <c r="J1151" s="13">
        <v>2416.7088</v>
      </c>
      <c r="K1151" s="6" t="str">
        <f t="shared" si="1"/>
        <v>Average Earnings</v>
      </c>
    </row>
    <row r="1152" ht="14.25" customHeight="1">
      <c r="A1152" s="6" t="s">
        <v>3117</v>
      </c>
      <c r="B1152" s="17">
        <v>45880.0</v>
      </c>
      <c r="C1152" s="6" t="s">
        <v>59</v>
      </c>
      <c r="D1152" s="6" t="s">
        <v>1825</v>
      </c>
      <c r="E1152" s="6" t="s">
        <v>1913</v>
      </c>
      <c r="F1152" s="6">
        <v>1.0</v>
      </c>
      <c r="G1152" s="13">
        <v>989.63</v>
      </c>
      <c r="H1152" s="6">
        <v>0.05</v>
      </c>
      <c r="I1152" s="6" t="s">
        <v>1967</v>
      </c>
      <c r="J1152" s="13">
        <v>940.1484999999999</v>
      </c>
      <c r="K1152" s="6" t="str">
        <f t="shared" si="1"/>
        <v>Low Earnings</v>
      </c>
    </row>
    <row r="1153" ht="14.25" customHeight="1">
      <c r="A1153" s="6" t="s">
        <v>3118</v>
      </c>
      <c r="B1153" s="17">
        <v>45731.0</v>
      </c>
      <c r="C1153" s="6" t="s">
        <v>1068</v>
      </c>
      <c r="D1153" s="6" t="s">
        <v>1749</v>
      </c>
      <c r="E1153" s="6" t="s">
        <v>1892</v>
      </c>
      <c r="F1153" s="6">
        <v>1.0</v>
      </c>
      <c r="G1153" s="13">
        <v>447.16</v>
      </c>
      <c r="H1153" s="6">
        <v>0.22</v>
      </c>
      <c r="I1153" s="6" t="s">
        <v>1973</v>
      </c>
      <c r="J1153" s="13">
        <v>348.7848</v>
      </c>
      <c r="K1153" s="6" t="str">
        <f t="shared" si="1"/>
        <v>Low Earnings</v>
      </c>
    </row>
    <row r="1154" ht="14.25" customHeight="1">
      <c r="A1154" s="6" t="s">
        <v>3119</v>
      </c>
      <c r="B1154" s="17">
        <v>45671.0</v>
      </c>
      <c r="C1154" s="6" t="s">
        <v>51</v>
      </c>
      <c r="D1154" s="6" t="s">
        <v>1870</v>
      </c>
      <c r="E1154" s="6" t="s">
        <v>1916</v>
      </c>
      <c r="F1154" s="6">
        <v>1.0</v>
      </c>
      <c r="G1154" s="13">
        <v>946.9</v>
      </c>
      <c r="H1154" s="6">
        <v>0.29</v>
      </c>
      <c r="I1154" s="6" t="s">
        <v>1973</v>
      </c>
      <c r="J1154" s="13">
        <v>672.299</v>
      </c>
      <c r="K1154" s="6" t="str">
        <f t="shared" si="1"/>
        <v>Low Earnings</v>
      </c>
    </row>
    <row r="1155" ht="14.25" customHeight="1">
      <c r="A1155" s="6" t="s">
        <v>3120</v>
      </c>
      <c r="B1155" s="17">
        <v>45809.0</v>
      </c>
      <c r="C1155" s="6" t="s">
        <v>573</v>
      </c>
      <c r="D1155" s="6" t="s">
        <v>1630</v>
      </c>
      <c r="E1155" s="6" t="s">
        <v>1892</v>
      </c>
      <c r="F1155" s="6">
        <v>4.0</v>
      </c>
      <c r="G1155" s="13">
        <v>469.68</v>
      </c>
      <c r="H1155" s="6">
        <v>0.19</v>
      </c>
      <c r="I1155" s="6" t="s">
        <v>1965</v>
      </c>
      <c r="J1155" s="13">
        <v>1521.7632</v>
      </c>
      <c r="K1155" s="6" t="str">
        <f t="shared" si="1"/>
        <v>Average Earnings</v>
      </c>
    </row>
    <row r="1156" ht="14.25" customHeight="1">
      <c r="A1156" s="6" t="s">
        <v>3121</v>
      </c>
      <c r="B1156" s="17">
        <v>45559.0</v>
      </c>
      <c r="C1156" s="6" t="s">
        <v>1534</v>
      </c>
      <c r="D1156" s="6" t="s">
        <v>1666</v>
      </c>
      <c r="E1156" s="6" t="s">
        <v>1947</v>
      </c>
      <c r="F1156" s="6">
        <v>4.0</v>
      </c>
      <c r="G1156" s="13">
        <v>320.64</v>
      </c>
      <c r="H1156" s="6">
        <v>0.2</v>
      </c>
      <c r="I1156" s="6" t="s">
        <v>1973</v>
      </c>
      <c r="J1156" s="13">
        <v>1026.048</v>
      </c>
      <c r="K1156" s="6" t="str">
        <f t="shared" si="1"/>
        <v>Average Earnings</v>
      </c>
    </row>
    <row r="1157" ht="14.25" customHeight="1">
      <c r="A1157" s="6" t="s">
        <v>3122</v>
      </c>
      <c r="B1157" s="17">
        <v>45253.0</v>
      </c>
      <c r="C1157" s="6" t="s">
        <v>472</v>
      </c>
      <c r="D1157" s="6" t="s">
        <v>1622</v>
      </c>
      <c r="E1157" s="6" t="s">
        <v>1913</v>
      </c>
      <c r="F1157" s="6">
        <v>1.0</v>
      </c>
      <c r="G1157" s="13">
        <v>594.44</v>
      </c>
      <c r="H1157" s="6">
        <v>0.21</v>
      </c>
      <c r="I1157" s="6" t="s">
        <v>1965</v>
      </c>
      <c r="J1157" s="13">
        <v>469.6076</v>
      </c>
      <c r="K1157" s="6" t="str">
        <f t="shared" si="1"/>
        <v>Low Earnings</v>
      </c>
    </row>
    <row r="1158" ht="14.25" customHeight="1">
      <c r="A1158" s="6" t="s">
        <v>3123</v>
      </c>
      <c r="B1158" s="17">
        <v>45861.0</v>
      </c>
      <c r="C1158" s="6" t="s">
        <v>714</v>
      </c>
      <c r="D1158" s="6" t="s">
        <v>1846</v>
      </c>
      <c r="E1158" s="6" t="s">
        <v>1922</v>
      </c>
      <c r="F1158" s="6">
        <v>3.0</v>
      </c>
      <c r="G1158" s="13">
        <v>91.7</v>
      </c>
      <c r="H1158" s="6">
        <v>0.08</v>
      </c>
      <c r="I1158" s="6" t="s">
        <v>1973</v>
      </c>
      <c r="J1158" s="13">
        <v>253.092</v>
      </c>
      <c r="K1158" s="6" t="str">
        <f t="shared" si="1"/>
        <v>Low Earnings</v>
      </c>
    </row>
    <row r="1159" ht="14.25" customHeight="1">
      <c r="A1159" s="6" t="s">
        <v>3124</v>
      </c>
      <c r="B1159" s="17">
        <v>45908.0</v>
      </c>
      <c r="C1159" s="6" t="s">
        <v>625</v>
      </c>
      <c r="D1159" s="6" t="s">
        <v>1788</v>
      </c>
      <c r="E1159" s="6" t="s">
        <v>1916</v>
      </c>
      <c r="F1159" s="6">
        <v>3.0</v>
      </c>
      <c r="G1159" s="13">
        <v>77.6</v>
      </c>
      <c r="H1159" s="6">
        <v>0.07</v>
      </c>
      <c r="I1159" s="6" t="s">
        <v>1965</v>
      </c>
      <c r="J1159" s="13">
        <v>216.504</v>
      </c>
      <c r="K1159" s="6" t="str">
        <f t="shared" si="1"/>
        <v>Low Earnings</v>
      </c>
    </row>
    <row r="1160" ht="14.25" customHeight="1">
      <c r="A1160" s="6" t="s">
        <v>3125</v>
      </c>
      <c r="B1160" s="17">
        <v>45917.0</v>
      </c>
      <c r="C1160" s="6" t="s">
        <v>135</v>
      </c>
      <c r="D1160" s="6" t="s">
        <v>1773</v>
      </c>
      <c r="E1160" s="6" t="s">
        <v>1934</v>
      </c>
      <c r="F1160" s="6">
        <v>3.0</v>
      </c>
      <c r="G1160" s="13">
        <v>741.33</v>
      </c>
      <c r="H1160" s="6">
        <v>0.03</v>
      </c>
      <c r="I1160" s="6" t="s">
        <v>1965</v>
      </c>
      <c r="J1160" s="13">
        <v>2157.2703</v>
      </c>
      <c r="K1160" s="6" t="str">
        <f t="shared" si="1"/>
        <v>Average Earnings</v>
      </c>
    </row>
    <row r="1161" ht="14.25" customHeight="1">
      <c r="A1161" s="6" t="s">
        <v>3126</v>
      </c>
      <c r="B1161" s="17">
        <v>45754.0</v>
      </c>
      <c r="C1161" s="6" t="s">
        <v>1482</v>
      </c>
      <c r="D1161" s="6" t="s">
        <v>1626</v>
      </c>
      <c r="E1161" s="6" t="s">
        <v>1953</v>
      </c>
      <c r="F1161" s="6">
        <v>1.0</v>
      </c>
      <c r="G1161" s="13">
        <v>922.78</v>
      </c>
      <c r="H1161" s="6">
        <v>0.29</v>
      </c>
      <c r="I1161" s="6" t="s">
        <v>1973</v>
      </c>
      <c r="J1161" s="13">
        <v>655.1737999999999</v>
      </c>
      <c r="K1161" s="6" t="str">
        <f t="shared" si="1"/>
        <v>Low Earnings</v>
      </c>
    </row>
    <row r="1162" ht="14.25" customHeight="1">
      <c r="A1162" s="6" t="s">
        <v>3127</v>
      </c>
      <c r="B1162" s="17">
        <v>45312.0</v>
      </c>
      <c r="C1162" s="6" t="s">
        <v>1038</v>
      </c>
      <c r="D1162" s="6" t="s">
        <v>1595</v>
      </c>
      <c r="E1162" s="6" t="s">
        <v>1944</v>
      </c>
      <c r="F1162" s="6">
        <v>1.0</v>
      </c>
      <c r="G1162" s="13">
        <v>394.35</v>
      </c>
      <c r="H1162" s="6">
        <v>0.09</v>
      </c>
      <c r="I1162" s="6" t="s">
        <v>1967</v>
      </c>
      <c r="J1162" s="13">
        <v>358.8585</v>
      </c>
      <c r="K1162" s="6" t="str">
        <f t="shared" si="1"/>
        <v>Low Earnings</v>
      </c>
    </row>
    <row r="1163" ht="14.25" customHeight="1">
      <c r="A1163" s="6" t="s">
        <v>3128</v>
      </c>
      <c r="B1163" s="17">
        <v>45480.0</v>
      </c>
      <c r="C1163" s="6" t="s">
        <v>1155</v>
      </c>
      <c r="D1163" s="6" t="s">
        <v>1782</v>
      </c>
      <c r="E1163" s="6" t="s">
        <v>1932</v>
      </c>
      <c r="F1163" s="6">
        <v>2.0</v>
      </c>
      <c r="G1163" s="13">
        <v>703.95</v>
      </c>
      <c r="H1163" s="6">
        <v>0.03</v>
      </c>
      <c r="I1163" s="6" t="s">
        <v>1965</v>
      </c>
      <c r="J1163" s="13">
        <v>1365.663</v>
      </c>
      <c r="K1163" s="6" t="str">
        <f t="shared" si="1"/>
        <v>Average Earnings</v>
      </c>
    </row>
    <row r="1164" ht="14.25" customHeight="1">
      <c r="A1164" s="6" t="s">
        <v>3129</v>
      </c>
      <c r="B1164" s="17">
        <v>45780.0</v>
      </c>
      <c r="C1164" s="6" t="s">
        <v>666</v>
      </c>
      <c r="D1164" s="6" t="s">
        <v>1618</v>
      </c>
      <c r="E1164" s="6" t="s">
        <v>1892</v>
      </c>
      <c r="F1164" s="6">
        <v>4.0</v>
      </c>
      <c r="G1164" s="13">
        <v>452.67</v>
      </c>
      <c r="H1164" s="6">
        <v>0.28</v>
      </c>
      <c r="I1164" s="6" t="s">
        <v>1967</v>
      </c>
      <c r="J1164" s="13">
        <v>1303.6896</v>
      </c>
      <c r="K1164" s="6" t="str">
        <f t="shared" si="1"/>
        <v>Average Earnings</v>
      </c>
    </row>
    <row r="1165" ht="14.25" customHeight="1">
      <c r="A1165" s="6" t="s">
        <v>3130</v>
      </c>
      <c r="B1165" s="17">
        <v>45349.0</v>
      </c>
      <c r="C1165" s="6" t="s">
        <v>1444</v>
      </c>
      <c r="D1165" s="6" t="s">
        <v>1595</v>
      </c>
      <c r="E1165" s="6" t="s">
        <v>1919</v>
      </c>
      <c r="F1165" s="6">
        <v>2.0</v>
      </c>
      <c r="G1165" s="13">
        <v>377.3</v>
      </c>
      <c r="H1165" s="6">
        <v>0.15</v>
      </c>
      <c r="I1165" s="6" t="s">
        <v>1967</v>
      </c>
      <c r="J1165" s="13">
        <v>641.41</v>
      </c>
      <c r="K1165" s="6" t="str">
        <f t="shared" si="1"/>
        <v>Low Earnings</v>
      </c>
    </row>
    <row r="1166" ht="14.25" customHeight="1">
      <c r="A1166" s="6" t="s">
        <v>3131</v>
      </c>
      <c r="B1166" s="17">
        <v>45846.0</v>
      </c>
      <c r="C1166" s="6" t="s">
        <v>1095</v>
      </c>
      <c r="D1166" s="6" t="s">
        <v>1810</v>
      </c>
      <c r="E1166" s="6" t="s">
        <v>1919</v>
      </c>
      <c r="F1166" s="6">
        <v>2.0</v>
      </c>
      <c r="G1166" s="13">
        <v>130.48</v>
      </c>
      <c r="H1166" s="6">
        <v>0.23</v>
      </c>
      <c r="I1166" s="6" t="s">
        <v>1967</v>
      </c>
      <c r="J1166" s="13">
        <v>200.9392</v>
      </c>
      <c r="K1166" s="6" t="str">
        <f t="shared" si="1"/>
        <v>Low Earnings</v>
      </c>
    </row>
    <row r="1167" ht="14.25" customHeight="1">
      <c r="A1167" s="6" t="s">
        <v>3132</v>
      </c>
      <c r="B1167" s="17">
        <v>45729.0</v>
      </c>
      <c r="C1167" s="6" t="s">
        <v>1365</v>
      </c>
      <c r="D1167" s="6" t="s">
        <v>1870</v>
      </c>
      <c r="E1167" s="6" t="s">
        <v>1934</v>
      </c>
      <c r="F1167" s="6">
        <v>1.0</v>
      </c>
      <c r="G1167" s="13">
        <v>809.45</v>
      </c>
      <c r="H1167" s="6">
        <v>0.09</v>
      </c>
      <c r="I1167" s="6" t="s">
        <v>1973</v>
      </c>
      <c r="J1167" s="13">
        <v>736.5995</v>
      </c>
      <c r="K1167" s="6" t="str">
        <f t="shared" si="1"/>
        <v>Low Earnings</v>
      </c>
    </row>
    <row r="1168" ht="14.25" customHeight="1">
      <c r="A1168" s="6" t="s">
        <v>3133</v>
      </c>
      <c r="B1168" s="17">
        <v>45768.0</v>
      </c>
      <c r="C1168" s="6" t="s">
        <v>309</v>
      </c>
      <c r="D1168" s="6" t="s">
        <v>1720</v>
      </c>
      <c r="E1168" s="6" t="s">
        <v>1926</v>
      </c>
      <c r="F1168" s="6">
        <v>3.0</v>
      </c>
      <c r="G1168" s="13">
        <v>499.12</v>
      </c>
      <c r="H1168" s="6">
        <v>0.05</v>
      </c>
      <c r="I1168" s="6" t="s">
        <v>1967</v>
      </c>
      <c r="J1168" s="13">
        <v>1422.492</v>
      </c>
      <c r="K1168" s="6" t="str">
        <f t="shared" si="1"/>
        <v>Average Earnings</v>
      </c>
    </row>
    <row r="1169" ht="14.25" customHeight="1">
      <c r="A1169" s="6" t="s">
        <v>3134</v>
      </c>
      <c r="B1169" s="17">
        <v>45606.0</v>
      </c>
      <c r="C1169" s="6" t="s">
        <v>108</v>
      </c>
      <c r="D1169" s="6" t="s">
        <v>1791</v>
      </c>
      <c r="E1169" s="6" t="s">
        <v>1906</v>
      </c>
      <c r="F1169" s="6">
        <v>2.0</v>
      </c>
      <c r="G1169" s="13">
        <v>894.58</v>
      </c>
      <c r="H1169" s="6">
        <v>0.25</v>
      </c>
      <c r="I1169" s="6" t="s">
        <v>1965</v>
      </c>
      <c r="J1169" s="13">
        <v>1341.87</v>
      </c>
      <c r="K1169" s="6" t="str">
        <f t="shared" si="1"/>
        <v>Average Earnings</v>
      </c>
    </row>
    <row r="1170" ht="14.25" customHeight="1">
      <c r="A1170" s="6" t="s">
        <v>3135</v>
      </c>
      <c r="B1170" s="17">
        <v>45552.0</v>
      </c>
      <c r="C1170" s="6" t="s">
        <v>1206</v>
      </c>
      <c r="D1170" s="6" t="s">
        <v>1581</v>
      </c>
      <c r="E1170" s="6" t="s">
        <v>1906</v>
      </c>
      <c r="F1170" s="6">
        <v>4.0</v>
      </c>
      <c r="G1170" s="13">
        <v>852.71</v>
      </c>
      <c r="H1170" s="6">
        <v>0.14</v>
      </c>
      <c r="I1170" s="6" t="s">
        <v>1967</v>
      </c>
      <c r="J1170" s="13">
        <v>2933.3224</v>
      </c>
      <c r="K1170" s="6" t="str">
        <f t="shared" si="1"/>
        <v>High Earnings</v>
      </c>
    </row>
    <row r="1171" ht="14.25" customHeight="1">
      <c r="A1171" s="6" t="s">
        <v>3136</v>
      </c>
      <c r="B1171" s="17">
        <v>45513.0</v>
      </c>
      <c r="C1171" s="6" t="s">
        <v>460</v>
      </c>
      <c r="D1171" s="6" t="s">
        <v>1813</v>
      </c>
      <c r="E1171" s="6" t="s">
        <v>1926</v>
      </c>
      <c r="F1171" s="6">
        <v>4.0</v>
      </c>
      <c r="G1171" s="13">
        <v>578.39</v>
      </c>
      <c r="H1171" s="6">
        <v>0.01</v>
      </c>
      <c r="I1171" s="6" t="s">
        <v>1965</v>
      </c>
      <c r="J1171" s="13">
        <v>2290.4244</v>
      </c>
      <c r="K1171" s="6" t="str">
        <f t="shared" si="1"/>
        <v>Average Earnings</v>
      </c>
    </row>
    <row r="1172" ht="14.25" customHeight="1">
      <c r="A1172" s="6" t="s">
        <v>3137</v>
      </c>
      <c r="B1172" s="17">
        <v>45356.0</v>
      </c>
      <c r="C1172" s="6" t="s">
        <v>1508</v>
      </c>
      <c r="D1172" s="6" t="s">
        <v>1708</v>
      </c>
      <c r="E1172" s="6" t="s">
        <v>1947</v>
      </c>
      <c r="F1172" s="6">
        <v>4.0</v>
      </c>
      <c r="G1172" s="13">
        <v>982.45</v>
      </c>
      <c r="H1172" s="6">
        <v>0.2</v>
      </c>
      <c r="I1172" s="6" t="s">
        <v>1967</v>
      </c>
      <c r="J1172" s="13">
        <v>3143.84</v>
      </c>
      <c r="K1172" s="6" t="str">
        <f t="shared" si="1"/>
        <v>High Earnings</v>
      </c>
    </row>
    <row r="1173" ht="14.25" customHeight="1">
      <c r="A1173" s="6" t="s">
        <v>3138</v>
      </c>
      <c r="B1173" s="17">
        <v>45925.0</v>
      </c>
      <c r="C1173" s="6" t="s">
        <v>1405</v>
      </c>
      <c r="D1173" s="6" t="s">
        <v>1882</v>
      </c>
      <c r="E1173" s="6" t="s">
        <v>1953</v>
      </c>
      <c r="F1173" s="6">
        <v>1.0</v>
      </c>
      <c r="G1173" s="13">
        <v>549.52</v>
      </c>
      <c r="H1173" s="6">
        <v>0.1</v>
      </c>
      <c r="I1173" s="6" t="s">
        <v>1967</v>
      </c>
      <c r="J1173" s="13">
        <v>494.568</v>
      </c>
      <c r="K1173" s="6" t="str">
        <f t="shared" si="1"/>
        <v>Low Earnings</v>
      </c>
    </row>
    <row r="1174" ht="14.25" customHeight="1">
      <c r="A1174" s="6" t="s">
        <v>3139</v>
      </c>
      <c r="B1174" s="17">
        <v>45876.0</v>
      </c>
      <c r="C1174" s="6" t="s">
        <v>785</v>
      </c>
      <c r="D1174" s="6" t="s">
        <v>1864</v>
      </c>
      <c r="E1174" s="6" t="s">
        <v>1950</v>
      </c>
      <c r="F1174" s="6">
        <v>2.0</v>
      </c>
      <c r="G1174" s="13">
        <v>239.92</v>
      </c>
      <c r="H1174" s="6">
        <v>0.16</v>
      </c>
      <c r="I1174" s="6" t="s">
        <v>1965</v>
      </c>
      <c r="J1174" s="13">
        <v>403.0656</v>
      </c>
      <c r="K1174" s="6" t="str">
        <f t="shared" si="1"/>
        <v>Low Earnings</v>
      </c>
    </row>
    <row r="1175" ht="14.25" customHeight="1">
      <c r="A1175" s="6" t="s">
        <v>3140</v>
      </c>
      <c r="B1175" s="17">
        <v>45338.0</v>
      </c>
      <c r="C1175" s="6" t="s">
        <v>306</v>
      </c>
      <c r="D1175" s="6" t="s">
        <v>1864</v>
      </c>
      <c r="E1175" s="6" t="s">
        <v>1916</v>
      </c>
      <c r="F1175" s="6">
        <v>2.0</v>
      </c>
      <c r="G1175" s="13">
        <v>878.05</v>
      </c>
      <c r="H1175" s="6">
        <v>0.11</v>
      </c>
      <c r="I1175" s="6" t="s">
        <v>1967</v>
      </c>
      <c r="J1175" s="13">
        <v>1562.929</v>
      </c>
      <c r="K1175" s="6" t="str">
        <f t="shared" si="1"/>
        <v>Average Earnings</v>
      </c>
    </row>
    <row r="1176" ht="14.25" customHeight="1">
      <c r="A1176" s="6" t="s">
        <v>3141</v>
      </c>
      <c r="B1176" s="17">
        <v>45746.0</v>
      </c>
      <c r="C1176" s="6" t="s">
        <v>180</v>
      </c>
      <c r="D1176" s="6" t="s">
        <v>1565</v>
      </c>
      <c r="E1176" s="6" t="s">
        <v>1926</v>
      </c>
      <c r="F1176" s="6">
        <v>3.0</v>
      </c>
      <c r="G1176" s="13">
        <v>546.96</v>
      </c>
      <c r="H1176" s="6">
        <v>0.19</v>
      </c>
      <c r="I1176" s="6" t="s">
        <v>1965</v>
      </c>
      <c r="J1176" s="13">
        <v>1329.1128</v>
      </c>
      <c r="K1176" s="6" t="str">
        <f t="shared" si="1"/>
        <v>Average Earnings</v>
      </c>
    </row>
    <row r="1177" ht="14.25" customHeight="1">
      <c r="A1177" s="6" t="s">
        <v>3142</v>
      </c>
      <c r="B1177" s="17">
        <v>45706.0</v>
      </c>
      <c r="C1177" s="6" t="s">
        <v>1468</v>
      </c>
      <c r="D1177" s="6" t="s">
        <v>1630</v>
      </c>
      <c r="E1177" s="6" t="s">
        <v>1929</v>
      </c>
      <c r="F1177" s="6">
        <v>2.0</v>
      </c>
      <c r="G1177" s="13">
        <v>71.77</v>
      </c>
      <c r="H1177" s="6">
        <v>0.22</v>
      </c>
      <c r="I1177" s="6" t="s">
        <v>1965</v>
      </c>
      <c r="J1177" s="13">
        <v>111.9612</v>
      </c>
      <c r="K1177" s="6" t="str">
        <f t="shared" si="1"/>
        <v>Low Earnings</v>
      </c>
    </row>
    <row r="1178" ht="14.25" customHeight="1">
      <c r="A1178" s="6" t="s">
        <v>3143</v>
      </c>
      <c r="B1178" s="17">
        <v>45717.0</v>
      </c>
      <c r="C1178" s="6" t="s">
        <v>70</v>
      </c>
      <c r="D1178" s="6" t="s">
        <v>1653</v>
      </c>
      <c r="E1178" s="6" t="s">
        <v>1897</v>
      </c>
      <c r="F1178" s="6">
        <v>2.0</v>
      </c>
      <c r="G1178" s="13">
        <v>679.86</v>
      </c>
      <c r="H1178" s="6">
        <v>0.22</v>
      </c>
      <c r="I1178" s="6" t="s">
        <v>1973</v>
      </c>
      <c r="J1178" s="13">
        <v>1060.5816</v>
      </c>
      <c r="K1178" s="6" t="str">
        <f t="shared" si="1"/>
        <v>Average Earnings</v>
      </c>
    </row>
    <row r="1179" ht="14.25" customHeight="1">
      <c r="A1179" s="6" t="s">
        <v>3144</v>
      </c>
      <c r="B1179" s="17">
        <v>45300.0</v>
      </c>
      <c r="C1179" s="6" t="s">
        <v>475</v>
      </c>
      <c r="D1179" s="6" t="s">
        <v>1688</v>
      </c>
      <c r="E1179" s="6" t="s">
        <v>1947</v>
      </c>
      <c r="F1179" s="6">
        <v>1.0</v>
      </c>
      <c r="G1179" s="13">
        <v>222.94</v>
      </c>
      <c r="H1179" s="6">
        <v>0.19</v>
      </c>
      <c r="I1179" s="6" t="s">
        <v>1965</v>
      </c>
      <c r="J1179" s="13">
        <v>180.5814</v>
      </c>
      <c r="K1179" s="6" t="str">
        <f t="shared" si="1"/>
        <v>Low Earnings</v>
      </c>
    </row>
    <row r="1180" ht="14.25" customHeight="1">
      <c r="A1180" s="6" t="s">
        <v>3145</v>
      </c>
      <c r="B1180" s="17">
        <v>45773.0</v>
      </c>
      <c r="C1180" s="6" t="s">
        <v>809</v>
      </c>
      <c r="D1180" s="6" t="s">
        <v>1688</v>
      </c>
      <c r="E1180" s="6" t="s">
        <v>1901</v>
      </c>
      <c r="F1180" s="6">
        <v>2.0</v>
      </c>
      <c r="G1180" s="13">
        <v>355.3</v>
      </c>
      <c r="H1180" s="6">
        <f t="shared" ref="H1180:H1181" si="2">J1180/(F1180*G1180)</f>
        <v>0.83</v>
      </c>
      <c r="I1180" s="6" t="s">
        <v>1967</v>
      </c>
      <c r="J1180" s="13">
        <v>589.798</v>
      </c>
      <c r="K1180" s="6" t="str">
        <f t="shared" si="1"/>
        <v>Low Earnings</v>
      </c>
    </row>
    <row r="1181" ht="14.25" customHeight="1">
      <c r="A1181" s="6" t="s">
        <v>3146</v>
      </c>
      <c r="B1181" s="17">
        <v>45294.0</v>
      </c>
      <c r="C1181" s="6" t="s">
        <v>705</v>
      </c>
      <c r="D1181" s="6" t="s">
        <v>1882</v>
      </c>
      <c r="E1181" s="6" t="s">
        <v>1922</v>
      </c>
      <c r="F1181" s="6">
        <v>4.0</v>
      </c>
      <c r="G1181" s="13">
        <v>156.16</v>
      </c>
      <c r="H1181" s="6">
        <f t="shared" si="2"/>
        <v>0.96</v>
      </c>
      <c r="I1181" s="6" t="s">
        <v>1965</v>
      </c>
      <c r="J1181" s="13">
        <v>599.6544</v>
      </c>
      <c r="K1181" s="6" t="str">
        <f t="shared" si="1"/>
        <v>Low Earnings</v>
      </c>
    </row>
    <row r="1182" ht="14.25" customHeight="1">
      <c r="A1182" s="6" t="s">
        <v>3147</v>
      </c>
      <c r="B1182" s="17">
        <v>45497.0</v>
      </c>
      <c r="C1182" s="6" t="s">
        <v>374</v>
      </c>
      <c r="D1182" s="6" t="s">
        <v>1855</v>
      </c>
      <c r="E1182" s="6" t="s">
        <v>1953</v>
      </c>
      <c r="F1182" s="6">
        <v>4.0</v>
      </c>
      <c r="G1182" s="13">
        <v>611.3</v>
      </c>
      <c r="H1182" s="6">
        <v>0.11</v>
      </c>
      <c r="I1182" s="6" t="s">
        <v>1967</v>
      </c>
      <c r="J1182" s="13">
        <v>2176.228</v>
      </c>
      <c r="K1182" s="6" t="str">
        <f t="shared" si="1"/>
        <v>Average Earnings</v>
      </c>
    </row>
    <row r="1183" ht="14.25" customHeight="1">
      <c r="A1183" s="6" t="s">
        <v>3148</v>
      </c>
      <c r="B1183" s="17">
        <v>45742.0</v>
      </c>
      <c r="C1183" s="6" t="s">
        <v>1062</v>
      </c>
      <c r="D1183" s="6" t="s">
        <v>1560</v>
      </c>
      <c r="E1183" s="6" t="s">
        <v>1922</v>
      </c>
      <c r="F1183" s="6">
        <v>4.0</v>
      </c>
      <c r="G1183" s="13">
        <v>849.21</v>
      </c>
      <c r="H1183" s="6">
        <v>0.07</v>
      </c>
      <c r="I1183" s="6" t="s">
        <v>1965</v>
      </c>
      <c r="J1183" s="13">
        <v>3159.0612</v>
      </c>
      <c r="K1183" s="6" t="str">
        <f t="shared" si="1"/>
        <v>High Earnings</v>
      </c>
    </row>
    <row r="1184" ht="14.25" customHeight="1">
      <c r="A1184" s="6" t="s">
        <v>3149</v>
      </c>
      <c r="B1184" s="17">
        <v>45713.0</v>
      </c>
      <c r="C1184" s="6" t="s">
        <v>693</v>
      </c>
      <c r="D1184" s="6" t="s">
        <v>1711</v>
      </c>
      <c r="E1184" s="6" t="s">
        <v>1919</v>
      </c>
      <c r="F1184" s="6">
        <v>3.0</v>
      </c>
      <c r="G1184" s="13">
        <v>553.12</v>
      </c>
      <c r="H1184" s="6">
        <v>0.28</v>
      </c>
      <c r="I1184" s="6" t="s">
        <v>1973</v>
      </c>
      <c r="J1184" s="13">
        <v>1194.7392</v>
      </c>
      <c r="K1184" s="6" t="str">
        <f t="shared" si="1"/>
        <v>Average Earnings</v>
      </c>
    </row>
    <row r="1185" ht="14.25" customHeight="1">
      <c r="A1185" s="6" t="s">
        <v>3150</v>
      </c>
      <c r="B1185" s="17">
        <v>45826.0</v>
      </c>
      <c r="C1185" s="6" t="s">
        <v>911</v>
      </c>
      <c r="D1185" s="6" t="s">
        <v>1861</v>
      </c>
      <c r="E1185" s="6" t="s">
        <v>1926</v>
      </c>
      <c r="F1185" s="6">
        <v>2.0</v>
      </c>
      <c r="G1185" s="13">
        <v>903.08</v>
      </c>
      <c r="H1185" s="6">
        <v>0.18</v>
      </c>
      <c r="I1185" s="6" t="s">
        <v>1973</v>
      </c>
      <c r="J1185" s="13">
        <v>1481.0512</v>
      </c>
      <c r="K1185" s="6" t="str">
        <f t="shared" si="1"/>
        <v>Average Earnings</v>
      </c>
    </row>
    <row r="1186" ht="14.25" customHeight="1">
      <c r="A1186" s="6" t="s">
        <v>3151</v>
      </c>
      <c r="B1186" s="17">
        <v>45648.0</v>
      </c>
      <c r="C1186" s="6" t="s">
        <v>1488</v>
      </c>
      <c r="D1186" s="6" t="s">
        <v>1626</v>
      </c>
      <c r="E1186" s="6" t="s">
        <v>1932</v>
      </c>
      <c r="F1186" s="6">
        <v>4.0</v>
      </c>
      <c r="G1186" s="13">
        <v>640.23</v>
      </c>
      <c r="H1186" s="6">
        <v>0.06</v>
      </c>
      <c r="I1186" s="6" t="s">
        <v>1973</v>
      </c>
      <c r="J1186" s="13">
        <v>2407.2648</v>
      </c>
      <c r="K1186" s="6" t="str">
        <f t="shared" si="1"/>
        <v>Average Earnings</v>
      </c>
    </row>
    <row r="1187" ht="14.25" customHeight="1">
      <c r="A1187" s="6" t="s">
        <v>3152</v>
      </c>
      <c r="B1187" s="17">
        <v>45836.0</v>
      </c>
      <c r="C1187" s="6" t="s">
        <v>489</v>
      </c>
      <c r="D1187" s="6" t="s">
        <v>1643</v>
      </c>
      <c r="E1187" s="6" t="s">
        <v>1916</v>
      </c>
      <c r="F1187" s="6">
        <v>1.0</v>
      </c>
      <c r="G1187" s="13">
        <v>518.0</v>
      </c>
      <c r="H1187" s="6">
        <v>0.25</v>
      </c>
      <c r="I1187" s="6" t="s">
        <v>1965</v>
      </c>
      <c r="J1187" s="13">
        <v>388.5</v>
      </c>
      <c r="K1187" s="6" t="str">
        <f t="shared" si="1"/>
        <v>Low Earnings</v>
      </c>
    </row>
    <row r="1188" ht="14.25" customHeight="1">
      <c r="A1188" s="6" t="s">
        <v>3153</v>
      </c>
      <c r="B1188" s="17">
        <v>45437.0</v>
      </c>
      <c r="C1188" s="6" t="s">
        <v>1359</v>
      </c>
      <c r="D1188" s="6" t="s">
        <v>1779</v>
      </c>
      <c r="E1188" s="6" t="s">
        <v>1909</v>
      </c>
      <c r="F1188" s="6">
        <v>4.0</v>
      </c>
      <c r="G1188" s="13">
        <v>779.25</v>
      </c>
      <c r="H1188" s="6">
        <v>0.25</v>
      </c>
      <c r="I1188" s="6" t="s">
        <v>1965</v>
      </c>
      <c r="J1188" s="13">
        <v>2337.75</v>
      </c>
      <c r="K1188" s="6" t="str">
        <f t="shared" si="1"/>
        <v>Average Earnings</v>
      </c>
    </row>
    <row r="1189" ht="14.25" customHeight="1">
      <c r="A1189" s="6" t="s">
        <v>3154</v>
      </c>
      <c r="B1189" s="17">
        <v>45807.0</v>
      </c>
      <c r="C1189" s="6" t="s">
        <v>419</v>
      </c>
      <c r="D1189" s="6" t="s">
        <v>1837</v>
      </c>
      <c r="E1189" s="6" t="s">
        <v>1919</v>
      </c>
      <c r="F1189" s="6">
        <v>2.0</v>
      </c>
      <c r="G1189" s="13">
        <v>467.75</v>
      </c>
      <c r="H1189" s="6">
        <v>0.26</v>
      </c>
      <c r="I1189" s="6" t="s">
        <v>1965</v>
      </c>
      <c r="J1189" s="13">
        <v>692.27</v>
      </c>
      <c r="K1189" s="6" t="str">
        <f t="shared" si="1"/>
        <v>Low Earnings</v>
      </c>
    </row>
    <row r="1190" ht="14.25" customHeight="1">
      <c r="A1190" s="6" t="s">
        <v>3155</v>
      </c>
      <c r="B1190" s="17">
        <v>45555.0</v>
      </c>
      <c r="C1190" s="6" t="s">
        <v>1279</v>
      </c>
      <c r="D1190" s="6" t="s">
        <v>1858</v>
      </c>
      <c r="E1190" s="6" t="s">
        <v>1950</v>
      </c>
      <c r="F1190" s="6">
        <v>3.0</v>
      </c>
      <c r="G1190" s="13">
        <f>J1190/(F1190*(1-H1190))</f>
        <v>111.79</v>
      </c>
      <c r="H1190" s="6">
        <v>0.06</v>
      </c>
      <c r="I1190" s="6" t="s">
        <v>1965</v>
      </c>
      <c r="J1190" s="13">
        <v>315.2478</v>
      </c>
      <c r="K1190" s="6" t="str">
        <f t="shared" si="1"/>
        <v>Low Earnings</v>
      </c>
    </row>
    <row r="1191" ht="14.25" customHeight="1">
      <c r="A1191" s="6" t="s">
        <v>3156</v>
      </c>
      <c r="B1191" s="17">
        <v>45803.0</v>
      </c>
      <c r="C1191" s="6" t="s">
        <v>723</v>
      </c>
      <c r="D1191" s="6" t="s">
        <v>1694</v>
      </c>
      <c r="E1191" s="6" t="s">
        <v>1892</v>
      </c>
      <c r="F1191" s="6">
        <v>4.0</v>
      </c>
      <c r="G1191" s="13">
        <v>747.01</v>
      </c>
      <c r="H1191" s="6">
        <v>0.13</v>
      </c>
      <c r="I1191" s="6" t="s">
        <v>1967</v>
      </c>
      <c r="J1191" s="13">
        <v>2599.5948</v>
      </c>
      <c r="K1191" s="6" t="str">
        <f t="shared" si="1"/>
        <v>High Earnings</v>
      </c>
    </row>
    <row r="1192" ht="14.25" customHeight="1">
      <c r="A1192" s="6" t="s">
        <v>3157</v>
      </c>
      <c r="B1192" s="17">
        <v>45710.0</v>
      </c>
      <c r="C1192" s="6" t="s">
        <v>666</v>
      </c>
      <c r="D1192" s="6" t="s">
        <v>1819</v>
      </c>
      <c r="E1192" s="6" t="s">
        <v>1922</v>
      </c>
      <c r="F1192" s="6">
        <v>3.0</v>
      </c>
      <c r="G1192" s="13">
        <v>815.49</v>
      </c>
      <c r="H1192" s="6">
        <v>0.17</v>
      </c>
      <c r="I1192" s="6" t="s">
        <v>1965</v>
      </c>
      <c r="J1192" s="13">
        <v>2030.5701</v>
      </c>
      <c r="K1192" s="6" t="str">
        <f t="shared" si="1"/>
        <v>Average Earnings</v>
      </c>
    </row>
    <row r="1193" ht="14.25" customHeight="1">
      <c r="A1193" s="6" t="s">
        <v>3158</v>
      </c>
      <c r="B1193" s="17">
        <v>45735.0</v>
      </c>
      <c r="C1193" s="6" t="s">
        <v>368</v>
      </c>
      <c r="D1193" s="6" t="s">
        <v>1855</v>
      </c>
      <c r="E1193" s="6" t="s">
        <v>1934</v>
      </c>
      <c r="F1193" s="6">
        <v>4.0</v>
      </c>
      <c r="G1193" s="13">
        <v>461.83</v>
      </c>
      <c r="H1193" s="6">
        <v>0.28</v>
      </c>
      <c r="I1193" s="6" t="s">
        <v>1967</v>
      </c>
      <c r="J1193" s="13">
        <v>1330.0704</v>
      </c>
      <c r="K1193" s="6" t="str">
        <f t="shared" si="1"/>
        <v>Average Earnings</v>
      </c>
    </row>
    <row r="1194" ht="14.25" customHeight="1">
      <c r="A1194" s="6" t="s">
        <v>3159</v>
      </c>
      <c r="B1194" s="17">
        <v>45750.0</v>
      </c>
      <c r="C1194" s="6" t="s">
        <v>469</v>
      </c>
      <c r="D1194" s="6" t="s">
        <v>1798</v>
      </c>
      <c r="E1194" s="6" t="s">
        <v>1922</v>
      </c>
      <c r="F1194" s="6">
        <v>2.0</v>
      </c>
      <c r="G1194" s="13">
        <v>105.15</v>
      </c>
      <c r="H1194" s="6">
        <v>0.06</v>
      </c>
      <c r="I1194" s="6" t="s">
        <v>1965</v>
      </c>
      <c r="J1194" s="13">
        <v>197.682</v>
      </c>
      <c r="K1194" s="6" t="str">
        <f t="shared" si="1"/>
        <v>Low Earnings</v>
      </c>
    </row>
    <row r="1195" ht="14.25" customHeight="1">
      <c r="A1195" s="6" t="s">
        <v>3160</v>
      </c>
      <c r="B1195" s="17">
        <v>45693.0</v>
      </c>
      <c r="C1195" s="6" t="s">
        <v>142</v>
      </c>
      <c r="D1195" s="6" t="s">
        <v>1650</v>
      </c>
      <c r="E1195" s="6" t="s">
        <v>1906</v>
      </c>
      <c r="F1195" s="6">
        <v>3.0</v>
      </c>
      <c r="G1195" s="13">
        <v>610.24</v>
      </c>
      <c r="H1195" s="6">
        <v>0.17</v>
      </c>
      <c r="I1195" s="6" t="s">
        <v>1973</v>
      </c>
      <c r="J1195" s="13">
        <v>1519.4976</v>
      </c>
      <c r="K1195" s="6" t="str">
        <f t="shared" si="1"/>
        <v>Average Earnings</v>
      </c>
    </row>
    <row r="1196" ht="14.25" customHeight="1">
      <c r="A1196" s="6" t="s">
        <v>3161</v>
      </c>
      <c r="B1196" s="17">
        <v>45667.0</v>
      </c>
      <c r="C1196" s="6" t="s">
        <v>999</v>
      </c>
      <c r="D1196" s="6" t="s">
        <v>1810</v>
      </c>
      <c r="E1196" s="6" t="s">
        <v>1922</v>
      </c>
      <c r="F1196" s="6">
        <v>1.0</v>
      </c>
      <c r="G1196" s="13">
        <v>872.12</v>
      </c>
      <c r="H1196" s="6">
        <v>0.07</v>
      </c>
      <c r="I1196" s="6" t="s">
        <v>1967</v>
      </c>
      <c r="J1196" s="13">
        <v>811.0716</v>
      </c>
      <c r="K1196" s="6" t="str">
        <f t="shared" si="1"/>
        <v>Low Earnings</v>
      </c>
    </row>
    <row r="1197" ht="14.25" customHeight="1">
      <c r="A1197" s="6" t="s">
        <v>3162</v>
      </c>
      <c r="B1197" s="17">
        <v>45316.0</v>
      </c>
      <c r="C1197" s="6" t="s">
        <v>1359</v>
      </c>
      <c r="D1197" s="6" t="s">
        <v>1604</v>
      </c>
      <c r="E1197" s="6" t="s">
        <v>1897</v>
      </c>
      <c r="F1197" s="6">
        <v>1.0</v>
      </c>
      <c r="G1197" s="13">
        <v>406.79</v>
      </c>
      <c r="H1197" s="6">
        <v>0.03</v>
      </c>
      <c r="I1197" s="6" t="s">
        <v>1973</v>
      </c>
      <c r="J1197" s="13">
        <v>394.5863</v>
      </c>
      <c r="K1197" s="6" t="str">
        <f t="shared" si="1"/>
        <v>Low Earnings</v>
      </c>
    </row>
    <row r="1198" ht="14.25" customHeight="1">
      <c r="A1198" s="6" t="s">
        <v>3163</v>
      </c>
      <c r="B1198" s="17">
        <v>45932.0</v>
      </c>
      <c r="C1198" s="6" t="s">
        <v>1179</v>
      </c>
      <c r="D1198" s="6" t="s">
        <v>1749</v>
      </c>
      <c r="E1198" s="6" t="s">
        <v>1939</v>
      </c>
      <c r="F1198" s="6">
        <v>1.0</v>
      </c>
      <c r="G1198" s="13">
        <v>606.01</v>
      </c>
      <c r="H1198" s="6">
        <v>0.04</v>
      </c>
      <c r="I1198" s="6" t="s">
        <v>1967</v>
      </c>
      <c r="J1198" s="13">
        <v>581.7696</v>
      </c>
      <c r="K1198" s="6" t="str">
        <f t="shared" si="1"/>
        <v>Low Earnings</v>
      </c>
    </row>
    <row r="1199" ht="14.25" customHeight="1">
      <c r="A1199" s="6" t="s">
        <v>3164</v>
      </c>
      <c r="B1199" s="17">
        <v>45483.0</v>
      </c>
      <c r="C1199" s="6" t="s">
        <v>1110</v>
      </c>
      <c r="D1199" s="6" t="s">
        <v>1630</v>
      </c>
      <c r="E1199" s="6" t="s">
        <v>1913</v>
      </c>
      <c r="F1199" s="6">
        <v>4.0</v>
      </c>
      <c r="G1199" s="13">
        <v>322.58</v>
      </c>
      <c r="H1199" s="6">
        <v>0.06</v>
      </c>
      <c r="I1199" s="6" t="s">
        <v>1965</v>
      </c>
      <c r="J1199" s="13">
        <v>1212.9008</v>
      </c>
      <c r="K1199" s="6" t="str">
        <f t="shared" si="1"/>
        <v>Average Earnings</v>
      </c>
    </row>
    <row r="1200" ht="14.25" customHeight="1">
      <c r="A1200" s="6" t="s">
        <v>3165</v>
      </c>
      <c r="B1200" s="17">
        <v>45661.0</v>
      </c>
      <c r="C1200" s="6" t="s">
        <v>1505</v>
      </c>
      <c r="D1200" s="6" t="s">
        <v>1819</v>
      </c>
      <c r="E1200" s="6" t="s">
        <v>1950</v>
      </c>
      <c r="F1200" s="6">
        <v>4.0</v>
      </c>
      <c r="G1200" s="13">
        <v>463.17</v>
      </c>
      <c r="H1200" s="6">
        <v>0.06</v>
      </c>
      <c r="I1200" s="6" t="s">
        <v>1967</v>
      </c>
      <c r="J1200" s="13">
        <v>1741.5192</v>
      </c>
      <c r="K1200" s="6" t="str">
        <f t="shared" si="1"/>
        <v>Average Earnings</v>
      </c>
    </row>
    <row r="1201" ht="14.25" customHeight="1">
      <c r="A1201" s="6" t="s">
        <v>3166</v>
      </c>
      <c r="B1201" s="17">
        <v>45798.0</v>
      </c>
      <c r="C1201" s="6" t="s">
        <v>1011</v>
      </c>
      <c r="D1201" s="6" t="s">
        <v>1657</v>
      </c>
      <c r="E1201" s="6" t="s">
        <v>1919</v>
      </c>
      <c r="F1201" s="6">
        <v>4.0</v>
      </c>
      <c r="G1201" s="13">
        <v>285.82</v>
      </c>
      <c r="H1201" s="6">
        <v>0.18</v>
      </c>
      <c r="I1201" s="6" t="s">
        <v>1967</v>
      </c>
      <c r="J1201" s="13">
        <v>937.4896</v>
      </c>
      <c r="K1201" s="6" t="str">
        <f t="shared" si="1"/>
        <v>Low Earnings</v>
      </c>
    </row>
    <row r="1202" ht="14.25" customHeight="1">
      <c r="A1202" s="6" t="s">
        <v>3167</v>
      </c>
      <c r="B1202" s="17">
        <v>45868.0</v>
      </c>
      <c r="C1202" s="6" t="s">
        <v>1041</v>
      </c>
      <c r="D1202" s="6" t="s">
        <v>1694</v>
      </c>
      <c r="E1202" s="6" t="s">
        <v>1932</v>
      </c>
      <c r="F1202" s="6">
        <v>3.0</v>
      </c>
      <c r="G1202" s="13">
        <v>995.38</v>
      </c>
      <c r="H1202" s="6">
        <v>0.1</v>
      </c>
      <c r="I1202" s="6" t="s">
        <v>1967</v>
      </c>
      <c r="J1202" s="13">
        <v>2687.526</v>
      </c>
      <c r="K1202" s="6" t="str">
        <f t="shared" si="1"/>
        <v>High Earnings</v>
      </c>
    </row>
    <row r="1203" ht="14.25" customHeight="1">
      <c r="A1203" s="6" t="s">
        <v>3168</v>
      </c>
      <c r="B1203" s="17">
        <v>45923.0</v>
      </c>
      <c r="C1203" s="6" t="s">
        <v>510</v>
      </c>
      <c r="D1203" s="6" t="s">
        <v>1615</v>
      </c>
      <c r="E1203" s="6" t="s">
        <v>1901</v>
      </c>
      <c r="F1203" s="6">
        <v>2.0</v>
      </c>
      <c r="G1203" s="13">
        <v>74.21</v>
      </c>
      <c r="H1203" s="6">
        <v>0.11</v>
      </c>
      <c r="I1203" s="6" t="s">
        <v>1967</v>
      </c>
      <c r="J1203" s="13">
        <v>132.0938</v>
      </c>
      <c r="K1203" s="6" t="str">
        <f t="shared" si="1"/>
        <v>Low Earnings</v>
      </c>
    </row>
    <row r="1204" ht="14.25" customHeight="1">
      <c r="A1204" s="6" t="s">
        <v>3169</v>
      </c>
      <c r="B1204" s="17">
        <v>45757.0</v>
      </c>
      <c r="C1204" s="6" t="s">
        <v>422</v>
      </c>
      <c r="D1204" s="6" t="s">
        <v>1773</v>
      </c>
      <c r="E1204" s="6" t="s">
        <v>1922</v>
      </c>
      <c r="F1204" s="6">
        <v>1.0</v>
      </c>
      <c r="G1204" s="13">
        <v>329.31</v>
      </c>
      <c r="H1204" s="6">
        <v>0.09</v>
      </c>
      <c r="I1204" s="6" t="s">
        <v>1965</v>
      </c>
      <c r="J1204" s="13">
        <v>299.6721</v>
      </c>
      <c r="K1204" s="6" t="str">
        <f t="shared" si="1"/>
        <v>Low Earnings</v>
      </c>
    </row>
    <row r="1205" ht="14.25" customHeight="1">
      <c r="A1205" s="6" t="s">
        <v>3170</v>
      </c>
      <c r="B1205" s="17">
        <v>45475.0</v>
      </c>
      <c r="C1205" s="6" t="s">
        <v>1523</v>
      </c>
      <c r="D1205" s="6" t="s">
        <v>1726</v>
      </c>
      <c r="E1205" s="6" t="s">
        <v>1944</v>
      </c>
      <c r="F1205" s="6">
        <v>3.0</v>
      </c>
      <c r="G1205" s="13">
        <v>64.2</v>
      </c>
      <c r="H1205" s="6">
        <v>0.08</v>
      </c>
      <c r="I1205" s="6" t="s">
        <v>1973</v>
      </c>
      <c r="J1205" s="13">
        <v>177.192</v>
      </c>
      <c r="K1205" s="6" t="str">
        <f t="shared" si="1"/>
        <v>Low Earnings</v>
      </c>
    </row>
    <row r="1206" ht="14.25" customHeight="1">
      <c r="A1206" s="6" t="s">
        <v>3171</v>
      </c>
      <c r="B1206" s="17">
        <v>45829.0</v>
      </c>
      <c r="C1206" s="6" t="s">
        <v>851</v>
      </c>
      <c r="D1206" s="6" t="s">
        <v>1608</v>
      </c>
      <c r="E1206" s="6" t="s">
        <v>1937</v>
      </c>
      <c r="F1206" s="6">
        <v>3.0</v>
      </c>
      <c r="G1206" s="13">
        <v>697.13</v>
      </c>
      <c r="H1206" s="6">
        <v>0.25</v>
      </c>
      <c r="I1206" s="6" t="s">
        <v>1973</v>
      </c>
      <c r="J1206" s="13">
        <v>1568.5425</v>
      </c>
      <c r="K1206" s="6" t="str">
        <f t="shared" si="1"/>
        <v>Average Earnings</v>
      </c>
    </row>
    <row r="1207" ht="14.25" customHeight="1">
      <c r="A1207" s="6" t="s">
        <v>3172</v>
      </c>
      <c r="B1207" s="17">
        <v>45639.0</v>
      </c>
      <c r="C1207" s="6" t="s">
        <v>104</v>
      </c>
      <c r="D1207" s="6" t="s">
        <v>1599</v>
      </c>
      <c r="E1207" s="6" t="s">
        <v>1913</v>
      </c>
      <c r="F1207" s="6">
        <v>3.0</v>
      </c>
      <c r="G1207" s="13">
        <v>134.3</v>
      </c>
      <c r="H1207" s="6">
        <v>0.14</v>
      </c>
      <c r="I1207" s="6" t="s">
        <v>1965</v>
      </c>
      <c r="J1207" s="13">
        <v>346.494</v>
      </c>
      <c r="K1207" s="6" t="str">
        <f t="shared" si="1"/>
        <v>Low Earnings</v>
      </c>
    </row>
    <row r="1208" ht="14.25" customHeight="1">
      <c r="A1208" s="6" t="s">
        <v>3173</v>
      </c>
      <c r="B1208" s="17">
        <v>45518.0</v>
      </c>
      <c r="C1208" s="6" t="s">
        <v>845</v>
      </c>
      <c r="D1208" s="6" t="s">
        <v>1840</v>
      </c>
      <c r="E1208" s="6" t="s">
        <v>1937</v>
      </c>
      <c r="F1208" s="6">
        <v>1.0</v>
      </c>
      <c r="G1208" s="13">
        <v>520.93</v>
      </c>
      <c r="H1208" s="6">
        <v>0.15</v>
      </c>
      <c r="I1208" s="6" t="s">
        <v>1965</v>
      </c>
      <c r="J1208" s="13">
        <v>442.7905</v>
      </c>
      <c r="K1208" s="6" t="str">
        <f t="shared" si="1"/>
        <v>Low Earnings</v>
      </c>
    </row>
    <row r="1209" ht="14.25" customHeight="1">
      <c r="A1209" s="6" t="s">
        <v>3174</v>
      </c>
      <c r="B1209" s="17">
        <v>45721.0</v>
      </c>
      <c r="C1209" s="6" t="s">
        <v>742</v>
      </c>
      <c r="D1209" s="6" t="s">
        <v>1636</v>
      </c>
      <c r="E1209" s="6" t="s">
        <v>1919</v>
      </c>
      <c r="F1209" s="6">
        <v>2.0</v>
      </c>
      <c r="G1209" s="13">
        <v>350.12</v>
      </c>
      <c r="H1209" s="6">
        <v>0.21</v>
      </c>
      <c r="I1209" s="6" t="s">
        <v>1973</v>
      </c>
      <c r="J1209" s="13">
        <v>553.1896</v>
      </c>
      <c r="K1209" s="6" t="str">
        <f t="shared" si="1"/>
        <v>Low Earnings</v>
      </c>
    </row>
    <row r="1210" ht="14.25" customHeight="1">
      <c r="A1210" s="6" t="s">
        <v>3175</v>
      </c>
      <c r="B1210" s="17">
        <v>45308.0</v>
      </c>
      <c r="C1210" s="6" t="s">
        <v>1453</v>
      </c>
      <c r="D1210" s="6" t="s">
        <v>1730</v>
      </c>
      <c r="E1210" s="6" t="s">
        <v>1953</v>
      </c>
      <c r="F1210" s="6">
        <v>3.0</v>
      </c>
      <c r="G1210" s="13">
        <v>807.95</v>
      </c>
      <c r="H1210" s="6">
        <v>0.1</v>
      </c>
      <c r="I1210" s="6" t="s">
        <v>1967</v>
      </c>
      <c r="J1210" s="13">
        <v>2181.465000000001</v>
      </c>
      <c r="K1210" s="6" t="str">
        <f t="shared" si="1"/>
        <v>Average Earnings</v>
      </c>
    </row>
    <row r="1211" ht="14.25" customHeight="1">
      <c r="A1211" s="6" t="s">
        <v>3176</v>
      </c>
      <c r="B1211" s="17">
        <v>45889.0</v>
      </c>
      <c r="C1211" s="6" t="s">
        <v>1068</v>
      </c>
      <c r="D1211" s="6" t="s">
        <v>1698</v>
      </c>
      <c r="E1211" s="6" t="s">
        <v>1916</v>
      </c>
      <c r="F1211" s="6">
        <v>4.0</v>
      </c>
      <c r="G1211" s="13">
        <v>766.03</v>
      </c>
      <c r="H1211" s="6">
        <v>0.29</v>
      </c>
      <c r="I1211" s="6" t="s">
        <v>1967</v>
      </c>
      <c r="J1211" s="13">
        <v>2175.5252</v>
      </c>
      <c r="K1211" s="6" t="str">
        <f t="shared" si="1"/>
        <v>Average Earnings</v>
      </c>
    </row>
    <row r="1212" ht="14.25" customHeight="1">
      <c r="A1212" s="6" t="s">
        <v>3177</v>
      </c>
      <c r="B1212" s="17">
        <v>45386.0</v>
      </c>
      <c r="C1212" s="6" t="s">
        <v>613</v>
      </c>
      <c r="D1212" s="6" t="s">
        <v>1758</v>
      </c>
      <c r="E1212" s="6" t="s">
        <v>1922</v>
      </c>
      <c r="F1212" s="6">
        <v>3.0</v>
      </c>
      <c r="G1212" s="13">
        <v>545.1</v>
      </c>
      <c r="H1212" s="6">
        <v>0.08</v>
      </c>
      <c r="I1212" s="6" t="s">
        <v>1973</v>
      </c>
      <c r="J1212" s="13">
        <v>1504.476</v>
      </c>
      <c r="K1212" s="6" t="str">
        <f t="shared" si="1"/>
        <v>Average Earnings</v>
      </c>
    </row>
    <row r="1213" ht="14.25" customHeight="1">
      <c r="A1213" s="6" t="s">
        <v>3178</v>
      </c>
      <c r="B1213" s="17">
        <v>45438.0</v>
      </c>
      <c r="C1213" s="6" t="s">
        <v>854</v>
      </c>
      <c r="D1213" s="6" t="s">
        <v>1782</v>
      </c>
      <c r="E1213" s="6" t="s">
        <v>1919</v>
      </c>
      <c r="F1213" s="6">
        <v>1.0</v>
      </c>
      <c r="G1213" s="13">
        <v>203.61</v>
      </c>
      <c r="H1213" s="6">
        <v>0.24</v>
      </c>
      <c r="I1213" s="6" t="s">
        <v>1973</v>
      </c>
      <c r="J1213" s="13">
        <v>154.7436</v>
      </c>
      <c r="K1213" s="6" t="str">
        <f t="shared" si="1"/>
        <v>Low Earnings</v>
      </c>
    </row>
    <row r="1214" ht="14.25" customHeight="1">
      <c r="A1214" s="6" t="s">
        <v>3179</v>
      </c>
      <c r="B1214" s="17">
        <v>45302.0</v>
      </c>
      <c r="C1214" s="6" t="s">
        <v>1107</v>
      </c>
      <c r="D1214" s="6" t="s">
        <v>1885</v>
      </c>
      <c r="E1214" s="6" t="s">
        <v>1906</v>
      </c>
      <c r="F1214" s="6">
        <f>J1214/(G1214*(1-H1214))</f>
        <v>4</v>
      </c>
      <c r="G1214" s="13">
        <v>451.67</v>
      </c>
      <c r="H1214" s="6">
        <v>0.15</v>
      </c>
      <c r="I1214" s="6" t="s">
        <v>1965</v>
      </c>
      <c r="J1214" s="13">
        <v>1535.678</v>
      </c>
      <c r="K1214" s="6" t="str">
        <f t="shared" si="1"/>
        <v>Average Earnings</v>
      </c>
    </row>
    <row r="1215" ht="14.25" customHeight="1">
      <c r="A1215" s="6" t="s">
        <v>3180</v>
      </c>
      <c r="B1215" s="17">
        <v>45856.0</v>
      </c>
      <c r="C1215" s="6" t="s">
        <v>1311</v>
      </c>
      <c r="D1215" s="6" t="s">
        <v>1879</v>
      </c>
      <c r="E1215" s="6" t="s">
        <v>1941</v>
      </c>
      <c r="F1215" s="6">
        <v>4.0</v>
      </c>
      <c r="G1215" s="13">
        <v>493.8</v>
      </c>
      <c r="H1215" s="6">
        <v>0.24</v>
      </c>
      <c r="I1215" s="6" t="s">
        <v>1973</v>
      </c>
      <c r="J1215" s="13">
        <v>1501.152</v>
      </c>
      <c r="K1215" s="6" t="str">
        <f t="shared" si="1"/>
        <v>Average Earnings</v>
      </c>
    </row>
    <row r="1216" ht="14.25" customHeight="1">
      <c r="A1216" s="6" t="s">
        <v>3181</v>
      </c>
      <c r="B1216" s="17">
        <v>45485.0</v>
      </c>
      <c r="C1216" s="6" t="s">
        <v>85</v>
      </c>
      <c r="D1216" s="6" t="s">
        <v>1708</v>
      </c>
      <c r="E1216" s="6" t="s">
        <v>1947</v>
      </c>
      <c r="F1216" s="6">
        <v>1.0</v>
      </c>
      <c r="G1216" s="13">
        <v>640.55</v>
      </c>
      <c r="H1216" s="6">
        <v>0.25</v>
      </c>
      <c r="I1216" s="6" t="s">
        <v>1965</v>
      </c>
      <c r="J1216" s="13">
        <v>480.4125</v>
      </c>
      <c r="K1216" s="6" t="str">
        <f t="shared" si="1"/>
        <v>Low Earnings</v>
      </c>
    </row>
    <row r="1217" ht="14.25" customHeight="1">
      <c r="A1217" s="6" t="s">
        <v>3182</v>
      </c>
      <c r="B1217" s="17">
        <v>45545.0</v>
      </c>
      <c r="C1217" s="6" t="s">
        <v>422</v>
      </c>
      <c r="D1217" s="6" t="s">
        <v>1810</v>
      </c>
      <c r="E1217" s="6" t="s">
        <v>1909</v>
      </c>
      <c r="F1217" s="6">
        <v>1.0</v>
      </c>
      <c r="G1217" s="13">
        <v>702.53</v>
      </c>
      <c r="H1217" s="6">
        <v>0.3</v>
      </c>
      <c r="I1217" s="6" t="s">
        <v>1965</v>
      </c>
      <c r="J1217" s="13">
        <v>491.771</v>
      </c>
      <c r="K1217" s="6" t="str">
        <f t="shared" si="1"/>
        <v>Low Earnings</v>
      </c>
    </row>
    <row r="1218" ht="14.25" customHeight="1">
      <c r="A1218" s="6" t="s">
        <v>3183</v>
      </c>
      <c r="B1218" s="17">
        <v>45826.0</v>
      </c>
      <c r="C1218" s="6" t="s">
        <v>739</v>
      </c>
      <c r="D1218" s="6" t="s">
        <v>1701</v>
      </c>
      <c r="E1218" s="6" t="s">
        <v>1922</v>
      </c>
      <c r="F1218" s="6">
        <v>4.0</v>
      </c>
      <c r="G1218" s="13">
        <v>139.94</v>
      </c>
      <c r="H1218" s="6">
        <v>0.24</v>
      </c>
      <c r="I1218" s="6" t="s">
        <v>1965</v>
      </c>
      <c r="J1218" s="13">
        <v>425.4176</v>
      </c>
      <c r="K1218" s="6" t="str">
        <f t="shared" si="1"/>
        <v>Low Earnings</v>
      </c>
    </row>
    <row r="1219" ht="14.25" customHeight="1">
      <c r="A1219" s="6" t="s">
        <v>3184</v>
      </c>
      <c r="B1219" s="17">
        <v>45654.0</v>
      </c>
      <c r="C1219" s="6" t="s">
        <v>896</v>
      </c>
      <c r="D1219" s="6" t="s">
        <v>1636</v>
      </c>
      <c r="E1219" s="6" t="s">
        <v>1922</v>
      </c>
      <c r="F1219" s="6">
        <v>2.0</v>
      </c>
      <c r="G1219" s="13">
        <v>230.85</v>
      </c>
      <c r="H1219" s="6">
        <v>0.18</v>
      </c>
      <c r="I1219" s="6" t="s">
        <v>1965</v>
      </c>
      <c r="J1219" s="13">
        <v>378.594</v>
      </c>
      <c r="K1219" s="6" t="str">
        <f t="shared" si="1"/>
        <v>Low Earnings</v>
      </c>
    </row>
    <row r="1220" ht="14.25" customHeight="1">
      <c r="A1220" s="6" t="s">
        <v>3185</v>
      </c>
      <c r="B1220" s="17">
        <v>45556.0</v>
      </c>
      <c r="C1220" s="6" t="s">
        <v>699</v>
      </c>
      <c r="D1220" s="6" t="s">
        <v>1843</v>
      </c>
      <c r="E1220" s="6" t="s">
        <v>1947</v>
      </c>
      <c r="F1220" s="6">
        <v>4.0</v>
      </c>
      <c r="G1220" s="13">
        <v>626.35</v>
      </c>
      <c r="H1220" s="6">
        <v>0.25</v>
      </c>
      <c r="I1220" s="6" t="s">
        <v>1973</v>
      </c>
      <c r="J1220" s="13">
        <v>1879.05</v>
      </c>
      <c r="K1220" s="6" t="str">
        <f t="shared" si="1"/>
        <v>Average Earnings</v>
      </c>
    </row>
    <row r="1221" ht="14.25" customHeight="1">
      <c r="A1221" s="6" t="s">
        <v>3186</v>
      </c>
      <c r="B1221" s="17">
        <v>45434.0</v>
      </c>
      <c r="C1221" s="6" t="s">
        <v>306</v>
      </c>
      <c r="D1221" s="6" t="s">
        <v>1708</v>
      </c>
      <c r="E1221" s="6" t="s">
        <v>1939</v>
      </c>
      <c r="F1221" s="6">
        <v>4.0</v>
      </c>
      <c r="G1221" s="13">
        <v>108.55</v>
      </c>
      <c r="H1221" s="6">
        <v>0.18</v>
      </c>
      <c r="I1221" s="6" t="s">
        <v>1967</v>
      </c>
      <c r="J1221" s="13">
        <v>356.044</v>
      </c>
      <c r="K1221" s="6" t="str">
        <f t="shared" si="1"/>
        <v>Low Earnings</v>
      </c>
    </row>
    <row r="1222" ht="14.25" customHeight="1">
      <c r="A1222" s="6" t="s">
        <v>3187</v>
      </c>
      <c r="B1222" s="17">
        <v>45871.0</v>
      </c>
      <c r="C1222" s="6" t="s">
        <v>640</v>
      </c>
      <c r="D1222" s="6" t="s">
        <v>1630</v>
      </c>
      <c r="E1222" s="6" t="s">
        <v>1897</v>
      </c>
      <c r="F1222" s="6">
        <v>4.0</v>
      </c>
      <c r="G1222" s="13">
        <v>353.67</v>
      </c>
      <c r="H1222" s="6">
        <v>0.03</v>
      </c>
      <c r="I1222" s="6" t="s">
        <v>1973</v>
      </c>
      <c r="J1222" s="13">
        <v>1372.2396</v>
      </c>
      <c r="K1222" s="6" t="str">
        <f t="shared" si="1"/>
        <v>Average Earnings</v>
      </c>
    </row>
    <row r="1223" ht="14.25" customHeight="1">
      <c r="A1223" s="6" t="s">
        <v>3188</v>
      </c>
      <c r="B1223" s="17">
        <v>45583.0</v>
      </c>
      <c r="C1223" s="6" t="s">
        <v>249</v>
      </c>
      <c r="D1223" s="6" t="s">
        <v>1858</v>
      </c>
      <c r="E1223" s="6" t="s">
        <v>1897</v>
      </c>
      <c r="F1223" s="6">
        <v>4.0</v>
      </c>
      <c r="G1223" s="13">
        <v>61.98</v>
      </c>
      <c r="H1223" s="6">
        <v>0.16</v>
      </c>
      <c r="I1223" s="6" t="s">
        <v>1965</v>
      </c>
      <c r="J1223" s="13">
        <v>208.2528</v>
      </c>
      <c r="K1223" s="6" t="str">
        <f t="shared" si="1"/>
        <v>Low Earnings</v>
      </c>
    </row>
    <row r="1224" ht="14.25" customHeight="1">
      <c r="A1224" s="6" t="s">
        <v>3189</v>
      </c>
      <c r="B1224" s="17">
        <v>45348.0</v>
      </c>
      <c r="C1224" s="6" t="s">
        <v>714</v>
      </c>
      <c r="D1224" s="6" t="s">
        <v>1647</v>
      </c>
      <c r="E1224" s="6" t="s">
        <v>1953</v>
      </c>
      <c r="F1224" s="6">
        <v>2.0</v>
      </c>
      <c r="G1224" s="13">
        <v>873.1</v>
      </c>
      <c r="H1224" s="6">
        <v>0.12</v>
      </c>
      <c r="I1224" s="6" t="s">
        <v>1967</v>
      </c>
      <c r="J1224" s="13">
        <v>1536.656</v>
      </c>
      <c r="K1224" s="6" t="str">
        <f t="shared" si="1"/>
        <v>Average Earnings</v>
      </c>
    </row>
    <row r="1225" ht="14.25" customHeight="1">
      <c r="A1225" s="6" t="s">
        <v>3190</v>
      </c>
      <c r="B1225" s="17">
        <v>45259.0</v>
      </c>
      <c r="C1225" s="6" t="s">
        <v>1101</v>
      </c>
      <c r="D1225" s="6" t="s">
        <v>1816</v>
      </c>
      <c r="E1225" s="6" t="s">
        <v>1922</v>
      </c>
      <c r="F1225" s="6">
        <v>1.0</v>
      </c>
      <c r="G1225" s="13">
        <v>921.51</v>
      </c>
      <c r="H1225" s="6">
        <v>0.16</v>
      </c>
      <c r="I1225" s="6" t="s">
        <v>1973</v>
      </c>
      <c r="J1225" s="13">
        <v>774.0684</v>
      </c>
      <c r="K1225" s="6" t="str">
        <f t="shared" si="1"/>
        <v>Low Earnings</v>
      </c>
    </row>
    <row r="1226" ht="14.25" customHeight="1">
      <c r="A1226" s="6" t="s">
        <v>3191</v>
      </c>
      <c r="B1226" s="17">
        <v>45217.0</v>
      </c>
      <c r="C1226" s="6" t="s">
        <v>126</v>
      </c>
      <c r="D1226" s="6" t="s">
        <v>1581</v>
      </c>
      <c r="E1226" s="6" t="s">
        <v>1953</v>
      </c>
      <c r="F1226" s="6">
        <v>1.0</v>
      </c>
      <c r="G1226" s="13">
        <v>429.38</v>
      </c>
      <c r="H1226" s="6">
        <v>0.13</v>
      </c>
      <c r="I1226" s="6" t="s">
        <v>1967</v>
      </c>
      <c r="J1226" s="13">
        <v>373.5606</v>
      </c>
      <c r="K1226" s="6" t="str">
        <f t="shared" si="1"/>
        <v>Low Earnings</v>
      </c>
    </row>
    <row r="1227" ht="14.25" customHeight="1">
      <c r="A1227" s="6" t="s">
        <v>3192</v>
      </c>
      <c r="B1227" s="17">
        <v>45268.0</v>
      </c>
      <c r="C1227" s="6" t="s">
        <v>660</v>
      </c>
      <c r="D1227" s="6" t="s">
        <v>1611</v>
      </c>
      <c r="E1227" s="6" t="s">
        <v>1941</v>
      </c>
      <c r="F1227" s="6">
        <v>4.0</v>
      </c>
      <c r="G1227" s="13">
        <v>889.47</v>
      </c>
      <c r="H1227" s="6">
        <v>0.24</v>
      </c>
      <c r="I1227" s="6" t="s">
        <v>1965</v>
      </c>
      <c r="J1227" s="13">
        <v>2703.9888</v>
      </c>
      <c r="K1227" s="6" t="str">
        <f t="shared" si="1"/>
        <v>High Earnings</v>
      </c>
    </row>
    <row r="1228" ht="14.25" customHeight="1">
      <c r="A1228" s="6" t="s">
        <v>3193</v>
      </c>
      <c r="B1228" s="17">
        <v>45596.0</v>
      </c>
      <c r="C1228" s="6" t="s">
        <v>126</v>
      </c>
      <c r="D1228" s="6" t="s">
        <v>1810</v>
      </c>
      <c r="E1228" s="6" t="s">
        <v>1932</v>
      </c>
      <c r="F1228" s="6">
        <v>3.0</v>
      </c>
      <c r="G1228" s="13">
        <v>803.76</v>
      </c>
      <c r="H1228" s="6">
        <v>0.19</v>
      </c>
      <c r="I1228" s="6" t="s">
        <v>1973</v>
      </c>
      <c r="J1228" s="13">
        <v>1953.1368</v>
      </c>
      <c r="K1228" s="6" t="str">
        <f t="shared" si="1"/>
        <v>Average Earnings</v>
      </c>
    </row>
    <row r="1229" ht="14.25" customHeight="1">
      <c r="A1229" s="6" t="s">
        <v>3194</v>
      </c>
      <c r="B1229" s="17">
        <v>45624.0</v>
      </c>
      <c r="C1229" s="6" t="s">
        <v>1459</v>
      </c>
      <c r="D1229" s="6" t="s">
        <v>1813</v>
      </c>
      <c r="E1229" s="6" t="s">
        <v>1913</v>
      </c>
      <c r="F1229" s="6">
        <v>2.0</v>
      </c>
      <c r="G1229" s="13">
        <v>865.14</v>
      </c>
      <c r="H1229" s="6">
        <v>0.2</v>
      </c>
      <c r="I1229" s="6" t="s">
        <v>1967</v>
      </c>
      <c r="J1229" s="13">
        <v>1384.224</v>
      </c>
      <c r="K1229" s="6" t="str">
        <f t="shared" si="1"/>
        <v>Average Earnings</v>
      </c>
    </row>
    <row r="1230" ht="14.25" customHeight="1">
      <c r="A1230" s="6" t="s">
        <v>3195</v>
      </c>
      <c r="B1230" s="17">
        <v>45813.0</v>
      </c>
      <c r="C1230" s="6" t="s">
        <v>355</v>
      </c>
      <c r="D1230" s="6" t="s">
        <v>1675</v>
      </c>
      <c r="E1230" s="6" t="s">
        <v>1926</v>
      </c>
      <c r="F1230" s="6">
        <v>2.0</v>
      </c>
      <c r="G1230" s="13">
        <v>916.49</v>
      </c>
      <c r="H1230" s="6">
        <v>0.3</v>
      </c>
      <c r="I1230" s="6" t="s">
        <v>1973</v>
      </c>
      <c r="J1230" s="13">
        <v>1283.086</v>
      </c>
      <c r="K1230" s="6" t="str">
        <f t="shared" si="1"/>
        <v>Average Earnings</v>
      </c>
    </row>
    <row r="1231" ht="14.25" customHeight="1">
      <c r="A1231" s="6" t="s">
        <v>3196</v>
      </c>
      <c r="B1231" s="17">
        <v>45615.0</v>
      </c>
      <c r="C1231" s="6" t="s">
        <v>172</v>
      </c>
      <c r="D1231" s="6" t="s">
        <v>1740</v>
      </c>
      <c r="E1231" s="6" t="s">
        <v>1934</v>
      </c>
      <c r="F1231" s="6">
        <v>3.0</v>
      </c>
      <c r="G1231" s="13">
        <v>781.39</v>
      </c>
      <c r="H1231" s="6">
        <v>0.12</v>
      </c>
      <c r="I1231" s="6" t="s">
        <v>1965</v>
      </c>
      <c r="J1231" s="13">
        <v>2062.8696</v>
      </c>
      <c r="K1231" s="6" t="str">
        <f t="shared" si="1"/>
        <v>Average Earnings</v>
      </c>
    </row>
    <row r="1232" ht="14.25" customHeight="1">
      <c r="A1232" s="6" t="s">
        <v>3197</v>
      </c>
      <c r="B1232" s="17">
        <v>45431.0</v>
      </c>
      <c r="C1232" s="6" t="s">
        <v>699</v>
      </c>
      <c r="D1232" s="6" t="s">
        <v>1698</v>
      </c>
      <c r="E1232" s="6" t="s">
        <v>1934</v>
      </c>
      <c r="F1232" s="6">
        <v>4.0</v>
      </c>
      <c r="G1232" s="13">
        <v>619.74</v>
      </c>
      <c r="H1232" s="6">
        <v>0.13</v>
      </c>
      <c r="I1232" s="6" t="s">
        <v>1973</v>
      </c>
      <c r="J1232" s="13">
        <v>2156.6952</v>
      </c>
      <c r="K1232" s="6" t="str">
        <f t="shared" si="1"/>
        <v>Average Earnings</v>
      </c>
    </row>
    <row r="1233" ht="14.25" customHeight="1">
      <c r="A1233" s="6" t="s">
        <v>3198</v>
      </c>
      <c r="B1233" s="17">
        <v>45679.0</v>
      </c>
      <c r="C1233" s="6" t="s">
        <v>1497</v>
      </c>
      <c r="D1233" s="6" t="s">
        <v>1773</v>
      </c>
      <c r="E1233" s="6" t="s">
        <v>1939</v>
      </c>
      <c r="F1233" s="6">
        <v>2.0</v>
      </c>
      <c r="G1233" s="13">
        <v>837.76</v>
      </c>
      <c r="H1233" s="6">
        <v>0.03</v>
      </c>
      <c r="I1233" s="6" t="s">
        <v>1973</v>
      </c>
      <c r="J1233" s="13">
        <v>1625.2544</v>
      </c>
      <c r="K1233" s="6" t="str">
        <f t="shared" si="1"/>
        <v>Average Earnings</v>
      </c>
    </row>
    <row r="1234" ht="14.25" customHeight="1">
      <c r="A1234" s="6" t="s">
        <v>3199</v>
      </c>
      <c r="B1234" s="17">
        <v>45842.0</v>
      </c>
      <c r="C1234" s="6" t="s">
        <v>1411</v>
      </c>
      <c r="D1234" s="6" t="s">
        <v>1858</v>
      </c>
      <c r="E1234" s="6" t="s">
        <v>1897</v>
      </c>
      <c r="F1234" s="6">
        <v>3.0</v>
      </c>
      <c r="G1234" s="13">
        <v>135.94</v>
      </c>
      <c r="H1234" s="6">
        <v>0.2</v>
      </c>
      <c r="I1234" s="6" t="s">
        <v>1965</v>
      </c>
      <c r="J1234" s="13">
        <v>326.256</v>
      </c>
      <c r="K1234" s="6" t="str">
        <f t="shared" si="1"/>
        <v>Low Earnings</v>
      </c>
    </row>
    <row r="1235" ht="14.25" customHeight="1">
      <c r="A1235" s="6" t="s">
        <v>3200</v>
      </c>
      <c r="B1235" s="17">
        <v>45796.0</v>
      </c>
      <c r="C1235" s="6" t="s">
        <v>1491</v>
      </c>
      <c r="D1235" s="6" t="s">
        <v>1810</v>
      </c>
      <c r="E1235" s="6" t="s">
        <v>1897</v>
      </c>
      <c r="F1235" s="6">
        <v>4.0</v>
      </c>
      <c r="G1235" s="13">
        <v>396.53</v>
      </c>
      <c r="H1235" s="6">
        <v>0.07</v>
      </c>
      <c r="I1235" s="6" t="s">
        <v>1967</v>
      </c>
      <c r="J1235" s="13">
        <v>1475.0916</v>
      </c>
      <c r="K1235" s="6" t="str">
        <f t="shared" si="1"/>
        <v>Average Earnings</v>
      </c>
    </row>
    <row r="1236" ht="14.25" customHeight="1">
      <c r="A1236" s="6" t="s">
        <v>3201</v>
      </c>
      <c r="B1236" s="17">
        <v>45264.0</v>
      </c>
      <c r="C1236" s="6" t="s">
        <v>726</v>
      </c>
      <c r="D1236" s="6" t="s">
        <v>1669</v>
      </c>
      <c r="E1236" s="6" t="s">
        <v>1939</v>
      </c>
      <c r="F1236" s="6">
        <v>2.0</v>
      </c>
      <c r="G1236" s="13">
        <v>722.45</v>
      </c>
      <c r="H1236" s="6">
        <v>0.22</v>
      </c>
      <c r="I1236" s="6" t="s">
        <v>1967</v>
      </c>
      <c r="J1236" s="13">
        <v>1127.022</v>
      </c>
      <c r="K1236" s="6" t="str">
        <f t="shared" si="1"/>
        <v>Average Earnings</v>
      </c>
    </row>
    <row r="1237" ht="14.25" customHeight="1">
      <c r="A1237" s="6" t="s">
        <v>3202</v>
      </c>
      <c r="B1237" s="17">
        <v>45593.0</v>
      </c>
      <c r="C1237" s="6" t="s">
        <v>1297</v>
      </c>
      <c r="D1237" s="6" t="s">
        <v>1746</v>
      </c>
      <c r="E1237" s="6" t="s">
        <v>1934</v>
      </c>
      <c r="F1237" s="6">
        <v>2.0</v>
      </c>
      <c r="G1237" s="13">
        <v>148.96</v>
      </c>
      <c r="H1237" s="6">
        <v>0.03</v>
      </c>
      <c r="I1237" s="6" t="s">
        <v>1973</v>
      </c>
      <c r="J1237" s="13">
        <v>288.9824</v>
      </c>
      <c r="K1237" s="6" t="str">
        <f t="shared" si="1"/>
        <v>Low Earnings</v>
      </c>
    </row>
    <row r="1238" ht="14.25" customHeight="1">
      <c r="A1238" s="6" t="s">
        <v>3203</v>
      </c>
      <c r="B1238" s="17">
        <v>45504.0</v>
      </c>
      <c r="C1238" s="6" t="s">
        <v>189</v>
      </c>
      <c r="D1238" s="6" t="s">
        <v>1779</v>
      </c>
      <c r="E1238" s="6" t="s">
        <v>1901</v>
      </c>
      <c r="F1238" s="6">
        <v>2.0</v>
      </c>
      <c r="G1238" s="13">
        <v>138.41</v>
      </c>
      <c r="H1238" s="6">
        <v>0.02</v>
      </c>
      <c r="I1238" s="6" t="s">
        <v>1965</v>
      </c>
      <c r="J1238" s="13">
        <v>271.2836</v>
      </c>
      <c r="K1238" s="6" t="str">
        <f t="shared" si="1"/>
        <v>Low Earnings</v>
      </c>
    </row>
    <row r="1239" ht="14.25" customHeight="1">
      <c r="A1239" s="6" t="s">
        <v>3204</v>
      </c>
      <c r="B1239" s="17">
        <v>45679.0</v>
      </c>
      <c r="C1239" s="6" t="s">
        <v>444</v>
      </c>
      <c r="D1239" s="6" t="s">
        <v>1828</v>
      </c>
      <c r="E1239" s="6" t="s">
        <v>1901</v>
      </c>
      <c r="F1239" s="6">
        <v>4.0</v>
      </c>
      <c r="G1239" s="13">
        <v>741.51</v>
      </c>
      <c r="H1239" s="6">
        <v>0.09</v>
      </c>
      <c r="I1239" s="6" t="s">
        <v>1973</v>
      </c>
      <c r="J1239" s="13">
        <v>2699.0964</v>
      </c>
      <c r="K1239" s="6" t="str">
        <f t="shared" si="1"/>
        <v>High Earnings</v>
      </c>
    </row>
    <row r="1240" ht="14.25" customHeight="1">
      <c r="A1240" s="6" t="s">
        <v>3205</v>
      </c>
      <c r="B1240" s="17">
        <v>45611.0</v>
      </c>
      <c r="C1240" s="6" t="s">
        <v>108</v>
      </c>
      <c r="D1240" s="6" t="s">
        <v>1828</v>
      </c>
      <c r="E1240" s="6" t="s">
        <v>1947</v>
      </c>
      <c r="F1240" s="6">
        <v>2.0</v>
      </c>
      <c r="G1240" s="13">
        <v>588.9</v>
      </c>
      <c r="H1240" s="6">
        <v>0.19</v>
      </c>
      <c r="I1240" s="6" t="s">
        <v>1967</v>
      </c>
      <c r="J1240" s="13">
        <v>954.018</v>
      </c>
      <c r="K1240" s="6" t="str">
        <f t="shared" si="1"/>
        <v>Low Earnings</v>
      </c>
    </row>
    <row r="1241" ht="14.25" customHeight="1">
      <c r="A1241" s="6" t="s">
        <v>3206</v>
      </c>
      <c r="B1241" s="17">
        <v>45389.0</v>
      </c>
      <c r="C1241" s="6" t="s">
        <v>975</v>
      </c>
      <c r="D1241" s="6" t="s">
        <v>1737</v>
      </c>
      <c r="E1241" s="6" t="s">
        <v>1901</v>
      </c>
      <c r="F1241" s="6">
        <v>1.0</v>
      </c>
      <c r="G1241" s="13">
        <v>88.92</v>
      </c>
      <c r="H1241" s="6">
        <v>0.19</v>
      </c>
      <c r="I1241" s="6" t="s">
        <v>1967</v>
      </c>
      <c r="J1241" s="13">
        <v>72.02520000000001</v>
      </c>
      <c r="K1241" s="6" t="str">
        <f t="shared" si="1"/>
        <v>Low Earnings</v>
      </c>
    </row>
    <row r="1242" ht="14.25" customHeight="1">
      <c r="A1242" s="6" t="s">
        <v>3207</v>
      </c>
      <c r="B1242" s="17">
        <v>45339.0</v>
      </c>
      <c r="C1242" s="6" t="s">
        <v>419</v>
      </c>
      <c r="D1242" s="6" t="s">
        <v>1770</v>
      </c>
      <c r="E1242" s="6" t="s">
        <v>1944</v>
      </c>
      <c r="F1242" s="6">
        <v>1.0</v>
      </c>
      <c r="G1242" s="13">
        <v>299.13</v>
      </c>
      <c r="H1242" s="6">
        <v>0.1</v>
      </c>
      <c r="I1242" s="6" t="s">
        <v>1973</v>
      </c>
      <c r="J1242" s="13">
        <v>269.217</v>
      </c>
      <c r="K1242" s="6" t="str">
        <f t="shared" si="1"/>
        <v>Low Earnings</v>
      </c>
    </row>
    <row r="1243" ht="14.25" customHeight="1">
      <c r="A1243" s="6" t="s">
        <v>3208</v>
      </c>
      <c r="B1243" s="17">
        <v>45433.0</v>
      </c>
      <c r="C1243" s="6" t="s">
        <v>413</v>
      </c>
      <c r="D1243" s="6" t="s">
        <v>1819</v>
      </c>
      <c r="E1243" s="6" t="s">
        <v>1906</v>
      </c>
      <c r="F1243" s="6">
        <v>2.0</v>
      </c>
      <c r="G1243" s="13">
        <v>548.3</v>
      </c>
      <c r="H1243" s="6">
        <v>0.23</v>
      </c>
      <c r="I1243" s="6" t="s">
        <v>1965</v>
      </c>
      <c r="J1243" s="13">
        <v>844.382</v>
      </c>
      <c r="K1243" s="6" t="str">
        <f t="shared" si="1"/>
        <v>Low Earnings</v>
      </c>
    </row>
    <row r="1244" ht="14.25" customHeight="1">
      <c r="A1244" s="6" t="s">
        <v>3209</v>
      </c>
      <c r="B1244" s="17">
        <v>45435.0</v>
      </c>
      <c r="C1244" s="6" t="s">
        <v>851</v>
      </c>
      <c r="D1244" s="6" t="s">
        <v>1749</v>
      </c>
      <c r="E1244" s="6" t="s">
        <v>1929</v>
      </c>
      <c r="F1244" s="6">
        <v>3.0</v>
      </c>
      <c r="G1244" s="13">
        <v>977.55</v>
      </c>
      <c r="H1244" s="6">
        <v>0.02</v>
      </c>
      <c r="I1244" s="6" t="s">
        <v>1967</v>
      </c>
      <c r="J1244" s="13">
        <v>2873.996999999999</v>
      </c>
      <c r="K1244" s="6" t="str">
        <f t="shared" si="1"/>
        <v>High Earnings</v>
      </c>
    </row>
    <row r="1245" ht="14.25" customHeight="1">
      <c r="A1245" s="6" t="s">
        <v>3210</v>
      </c>
      <c r="B1245" s="17">
        <v>45823.0</v>
      </c>
      <c r="C1245" s="6" t="s">
        <v>1101</v>
      </c>
      <c r="D1245" s="6" t="s">
        <v>1717</v>
      </c>
      <c r="E1245" s="6" t="s">
        <v>1950</v>
      </c>
      <c r="F1245" s="6">
        <v>1.0</v>
      </c>
      <c r="G1245" s="13">
        <v>459.42</v>
      </c>
      <c r="H1245" s="6">
        <v>0.28</v>
      </c>
      <c r="I1245" s="6" t="s">
        <v>1973</v>
      </c>
      <c r="J1245" s="13">
        <v>330.7824</v>
      </c>
      <c r="K1245" s="6" t="str">
        <f t="shared" si="1"/>
        <v>Low Earnings</v>
      </c>
    </row>
    <row r="1246" ht="14.25" customHeight="1">
      <c r="A1246" s="6" t="s">
        <v>3211</v>
      </c>
      <c r="B1246" s="17">
        <v>45663.0</v>
      </c>
      <c r="C1246" s="6" t="s">
        <v>326</v>
      </c>
      <c r="D1246" s="6" t="s">
        <v>1570</v>
      </c>
      <c r="E1246" s="6" t="s">
        <v>1909</v>
      </c>
      <c r="F1246" s="6">
        <v>2.0</v>
      </c>
      <c r="G1246" s="13">
        <v>123.19</v>
      </c>
      <c r="H1246" s="6">
        <v>0.19</v>
      </c>
      <c r="I1246" s="6" t="s">
        <v>1965</v>
      </c>
      <c r="J1246" s="13">
        <v>199.5678</v>
      </c>
      <c r="K1246" s="6" t="str">
        <f t="shared" si="1"/>
        <v>Low Earnings</v>
      </c>
    </row>
    <row r="1247" ht="14.25" customHeight="1">
      <c r="A1247" s="6" t="s">
        <v>3212</v>
      </c>
      <c r="B1247" s="17">
        <v>45879.0</v>
      </c>
      <c r="C1247" s="6" t="s">
        <v>1137</v>
      </c>
      <c r="D1247" s="6" t="s">
        <v>1752</v>
      </c>
      <c r="E1247" s="6" t="s">
        <v>1953</v>
      </c>
      <c r="F1247" s="6">
        <v>1.0</v>
      </c>
      <c r="G1247" s="13">
        <v>222.95</v>
      </c>
      <c r="H1247" s="6">
        <v>0.02</v>
      </c>
      <c r="I1247" s="6" t="s">
        <v>1967</v>
      </c>
      <c r="J1247" s="13">
        <v>218.491</v>
      </c>
      <c r="K1247" s="6" t="str">
        <f t="shared" si="1"/>
        <v>Low Earnings</v>
      </c>
    </row>
    <row r="1248" ht="14.25" customHeight="1">
      <c r="A1248" s="6" t="s">
        <v>3213</v>
      </c>
      <c r="B1248" s="17">
        <v>45597.0</v>
      </c>
      <c r="C1248" s="6" t="s">
        <v>1256</v>
      </c>
      <c r="D1248" s="6" t="s">
        <v>1813</v>
      </c>
      <c r="E1248" s="6" t="s">
        <v>1922</v>
      </c>
      <c r="F1248" s="6">
        <v>4.0</v>
      </c>
      <c r="G1248" s="13">
        <v>313.83</v>
      </c>
      <c r="H1248" s="6">
        <v>0.08</v>
      </c>
      <c r="I1248" s="6" t="s">
        <v>1965</v>
      </c>
      <c r="J1248" s="13">
        <v>1154.8944</v>
      </c>
      <c r="K1248" s="6" t="str">
        <f t="shared" si="1"/>
        <v>Average Earnings</v>
      </c>
    </row>
    <row r="1249" ht="14.25" customHeight="1">
      <c r="A1249" s="6" t="s">
        <v>3214</v>
      </c>
      <c r="B1249" s="17">
        <v>45840.0</v>
      </c>
      <c r="C1249" s="6" t="s">
        <v>1059</v>
      </c>
      <c r="D1249" s="6" t="s">
        <v>1679</v>
      </c>
      <c r="E1249" s="6" t="s">
        <v>1909</v>
      </c>
      <c r="F1249" s="6">
        <v>3.0</v>
      </c>
      <c r="G1249" s="13">
        <v>601.93</v>
      </c>
      <c r="H1249" s="6">
        <v>0.14</v>
      </c>
      <c r="I1249" s="6" t="s">
        <v>1965</v>
      </c>
      <c r="J1249" s="13">
        <v>1552.9794</v>
      </c>
      <c r="K1249" s="6" t="str">
        <f t="shared" si="1"/>
        <v>Average Earnings</v>
      </c>
    </row>
    <row r="1250" ht="14.25" customHeight="1">
      <c r="A1250" s="6" t="s">
        <v>3215</v>
      </c>
      <c r="B1250" s="17">
        <v>45380.0</v>
      </c>
      <c r="C1250" s="6" t="s">
        <v>954</v>
      </c>
      <c r="D1250" s="6" t="s">
        <v>1795</v>
      </c>
      <c r="E1250" s="6" t="s">
        <v>1901</v>
      </c>
      <c r="F1250" s="6">
        <v>1.0</v>
      </c>
      <c r="G1250" s="13">
        <v>564.1</v>
      </c>
      <c r="H1250" s="6">
        <v>0.03</v>
      </c>
      <c r="I1250" s="6" t="s">
        <v>1965</v>
      </c>
      <c r="J1250" s="13">
        <v>547.177</v>
      </c>
      <c r="K1250" s="6" t="str">
        <f t="shared" si="1"/>
        <v>Low Earnings</v>
      </c>
    </row>
    <row r="1251" ht="14.25" customHeight="1">
      <c r="A1251" s="6" t="s">
        <v>3216</v>
      </c>
      <c r="B1251" s="17">
        <v>45672.0</v>
      </c>
      <c r="C1251" s="6" t="s">
        <v>349</v>
      </c>
      <c r="D1251" s="6" t="s">
        <v>1828</v>
      </c>
      <c r="E1251" s="6" t="s">
        <v>1913</v>
      </c>
      <c r="F1251" s="6">
        <v>1.0</v>
      </c>
      <c r="G1251" s="13">
        <v>516.62</v>
      </c>
      <c r="H1251" s="6">
        <v>0.18</v>
      </c>
      <c r="I1251" s="6" t="s">
        <v>1965</v>
      </c>
      <c r="J1251" s="13">
        <v>423.6284000000001</v>
      </c>
      <c r="K1251" s="6" t="str">
        <f t="shared" si="1"/>
        <v>Low Earnings</v>
      </c>
    </row>
    <row r="1252" ht="14.25" customHeight="1">
      <c r="A1252" s="6" t="s">
        <v>3217</v>
      </c>
      <c r="B1252" s="17">
        <v>45497.0</v>
      </c>
      <c r="C1252" s="6" t="s">
        <v>1373</v>
      </c>
      <c r="D1252" s="6" t="s">
        <v>1776</v>
      </c>
      <c r="E1252" s="6" t="s">
        <v>1934</v>
      </c>
      <c r="F1252" s="6">
        <v>1.0</v>
      </c>
      <c r="G1252" s="13">
        <v>934.75</v>
      </c>
      <c r="H1252" s="6">
        <v>0.11</v>
      </c>
      <c r="I1252" s="6" t="s">
        <v>1967</v>
      </c>
      <c r="J1252" s="13">
        <v>831.9275</v>
      </c>
      <c r="K1252" s="6" t="str">
        <f t="shared" si="1"/>
        <v>Low Earnings</v>
      </c>
    </row>
    <row r="1253" ht="14.25" customHeight="1">
      <c r="A1253" s="6" t="s">
        <v>3218</v>
      </c>
      <c r="B1253" s="17">
        <v>45407.0</v>
      </c>
      <c r="C1253" s="6" t="s">
        <v>767</v>
      </c>
      <c r="D1253" s="6" t="s">
        <v>1882</v>
      </c>
      <c r="E1253" s="6" t="s">
        <v>1919</v>
      </c>
      <c r="F1253" s="6">
        <v>4.0</v>
      </c>
      <c r="G1253" s="13">
        <v>548.44</v>
      </c>
      <c r="H1253" s="6">
        <v>0.05</v>
      </c>
      <c r="I1253" s="6" t="s">
        <v>1967</v>
      </c>
      <c r="J1253" s="13">
        <v>2084.072</v>
      </c>
      <c r="K1253" s="6" t="str">
        <f t="shared" si="1"/>
        <v>Average Earnings</v>
      </c>
    </row>
    <row r="1254" ht="14.25" customHeight="1">
      <c r="A1254" s="6" t="s">
        <v>3219</v>
      </c>
      <c r="B1254" s="17">
        <v>45764.0</v>
      </c>
      <c r="C1254" s="6" t="s">
        <v>70</v>
      </c>
      <c r="D1254" s="6" t="s">
        <v>1694</v>
      </c>
      <c r="E1254" s="6" t="s">
        <v>1906</v>
      </c>
      <c r="F1254" s="6">
        <v>3.0</v>
      </c>
      <c r="G1254" s="13">
        <v>361.11</v>
      </c>
      <c r="H1254" s="6">
        <v>0.06</v>
      </c>
      <c r="I1254" s="6" t="s">
        <v>1965</v>
      </c>
      <c r="J1254" s="13">
        <v>1018.3302</v>
      </c>
      <c r="K1254" s="6" t="str">
        <f t="shared" si="1"/>
        <v>Average Earnings</v>
      </c>
    </row>
    <row r="1255" ht="14.25" customHeight="1">
      <c r="A1255" s="6" t="s">
        <v>3220</v>
      </c>
      <c r="B1255" s="17">
        <v>45924.0</v>
      </c>
      <c r="C1255" s="6" t="s">
        <v>628</v>
      </c>
      <c r="D1255" s="6" t="s">
        <v>1615</v>
      </c>
      <c r="E1255" s="6" t="s">
        <v>1897</v>
      </c>
      <c r="F1255" s="6">
        <v>2.0</v>
      </c>
      <c r="G1255" s="13">
        <v>610.37</v>
      </c>
      <c r="H1255" s="6">
        <v>0.1</v>
      </c>
      <c r="I1255" s="6" t="s">
        <v>1967</v>
      </c>
      <c r="J1255" s="13">
        <v>1098.666</v>
      </c>
      <c r="K1255" s="6" t="str">
        <f t="shared" si="1"/>
        <v>Average Earnings</v>
      </c>
    </row>
    <row r="1256" ht="14.25" customHeight="1">
      <c r="A1256" s="6" t="s">
        <v>3221</v>
      </c>
      <c r="B1256" s="17">
        <v>45240.0</v>
      </c>
      <c r="C1256" s="6" t="s">
        <v>1065</v>
      </c>
      <c r="D1256" s="6" t="s">
        <v>1740</v>
      </c>
      <c r="E1256" s="6" t="s">
        <v>1944</v>
      </c>
      <c r="F1256" s="6">
        <v>1.0</v>
      </c>
      <c r="G1256" s="13">
        <v>272.2</v>
      </c>
      <c r="H1256" s="6">
        <v>0.3</v>
      </c>
      <c r="I1256" s="6" t="s">
        <v>1965</v>
      </c>
      <c r="J1256" s="13">
        <v>190.54</v>
      </c>
      <c r="K1256" s="6" t="str">
        <f t="shared" si="1"/>
        <v>Low Earnings</v>
      </c>
    </row>
    <row r="1257" ht="14.25" customHeight="1">
      <c r="A1257" s="6" t="s">
        <v>3222</v>
      </c>
      <c r="B1257" s="17">
        <v>45349.0</v>
      </c>
      <c r="C1257" s="6" t="s">
        <v>1373</v>
      </c>
      <c r="D1257" s="6" t="s">
        <v>1819</v>
      </c>
      <c r="E1257" s="6" t="s">
        <v>1916</v>
      </c>
      <c r="F1257" s="6">
        <v>3.0</v>
      </c>
      <c r="G1257" s="13">
        <v>573.1</v>
      </c>
      <c r="H1257" s="6">
        <v>0.16</v>
      </c>
      <c r="I1257" s="6" t="s">
        <v>1973</v>
      </c>
      <c r="J1257" s="13">
        <v>1444.212</v>
      </c>
      <c r="K1257" s="6" t="str">
        <f t="shared" si="1"/>
        <v>Average Earnings</v>
      </c>
    </row>
    <row r="1258" ht="14.25" customHeight="1">
      <c r="A1258" s="6" t="s">
        <v>3223</v>
      </c>
      <c r="B1258" s="17">
        <v>45756.0</v>
      </c>
      <c r="C1258" s="6" t="s">
        <v>1029</v>
      </c>
      <c r="D1258" s="6" t="s">
        <v>1585</v>
      </c>
      <c r="E1258" s="6" t="s">
        <v>1892</v>
      </c>
      <c r="F1258" s="6">
        <v>4.0</v>
      </c>
      <c r="G1258" s="13">
        <v>24.72</v>
      </c>
      <c r="H1258" s="6">
        <v>0.28</v>
      </c>
      <c r="I1258" s="6" t="s">
        <v>1965</v>
      </c>
      <c r="J1258" s="13">
        <v>71.19359999999999</v>
      </c>
      <c r="K1258" s="6" t="str">
        <f t="shared" si="1"/>
        <v>Low Earnings</v>
      </c>
    </row>
    <row r="1259" ht="14.25" customHeight="1">
      <c r="A1259" s="6" t="s">
        <v>3224</v>
      </c>
      <c r="B1259" s="17">
        <v>45620.0</v>
      </c>
      <c r="C1259" s="6" t="s">
        <v>1416</v>
      </c>
      <c r="D1259" s="6" t="s">
        <v>1611</v>
      </c>
      <c r="E1259" s="6" t="s">
        <v>1916</v>
      </c>
      <c r="F1259" s="6">
        <v>2.0</v>
      </c>
      <c r="G1259" s="13">
        <v>717.31</v>
      </c>
      <c r="H1259" s="6">
        <v>0.15</v>
      </c>
      <c r="I1259" s="6" t="s">
        <v>1965</v>
      </c>
      <c r="J1259" s="13">
        <v>1219.427</v>
      </c>
      <c r="K1259" s="6" t="str">
        <f t="shared" si="1"/>
        <v>Average Earnings</v>
      </c>
    </row>
    <row r="1260" ht="14.25" customHeight="1">
      <c r="A1260" s="6" t="s">
        <v>3225</v>
      </c>
      <c r="B1260" s="17">
        <v>45478.0</v>
      </c>
      <c r="C1260" s="6" t="s">
        <v>818</v>
      </c>
      <c r="D1260" s="6" t="s">
        <v>1599</v>
      </c>
      <c r="E1260" s="6" t="s">
        <v>1926</v>
      </c>
      <c r="F1260" s="6">
        <v>3.0</v>
      </c>
      <c r="G1260" s="13">
        <v>268.89</v>
      </c>
      <c r="H1260" s="6">
        <v>0.07</v>
      </c>
      <c r="I1260" s="6" t="s">
        <v>1973</v>
      </c>
      <c r="J1260" s="13">
        <v>750.2031</v>
      </c>
      <c r="K1260" s="6" t="str">
        <f t="shared" si="1"/>
        <v>Low Earnings</v>
      </c>
    </row>
    <row r="1261" ht="14.25" customHeight="1">
      <c r="A1261" s="6" t="s">
        <v>3226</v>
      </c>
      <c r="B1261" s="17">
        <v>45890.0</v>
      </c>
      <c r="C1261" s="6" t="s">
        <v>836</v>
      </c>
      <c r="D1261" s="6" t="s">
        <v>1791</v>
      </c>
      <c r="E1261" s="6" t="s">
        <v>1926</v>
      </c>
      <c r="F1261" s="6">
        <v>1.0</v>
      </c>
      <c r="G1261" s="13">
        <v>78.5</v>
      </c>
      <c r="H1261" s="6">
        <v>0.17</v>
      </c>
      <c r="I1261" s="6" t="s">
        <v>1973</v>
      </c>
      <c r="J1261" s="13">
        <v>65.155</v>
      </c>
      <c r="K1261" s="6" t="str">
        <f t="shared" si="1"/>
        <v>Low Earnings</v>
      </c>
    </row>
    <row r="1262" ht="14.25" customHeight="1">
      <c r="A1262" s="6" t="s">
        <v>3227</v>
      </c>
      <c r="B1262" s="17">
        <v>45815.0</v>
      </c>
      <c r="C1262" s="6" t="s">
        <v>466</v>
      </c>
      <c r="D1262" s="6" t="s">
        <v>1691</v>
      </c>
      <c r="E1262" s="6" t="s">
        <v>1909</v>
      </c>
      <c r="F1262" s="6">
        <v>3.0</v>
      </c>
      <c r="G1262" s="13">
        <v>399.42</v>
      </c>
      <c r="H1262" s="6">
        <v>0.02</v>
      </c>
      <c r="I1262" s="6" t="s">
        <v>1965</v>
      </c>
      <c r="J1262" s="13">
        <v>1174.2948</v>
      </c>
      <c r="K1262" s="6" t="str">
        <f t="shared" si="1"/>
        <v>Average Earnings</v>
      </c>
    </row>
    <row r="1263" ht="14.25" customHeight="1">
      <c r="A1263" s="6" t="s">
        <v>3228</v>
      </c>
      <c r="B1263" s="17">
        <v>45891.0</v>
      </c>
      <c r="C1263" s="6" t="s">
        <v>315</v>
      </c>
      <c r="D1263" s="6" t="s">
        <v>1675</v>
      </c>
      <c r="E1263" s="6" t="s">
        <v>1953</v>
      </c>
      <c r="F1263" s="6">
        <v>3.0</v>
      </c>
      <c r="G1263" s="13">
        <v>455.82</v>
      </c>
      <c r="H1263" s="6">
        <v>0.01</v>
      </c>
      <c r="I1263" s="6" t="s">
        <v>1967</v>
      </c>
      <c r="J1263" s="13">
        <v>1353.7854</v>
      </c>
      <c r="K1263" s="6" t="str">
        <f t="shared" si="1"/>
        <v>Average Earnings</v>
      </c>
    </row>
    <row r="1264" ht="14.25" customHeight="1">
      <c r="A1264" s="6" t="s">
        <v>3229</v>
      </c>
      <c r="B1264" s="17">
        <v>45609.0</v>
      </c>
      <c r="C1264" s="6" t="s">
        <v>1110</v>
      </c>
      <c r="D1264" s="6" t="s">
        <v>1737</v>
      </c>
      <c r="E1264" s="6" t="s">
        <v>1913</v>
      </c>
      <c r="F1264" s="6">
        <v>2.0</v>
      </c>
      <c r="G1264" s="13">
        <v>613.23</v>
      </c>
      <c r="H1264" s="6">
        <v>0.15</v>
      </c>
      <c r="I1264" s="6" t="s">
        <v>1967</v>
      </c>
      <c r="J1264" s="13">
        <v>1042.491</v>
      </c>
      <c r="K1264" s="6" t="str">
        <f t="shared" si="1"/>
        <v>Average Earnings</v>
      </c>
    </row>
    <row r="1265" ht="14.25" customHeight="1">
      <c r="A1265" s="6" t="s">
        <v>3230</v>
      </c>
      <c r="B1265" s="17">
        <v>45309.0</v>
      </c>
      <c r="C1265" s="6" t="s">
        <v>1430</v>
      </c>
      <c r="D1265" s="6" t="s">
        <v>1570</v>
      </c>
      <c r="E1265" s="6" t="s">
        <v>1939</v>
      </c>
      <c r="F1265" s="6">
        <v>4.0</v>
      </c>
      <c r="G1265" s="13">
        <v>971.9</v>
      </c>
      <c r="H1265" s="6">
        <v>0.28</v>
      </c>
      <c r="I1265" s="6" t="s">
        <v>1967</v>
      </c>
      <c r="J1265" s="13">
        <v>2799.072</v>
      </c>
      <c r="K1265" s="6" t="str">
        <f t="shared" si="1"/>
        <v>High Earnings</v>
      </c>
    </row>
    <row r="1266" ht="14.25" customHeight="1">
      <c r="A1266" s="6" t="s">
        <v>3231</v>
      </c>
      <c r="B1266" s="17">
        <v>45519.0</v>
      </c>
      <c r="C1266" s="6" t="s">
        <v>145</v>
      </c>
      <c r="D1266" s="6" t="s">
        <v>1666</v>
      </c>
      <c r="E1266" s="6" t="s">
        <v>1919</v>
      </c>
      <c r="F1266" s="6">
        <v>3.0</v>
      </c>
      <c r="G1266" s="13">
        <v>884.92</v>
      </c>
      <c r="H1266" s="6">
        <v>0.06</v>
      </c>
      <c r="I1266" s="6" t="s">
        <v>1967</v>
      </c>
      <c r="J1266" s="13">
        <v>2495.4744</v>
      </c>
      <c r="K1266" s="6" t="str">
        <f t="shared" si="1"/>
        <v>Average Earnings</v>
      </c>
    </row>
    <row r="1267" ht="14.25" customHeight="1">
      <c r="A1267" s="6" t="s">
        <v>3232</v>
      </c>
      <c r="B1267" s="17">
        <v>45921.0</v>
      </c>
      <c r="C1267" s="6" t="s">
        <v>322</v>
      </c>
      <c r="D1267" s="6" t="s">
        <v>1595</v>
      </c>
      <c r="E1267" s="6" t="s">
        <v>1926</v>
      </c>
      <c r="F1267" s="6">
        <v>1.0</v>
      </c>
      <c r="G1267" s="13">
        <v>125.0</v>
      </c>
      <c r="H1267" s="6">
        <v>0.23</v>
      </c>
      <c r="I1267" s="6" t="s">
        <v>1965</v>
      </c>
      <c r="J1267" s="13">
        <v>96.25</v>
      </c>
      <c r="K1267" s="6" t="str">
        <f t="shared" si="1"/>
        <v>Low Earnings</v>
      </c>
    </row>
    <row r="1268" ht="14.25" customHeight="1">
      <c r="A1268" s="6" t="s">
        <v>3233</v>
      </c>
      <c r="B1268" s="17">
        <v>45465.0</v>
      </c>
      <c r="C1268" s="6" t="s">
        <v>450</v>
      </c>
      <c r="D1268" s="6" t="s">
        <v>1604</v>
      </c>
      <c r="E1268" s="6" t="s">
        <v>1941</v>
      </c>
      <c r="F1268" s="6">
        <v>2.0</v>
      </c>
      <c r="G1268" s="13">
        <v>188.25</v>
      </c>
      <c r="H1268" s="6">
        <v>0.08</v>
      </c>
      <c r="I1268" s="6" t="s">
        <v>1967</v>
      </c>
      <c r="J1268" s="13">
        <v>346.38</v>
      </c>
      <c r="K1268" s="6" t="str">
        <f t="shared" si="1"/>
        <v>Low Earnings</v>
      </c>
    </row>
    <row r="1269" ht="14.25" customHeight="1">
      <c r="A1269" s="6" t="s">
        <v>3234</v>
      </c>
      <c r="B1269" s="17">
        <v>45303.0</v>
      </c>
      <c r="C1269" s="6" t="s">
        <v>733</v>
      </c>
      <c r="D1269" s="6" t="s">
        <v>1723</v>
      </c>
      <c r="E1269" s="6" t="s">
        <v>1916</v>
      </c>
      <c r="F1269" s="6">
        <v>4.0</v>
      </c>
      <c r="G1269" s="13">
        <v>344.12</v>
      </c>
      <c r="H1269" s="6">
        <v>0.25</v>
      </c>
      <c r="I1269" s="6" t="s">
        <v>1967</v>
      </c>
      <c r="J1269" s="13">
        <v>1032.36</v>
      </c>
      <c r="K1269" s="6" t="str">
        <f t="shared" si="1"/>
        <v>Average Earnings</v>
      </c>
    </row>
    <row r="1270" ht="14.25" customHeight="1">
      <c r="A1270" s="6" t="s">
        <v>3235</v>
      </c>
      <c r="B1270" s="17">
        <v>45215.0</v>
      </c>
      <c r="C1270" s="6" t="s">
        <v>1095</v>
      </c>
      <c r="D1270" s="6" t="s">
        <v>1825</v>
      </c>
      <c r="E1270" s="6" t="s">
        <v>1897</v>
      </c>
      <c r="F1270" s="6">
        <f>J1270/(G1270*(1-H1270))</f>
        <v>3</v>
      </c>
      <c r="G1270" s="13">
        <v>873.22</v>
      </c>
      <c r="H1270" s="6">
        <v>0.18</v>
      </c>
      <c r="I1270" s="6" t="s">
        <v>1965</v>
      </c>
      <c r="J1270" s="13">
        <v>2148.1212</v>
      </c>
      <c r="K1270" s="6" t="str">
        <f t="shared" si="1"/>
        <v>Average Earnings</v>
      </c>
    </row>
    <row r="1271" ht="14.25" customHeight="1">
      <c r="A1271" s="6" t="s">
        <v>3236</v>
      </c>
      <c r="B1271" s="17">
        <v>45218.0</v>
      </c>
      <c r="C1271" s="6" t="s">
        <v>189</v>
      </c>
      <c r="D1271" s="6" t="s">
        <v>1630</v>
      </c>
      <c r="E1271" s="6" t="s">
        <v>1953</v>
      </c>
      <c r="F1271" s="6">
        <v>3.0</v>
      </c>
      <c r="G1271" s="13">
        <v>997.95</v>
      </c>
      <c r="H1271" s="6">
        <v>0.09</v>
      </c>
      <c r="I1271" s="6" t="s">
        <v>1973</v>
      </c>
      <c r="J1271" s="13">
        <v>2724.4035</v>
      </c>
      <c r="K1271" s="6" t="str">
        <f t="shared" si="1"/>
        <v>High Earnings</v>
      </c>
    </row>
    <row r="1272" ht="14.25" customHeight="1">
      <c r="A1272" s="6" t="s">
        <v>3237</v>
      </c>
      <c r="B1272" s="17">
        <v>45727.0</v>
      </c>
      <c r="C1272" s="6" t="s">
        <v>516</v>
      </c>
      <c r="D1272" s="6" t="s">
        <v>1608</v>
      </c>
      <c r="E1272" s="6" t="s">
        <v>1941</v>
      </c>
      <c r="F1272" s="6">
        <v>3.0</v>
      </c>
      <c r="G1272" s="13">
        <v>121.64</v>
      </c>
      <c r="H1272" s="6">
        <v>0.07</v>
      </c>
      <c r="I1272" s="6" t="s">
        <v>1967</v>
      </c>
      <c r="J1272" s="13">
        <v>339.3756</v>
      </c>
      <c r="K1272" s="6" t="str">
        <f t="shared" si="1"/>
        <v>Low Earnings</v>
      </c>
    </row>
    <row r="1273" ht="14.25" customHeight="1">
      <c r="A1273" s="6" t="s">
        <v>3238</v>
      </c>
      <c r="B1273" s="17">
        <v>45557.0</v>
      </c>
      <c r="C1273" s="6" t="s">
        <v>730</v>
      </c>
      <c r="D1273" s="6" t="s">
        <v>1791</v>
      </c>
      <c r="E1273" s="6" t="s">
        <v>1929</v>
      </c>
      <c r="F1273" s="6">
        <v>2.0</v>
      </c>
      <c r="G1273" s="13">
        <v>692.72</v>
      </c>
      <c r="H1273" s="6">
        <v>0.13</v>
      </c>
      <c r="I1273" s="6" t="s">
        <v>1967</v>
      </c>
      <c r="J1273" s="13">
        <v>1205.3328</v>
      </c>
      <c r="K1273" s="6" t="str">
        <f t="shared" si="1"/>
        <v>Average Earnings</v>
      </c>
    </row>
    <row r="1274" ht="14.25" customHeight="1">
      <c r="A1274" s="6" t="s">
        <v>3239</v>
      </c>
      <c r="B1274" s="17">
        <v>45623.0</v>
      </c>
      <c r="C1274" s="6" t="s">
        <v>122</v>
      </c>
      <c r="D1274" s="6" t="s">
        <v>1653</v>
      </c>
      <c r="E1274" s="6" t="s">
        <v>1953</v>
      </c>
      <c r="F1274" s="6">
        <v>3.0</v>
      </c>
      <c r="G1274" s="13">
        <v>794.59</v>
      </c>
      <c r="H1274" s="6">
        <v>0.03</v>
      </c>
      <c r="I1274" s="6" t="s">
        <v>1967</v>
      </c>
      <c r="J1274" s="13">
        <v>2312.2569</v>
      </c>
      <c r="K1274" s="6" t="str">
        <f t="shared" si="1"/>
        <v>Average Earnings</v>
      </c>
    </row>
    <row r="1275" ht="14.25" customHeight="1">
      <c r="A1275" s="6" t="s">
        <v>3240</v>
      </c>
      <c r="B1275" s="17">
        <v>45224.0</v>
      </c>
      <c r="C1275" s="6" t="s">
        <v>74</v>
      </c>
      <c r="D1275" s="6" t="s">
        <v>1660</v>
      </c>
      <c r="E1275" s="6" t="s">
        <v>1926</v>
      </c>
      <c r="F1275" s="6">
        <v>1.0</v>
      </c>
      <c r="G1275" s="13">
        <v>907.95</v>
      </c>
      <c r="H1275" s="6">
        <v>0.1</v>
      </c>
      <c r="I1275" s="6" t="s">
        <v>1967</v>
      </c>
      <c r="J1275" s="13">
        <v>817.1550000000001</v>
      </c>
      <c r="K1275" s="6" t="str">
        <f t="shared" si="1"/>
        <v>Low Earnings</v>
      </c>
    </row>
    <row r="1276" ht="14.25" customHeight="1">
      <c r="A1276" s="6" t="s">
        <v>3241</v>
      </c>
      <c r="B1276" s="17">
        <v>45940.0</v>
      </c>
      <c r="C1276" s="6" t="s">
        <v>926</v>
      </c>
      <c r="D1276" s="6" t="s">
        <v>1737</v>
      </c>
      <c r="E1276" s="6" t="s">
        <v>1892</v>
      </c>
      <c r="F1276" s="6">
        <v>2.0</v>
      </c>
      <c r="G1276" s="13">
        <v>660.81</v>
      </c>
      <c r="H1276" s="6">
        <v>0.18</v>
      </c>
      <c r="I1276" s="6" t="s">
        <v>1965</v>
      </c>
      <c r="J1276" s="13">
        <v>1083.7284</v>
      </c>
      <c r="K1276" s="6" t="str">
        <f t="shared" si="1"/>
        <v>Average Earnings</v>
      </c>
    </row>
    <row r="1277" ht="14.25" customHeight="1">
      <c r="A1277" s="6" t="s">
        <v>3242</v>
      </c>
      <c r="B1277" s="17">
        <v>45915.0</v>
      </c>
      <c r="C1277" s="6" t="s">
        <v>235</v>
      </c>
      <c r="D1277" s="6" t="s">
        <v>1740</v>
      </c>
      <c r="E1277" s="6" t="s">
        <v>1922</v>
      </c>
      <c r="F1277" s="6">
        <v>3.0</v>
      </c>
      <c r="G1277" s="13">
        <v>564.94</v>
      </c>
      <c r="H1277" s="6">
        <v>0.22</v>
      </c>
      <c r="I1277" s="6" t="s">
        <v>1973</v>
      </c>
      <c r="J1277" s="13">
        <v>1321.9596</v>
      </c>
      <c r="K1277" s="6" t="str">
        <f t="shared" si="1"/>
        <v>Average Earnings</v>
      </c>
    </row>
    <row r="1278" ht="14.25" customHeight="1">
      <c r="A1278" s="6" t="s">
        <v>3243</v>
      </c>
      <c r="B1278" s="17">
        <v>45541.0</v>
      </c>
      <c r="C1278" s="6" t="s">
        <v>213</v>
      </c>
      <c r="D1278" s="6" t="s">
        <v>1622</v>
      </c>
      <c r="E1278" s="6" t="s">
        <v>1941</v>
      </c>
      <c r="F1278" s="6">
        <v>2.0</v>
      </c>
      <c r="G1278" s="13">
        <v>280.37</v>
      </c>
      <c r="H1278" s="6">
        <v>0.22</v>
      </c>
      <c r="I1278" s="6" t="s">
        <v>1973</v>
      </c>
      <c r="J1278" s="13">
        <v>437.3772</v>
      </c>
      <c r="K1278" s="6" t="str">
        <f t="shared" si="1"/>
        <v>Low Earnings</v>
      </c>
    </row>
    <row r="1279" ht="14.25" customHeight="1">
      <c r="A1279" s="6" t="s">
        <v>3244</v>
      </c>
      <c r="B1279" s="17">
        <v>45489.0</v>
      </c>
      <c r="C1279" s="6" t="s">
        <v>1179</v>
      </c>
      <c r="D1279" s="6" t="s">
        <v>1737</v>
      </c>
      <c r="E1279" s="6" t="s">
        <v>1906</v>
      </c>
      <c r="F1279" s="6">
        <v>2.0</v>
      </c>
      <c r="G1279" s="13">
        <v>85.23</v>
      </c>
      <c r="H1279" s="6">
        <v>0.13</v>
      </c>
      <c r="I1279" s="6" t="s">
        <v>1965</v>
      </c>
      <c r="J1279" s="13">
        <v>148.3002</v>
      </c>
      <c r="K1279" s="6" t="str">
        <f t="shared" si="1"/>
        <v>Low Earnings</v>
      </c>
    </row>
    <row r="1280" ht="14.25" customHeight="1">
      <c r="A1280" s="6" t="s">
        <v>3245</v>
      </c>
      <c r="B1280" s="17">
        <v>45748.0</v>
      </c>
      <c r="C1280" s="6" t="s">
        <v>999</v>
      </c>
      <c r="D1280" s="6" t="s">
        <v>1663</v>
      </c>
      <c r="E1280" s="6" t="s">
        <v>1937</v>
      </c>
      <c r="F1280" s="6">
        <v>2.0</v>
      </c>
      <c r="G1280" s="13">
        <v>563.3</v>
      </c>
      <c r="H1280" s="6">
        <v>0.26</v>
      </c>
      <c r="I1280" s="6" t="s">
        <v>1965</v>
      </c>
      <c r="J1280" s="13">
        <v>833.684</v>
      </c>
      <c r="K1280" s="6" t="str">
        <f t="shared" si="1"/>
        <v>Low Earnings</v>
      </c>
    </row>
    <row r="1281" ht="14.25" customHeight="1">
      <c r="A1281" s="6" t="s">
        <v>3246</v>
      </c>
      <c r="B1281" s="17">
        <v>45878.0</v>
      </c>
      <c r="C1281" s="6" t="s">
        <v>720</v>
      </c>
      <c r="D1281" s="6" t="s">
        <v>1626</v>
      </c>
      <c r="E1281" s="6" t="s">
        <v>1906</v>
      </c>
      <c r="F1281" s="6">
        <v>4.0</v>
      </c>
      <c r="G1281" s="13">
        <v>109.36</v>
      </c>
      <c r="H1281" s="6">
        <v>0.19</v>
      </c>
      <c r="I1281" s="6" t="s">
        <v>1973</v>
      </c>
      <c r="J1281" s="13">
        <v>354.3264</v>
      </c>
      <c r="K1281" s="6" t="str">
        <f t="shared" si="1"/>
        <v>Low Earnings</v>
      </c>
    </row>
    <row r="1282" ht="14.25" customHeight="1">
      <c r="A1282" s="6" t="s">
        <v>3247</v>
      </c>
      <c r="B1282" s="17">
        <v>45309.0</v>
      </c>
      <c r="C1282" s="6" t="s">
        <v>142</v>
      </c>
      <c r="D1282" s="6" t="s">
        <v>1828</v>
      </c>
      <c r="E1282" s="6" t="s">
        <v>1950</v>
      </c>
      <c r="F1282" s="6">
        <v>2.0</v>
      </c>
      <c r="G1282" s="13">
        <v>827.81</v>
      </c>
      <c r="H1282" s="6">
        <v>0.04</v>
      </c>
      <c r="I1282" s="6" t="s">
        <v>1967</v>
      </c>
      <c r="J1282" s="13">
        <v>1589.3952</v>
      </c>
      <c r="K1282" s="6" t="str">
        <f t="shared" si="1"/>
        <v>Average Earnings</v>
      </c>
    </row>
    <row r="1283" ht="14.25" customHeight="1">
      <c r="A1283" s="6" t="s">
        <v>3248</v>
      </c>
      <c r="B1283" s="17">
        <v>45621.0</v>
      </c>
      <c r="C1283" s="6" t="s">
        <v>708</v>
      </c>
      <c r="D1283" s="6" t="s">
        <v>1611</v>
      </c>
      <c r="E1283" s="6" t="s">
        <v>1950</v>
      </c>
      <c r="F1283" s="6">
        <v>3.0</v>
      </c>
      <c r="G1283" s="13">
        <v>877.71</v>
      </c>
      <c r="H1283" s="6">
        <v>0.12</v>
      </c>
      <c r="I1283" s="6" t="s">
        <v>1967</v>
      </c>
      <c r="J1283" s="13">
        <v>2317.1544</v>
      </c>
      <c r="K1283" s="6" t="str">
        <f t="shared" si="1"/>
        <v>Average Earnings</v>
      </c>
    </row>
    <row r="1284" ht="14.25" customHeight="1">
      <c r="A1284" s="6" t="s">
        <v>3249</v>
      </c>
      <c r="B1284" s="17">
        <v>45603.0</v>
      </c>
      <c r="C1284" s="6" t="s">
        <v>836</v>
      </c>
      <c r="D1284" s="6" t="s">
        <v>1758</v>
      </c>
      <c r="E1284" s="6" t="s">
        <v>1926</v>
      </c>
      <c r="F1284" s="6">
        <v>4.0</v>
      </c>
      <c r="G1284" s="13">
        <v>488.56</v>
      </c>
      <c r="H1284" s="6">
        <v>0.26</v>
      </c>
      <c r="I1284" s="6" t="s">
        <v>1973</v>
      </c>
      <c r="J1284" s="13">
        <v>1446.1376</v>
      </c>
      <c r="K1284" s="6" t="str">
        <f t="shared" si="1"/>
        <v>Average Earnings</v>
      </c>
    </row>
    <row r="1285" ht="14.25" customHeight="1">
      <c r="A1285" s="6" t="s">
        <v>3250</v>
      </c>
      <c r="B1285" s="17">
        <v>45501.0</v>
      </c>
      <c r="C1285" s="6" t="s">
        <v>377</v>
      </c>
      <c r="D1285" s="6" t="s">
        <v>1657</v>
      </c>
      <c r="E1285" s="6" t="s">
        <v>1934</v>
      </c>
      <c r="F1285" s="6">
        <v>4.0</v>
      </c>
      <c r="G1285" s="13">
        <v>175.91</v>
      </c>
      <c r="H1285" s="6">
        <v>0.13</v>
      </c>
      <c r="I1285" s="6" t="s">
        <v>1967</v>
      </c>
      <c r="J1285" s="13">
        <v>612.1668</v>
      </c>
      <c r="K1285" s="6" t="str">
        <f t="shared" si="1"/>
        <v>Low Earnings</v>
      </c>
    </row>
    <row r="1286" ht="14.25" customHeight="1">
      <c r="A1286" s="6" t="s">
        <v>3251</v>
      </c>
      <c r="B1286" s="17">
        <v>45398.0</v>
      </c>
      <c r="C1286" s="6" t="s">
        <v>809</v>
      </c>
      <c r="D1286" s="6" t="s">
        <v>1849</v>
      </c>
      <c r="E1286" s="6" t="s">
        <v>1922</v>
      </c>
      <c r="F1286" s="6">
        <v>4.0</v>
      </c>
      <c r="G1286" s="13">
        <v>289.66</v>
      </c>
      <c r="H1286" s="6">
        <v>0.25</v>
      </c>
      <c r="I1286" s="6" t="s">
        <v>1973</v>
      </c>
      <c r="J1286" s="13">
        <v>868.98</v>
      </c>
      <c r="K1286" s="6" t="str">
        <f t="shared" si="1"/>
        <v>Low Earnings</v>
      </c>
    </row>
    <row r="1287" ht="14.25" customHeight="1">
      <c r="A1287" s="6" t="s">
        <v>3252</v>
      </c>
      <c r="B1287" s="17">
        <v>45304.0</v>
      </c>
      <c r="C1287" s="6" t="s">
        <v>788</v>
      </c>
      <c r="D1287" s="6" t="s">
        <v>1622</v>
      </c>
      <c r="E1287" s="6" t="s">
        <v>1941</v>
      </c>
      <c r="F1287" s="6">
        <v>2.0</v>
      </c>
      <c r="G1287" s="13">
        <v>899.27</v>
      </c>
      <c r="H1287" s="6">
        <v>0.17</v>
      </c>
      <c r="I1287" s="6" t="s">
        <v>1965</v>
      </c>
      <c r="J1287" s="13">
        <v>1492.7882</v>
      </c>
      <c r="K1287" s="6" t="str">
        <f t="shared" si="1"/>
        <v>Average Earnings</v>
      </c>
    </row>
    <row r="1288" ht="14.25" customHeight="1">
      <c r="A1288" s="6" t="s">
        <v>3253</v>
      </c>
      <c r="B1288" s="17">
        <v>45299.0</v>
      </c>
      <c r="C1288" s="6" t="s">
        <v>249</v>
      </c>
      <c r="D1288" s="6" t="s">
        <v>1633</v>
      </c>
      <c r="E1288" s="6" t="s">
        <v>1897</v>
      </c>
      <c r="F1288" s="6">
        <v>1.0</v>
      </c>
      <c r="G1288" s="13">
        <v>691.38</v>
      </c>
      <c r="H1288" s="6">
        <v>0.11</v>
      </c>
      <c r="I1288" s="6" t="s">
        <v>1973</v>
      </c>
      <c r="J1288" s="13">
        <v>615.3282</v>
      </c>
      <c r="K1288" s="6" t="str">
        <f t="shared" si="1"/>
        <v>Low Earnings</v>
      </c>
    </row>
    <row r="1289" ht="14.25" customHeight="1">
      <c r="A1289" s="6" t="s">
        <v>3254</v>
      </c>
      <c r="B1289" s="17">
        <v>45564.0</v>
      </c>
      <c r="C1289" s="6" t="s">
        <v>561</v>
      </c>
      <c r="D1289" s="6" t="s">
        <v>1663</v>
      </c>
      <c r="E1289" s="6" t="s">
        <v>1892</v>
      </c>
      <c r="F1289" s="6">
        <v>3.0</v>
      </c>
      <c r="G1289" s="13">
        <v>158.72</v>
      </c>
      <c r="H1289" s="6">
        <v>0.13</v>
      </c>
      <c r="I1289" s="6" t="s">
        <v>1965</v>
      </c>
      <c r="J1289" s="13">
        <v>414.2592</v>
      </c>
      <c r="K1289" s="6" t="str">
        <f t="shared" si="1"/>
        <v>Low Earnings</v>
      </c>
    </row>
    <row r="1290" ht="14.25" customHeight="1">
      <c r="A1290" s="6" t="s">
        <v>3255</v>
      </c>
      <c r="B1290" s="17">
        <v>45413.0</v>
      </c>
      <c r="C1290" s="6" t="s">
        <v>696</v>
      </c>
      <c r="D1290" s="6" t="s">
        <v>1767</v>
      </c>
      <c r="E1290" s="6" t="s">
        <v>1944</v>
      </c>
      <c r="F1290" s="6">
        <v>4.0</v>
      </c>
      <c r="G1290" s="13">
        <v>537.15</v>
      </c>
      <c r="H1290" s="6">
        <v>0.06</v>
      </c>
      <c r="I1290" s="6" t="s">
        <v>1973</v>
      </c>
      <c r="J1290" s="13">
        <v>2019.684</v>
      </c>
      <c r="K1290" s="6" t="str">
        <f t="shared" si="1"/>
        <v>Average Earnings</v>
      </c>
    </row>
    <row r="1291" ht="14.25" customHeight="1">
      <c r="A1291" s="6" t="s">
        <v>3256</v>
      </c>
      <c r="B1291" s="17">
        <v>45480.0</v>
      </c>
      <c r="C1291" s="6" t="s">
        <v>1311</v>
      </c>
      <c r="D1291" s="6" t="s">
        <v>1708</v>
      </c>
      <c r="E1291" s="6" t="s">
        <v>1926</v>
      </c>
      <c r="F1291" s="6">
        <v>3.0</v>
      </c>
      <c r="G1291" s="13">
        <v>771.7</v>
      </c>
      <c r="H1291" s="6">
        <v>0.05</v>
      </c>
      <c r="I1291" s="6" t="s">
        <v>1973</v>
      </c>
      <c r="J1291" s="13">
        <v>2199.345</v>
      </c>
      <c r="K1291" s="6" t="str">
        <f t="shared" si="1"/>
        <v>Average Earnings</v>
      </c>
    </row>
    <row r="1292" ht="14.25" customHeight="1">
      <c r="A1292" s="6" t="s">
        <v>3257</v>
      </c>
      <c r="B1292" s="17">
        <v>45635.0</v>
      </c>
      <c r="C1292" s="6" t="s">
        <v>318</v>
      </c>
      <c r="D1292" s="6" t="s">
        <v>1581</v>
      </c>
      <c r="E1292" s="6" t="s">
        <v>1919</v>
      </c>
      <c r="F1292" s="6">
        <v>3.0</v>
      </c>
      <c r="G1292" s="13">
        <v>559.52</v>
      </c>
      <c r="H1292" s="6">
        <v>0.16</v>
      </c>
      <c r="I1292" s="6" t="s">
        <v>1967</v>
      </c>
      <c r="J1292" s="13">
        <v>1409.9904</v>
      </c>
      <c r="K1292" s="6" t="str">
        <f t="shared" si="1"/>
        <v>Average Earnings</v>
      </c>
    </row>
    <row r="1293" ht="14.25" customHeight="1">
      <c r="A1293" s="6" t="s">
        <v>3258</v>
      </c>
      <c r="B1293" s="17">
        <v>45610.0</v>
      </c>
      <c r="C1293" s="6" t="s">
        <v>389</v>
      </c>
      <c r="D1293" s="6" t="s">
        <v>1852</v>
      </c>
      <c r="E1293" s="6" t="s">
        <v>1897</v>
      </c>
      <c r="F1293" s="6">
        <v>4.0</v>
      </c>
      <c r="G1293" s="13">
        <v>677.25</v>
      </c>
      <c r="H1293" s="6">
        <v>0.14</v>
      </c>
      <c r="I1293" s="6" t="s">
        <v>1967</v>
      </c>
      <c r="J1293" s="13">
        <v>2329.74</v>
      </c>
      <c r="K1293" s="6" t="str">
        <f t="shared" si="1"/>
        <v>Average Earnings</v>
      </c>
    </row>
    <row r="1294" ht="14.25" customHeight="1">
      <c r="A1294" s="6" t="s">
        <v>3259</v>
      </c>
      <c r="B1294" s="17">
        <v>45763.0</v>
      </c>
      <c r="C1294" s="6" t="s">
        <v>371</v>
      </c>
      <c r="D1294" s="6" t="s">
        <v>1882</v>
      </c>
      <c r="E1294" s="6" t="s">
        <v>1932</v>
      </c>
      <c r="F1294" s="6">
        <v>1.0</v>
      </c>
      <c r="G1294" s="13">
        <v>645.48</v>
      </c>
      <c r="H1294" s="6">
        <v>0.26</v>
      </c>
      <c r="I1294" s="6" t="s">
        <v>1973</v>
      </c>
      <c r="J1294" s="13">
        <v>477.6552</v>
      </c>
      <c r="K1294" s="6" t="str">
        <f t="shared" si="1"/>
        <v>Low Earnings</v>
      </c>
    </row>
    <row r="1295" ht="14.25" customHeight="1">
      <c r="A1295" s="6" t="s">
        <v>3260</v>
      </c>
      <c r="B1295" s="17">
        <v>45856.0</v>
      </c>
      <c r="C1295" s="6" t="s">
        <v>1143</v>
      </c>
      <c r="D1295" s="6" t="s">
        <v>1807</v>
      </c>
      <c r="E1295" s="6" t="s">
        <v>1901</v>
      </c>
      <c r="F1295" s="6">
        <v>2.0</v>
      </c>
      <c r="G1295" s="13">
        <v>934.0</v>
      </c>
      <c r="H1295" s="6">
        <v>0.3</v>
      </c>
      <c r="I1295" s="6" t="s">
        <v>1973</v>
      </c>
      <c r="J1295" s="13">
        <v>1307.6</v>
      </c>
      <c r="K1295" s="6" t="str">
        <f t="shared" si="1"/>
        <v>Average Earnings</v>
      </c>
    </row>
    <row r="1296" ht="14.25" customHeight="1">
      <c r="A1296" s="6" t="s">
        <v>3261</v>
      </c>
      <c r="B1296" s="17">
        <v>45712.0</v>
      </c>
      <c r="C1296" s="6" t="s">
        <v>1065</v>
      </c>
      <c r="D1296" s="6" t="s">
        <v>1723</v>
      </c>
      <c r="E1296" s="6" t="s">
        <v>1901</v>
      </c>
      <c r="F1296" s="6">
        <v>1.0</v>
      </c>
      <c r="G1296" s="13">
        <v>669.53</v>
      </c>
      <c r="H1296" s="6">
        <v>0.2</v>
      </c>
      <c r="I1296" s="6" t="s">
        <v>1965</v>
      </c>
      <c r="J1296" s="13">
        <v>535.624</v>
      </c>
      <c r="K1296" s="6" t="str">
        <f t="shared" si="1"/>
        <v>Low Earnings</v>
      </c>
    </row>
    <row r="1297" ht="14.25" customHeight="1">
      <c r="A1297" s="6" t="s">
        <v>3262</v>
      </c>
      <c r="B1297" s="17">
        <v>45723.0</v>
      </c>
      <c r="C1297" s="6" t="s">
        <v>714</v>
      </c>
      <c r="D1297" s="6" t="s">
        <v>1688</v>
      </c>
      <c r="E1297" s="6" t="s">
        <v>1950</v>
      </c>
      <c r="F1297" s="6">
        <v>1.0</v>
      </c>
      <c r="G1297" s="13">
        <v>213.69</v>
      </c>
      <c r="H1297" s="6">
        <v>0.28</v>
      </c>
      <c r="I1297" s="6" t="s">
        <v>1973</v>
      </c>
      <c r="J1297" s="13">
        <v>153.8568</v>
      </c>
      <c r="K1297" s="6" t="str">
        <f t="shared" si="1"/>
        <v>Low Earnings</v>
      </c>
    </row>
    <row r="1298" ht="14.25" customHeight="1">
      <c r="A1298" s="6" t="s">
        <v>3263</v>
      </c>
      <c r="B1298" s="17">
        <v>45706.0</v>
      </c>
      <c r="C1298" s="6" t="s">
        <v>289</v>
      </c>
      <c r="D1298" s="6" t="s">
        <v>1643</v>
      </c>
      <c r="E1298" s="6" t="s">
        <v>1953</v>
      </c>
      <c r="F1298" s="6">
        <v>2.0</v>
      </c>
      <c r="G1298" s="13">
        <v>99.1</v>
      </c>
      <c r="H1298" s="6">
        <v>0.2</v>
      </c>
      <c r="I1298" s="6" t="s">
        <v>1967</v>
      </c>
      <c r="J1298" s="13">
        <v>158.56</v>
      </c>
      <c r="K1298" s="6" t="str">
        <f t="shared" si="1"/>
        <v>Low Earnings</v>
      </c>
    </row>
    <row r="1299" ht="14.25" customHeight="1">
      <c r="A1299" s="6" t="s">
        <v>3264</v>
      </c>
      <c r="B1299" s="17">
        <v>45469.0</v>
      </c>
      <c r="C1299" s="6" t="s">
        <v>1173</v>
      </c>
      <c r="D1299" s="6" t="s">
        <v>1694</v>
      </c>
      <c r="E1299" s="6" t="s">
        <v>1944</v>
      </c>
      <c r="F1299" s="6">
        <v>1.0</v>
      </c>
      <c r="G1299" s="13">
        <v>628.98</v>
      </c>
      <c r="H1299" s="6">
        <v>0.03</v>
      </c>
      <c r="I1299" s="6" t="s">
        <v>1973</v>
      </c>
      <c r="J1299" s="13">
        <v>610.1106</v>
      </c>
      <c r="K1299" s="6" t="str">
        <f t="shared" si="1"/>
        <v>Low Earnings</v>
      </c>
    </row>
    <row r="1300" ht="14.25" customHeight="1">
      <c r="A1300" s="6" t="s">
        <v>3265</v>
      </c>
      <c r="B1300" s="17">
        <v>45711.0</v>
      </c>
      <c r="C1300" s="6" t="s">
        <v>315</v>
      </c>
      <c r="D1300" s="6" t="s">
        <v>1840</v>
      </c>
      <c r="E1300" s="6" t="s">
        <v>1909</v>
      </c>
      <c r="F1300" s="6">
        <v>3.0</v>
      </c>
      <c r="G1300" s="13">
        <v>944.64</v>
      </c>
      <c r="H1300" s="6">
        <v>0.26</v>
      </c>
      <c r="I1300" s="6" t="s">
        <v>1965</v>
      </c>
      <c r="J1300" s="13">
        <v>2097.1008</v>
      </c>
      <c r="K1300" s="6" t="str">
        <f t="shared" si="1"/>
        <v>Average Earnings</v>
      </c>
    </row>
    <row r="1301" ht="14.25" customHeight="1">
      <c r="A1301" s="6" t="s">
        <v>3266</v>
      </c>
      <c r="B1301" s="17">
        <v>45823.0</v>
      </c>
      <c r="C1301" s="6" t="s">
        <v>1468</v>
      </c>
      <c r="D1301" s="6" t="s">
        <v>1867</v>
      </c>
      <c r="E1301" s="6" t="s">
        <v>1934</v>
      </c>
      <c r="F1301" s="6">
        <v>2.0</v>
      </c>
      <c r="G1301" s="13">
        <v>121.7</v>
      </c>
      <c r="H1301" s="6">
        <v>0.06</v>
      </c>
      <c r="I1301" s="6" t="s">
        <v>1973</v>
      </c>
      <c r="J1301" s="13">
        <v>228.796</v>
      </c>
      <c r="K1301" s="6" t="str">
        <f t="shared" si="1"/>
        <v>Low Earnings</v>
      </c>
    </row>
    <row r="1302" ht="14.25" customHeight="1">
      <c r="A1302" s="6" t="s">
        <v>3267</v>
      </c>
      <c r="B1302" s="17">
        <v>45217.0</v>
      </c>
      <c r="C1302" s="6" t="s">
        <v>1402</v>
      </c>
      <c r="D1302" s="6" t="s">
        <v>1782</v>
      </c>
      <c r="E1302" s="6" t="s">
        <v>1906</v>
      </c>
      <c r="F1302" s="6">
        <v>4.0</v>
      </c>
      <c r="G1302" s="13">
        <v>269.49</v>
      </c>
      <c r="H1302" s="6">
        <v>0.07</v>
      </c>
      <c r="I1302" s="6" t="s">
        <v>1967</v>
      </c>
      <c r="J1302" s="13">
        <v>1002.5028</v>
      </c>
      <c r="K1302" s="6" t="str">
        <f t="shared" si="1"/>
        <v>Average Earnings</v>
      </c>
    </row>
    <row r="1303" ht="14.25" customHeight="1">
      <c r="A1303" s="6" t="s">
        <v>3268</v>
      </c>
      <c r="B1303" s="17">
        <v>45329.0</v>
      </c>
      <c r="C1303" s="6" t="s">
        <v>1529</v>
      </c>
      <c r="D1303" s="6" t="s">
        <v>1604</v>
      </c>
      <c r="E1303" s="6" t="s">
        <v>1947</v>
      </c>
      <c r="F1303" s="6">
        <v>3.0</v>
      </c>
      <c r="G1303" s="13">
        <v>121.76</v>
      </c>
      <c r="H1303" s="6">
        <v>0.27</v>
      </c>
      <c r="I1303" s="6" t="s">
        <v>1967</v>
      </c>
      <c r="J1303" s="13">
        <v>266.6544</v>
      </c>
      <c r="K1303" s="6" t="str">
        <f t="shared" si="1"/>
        <v>Low Earnings</v>
      </c>
    </row>
    <row r="1304" ht="14.25" customHeight="1">
      <c r="A1304" s="6" t="s">
        <v>3269</v>
      </c>
      <c r="B1304" s="17">
        <v>45733.0</v>
      </c>
      <c r="C1304" s="6" t="s">
        <v>361</v>
      </c>
      <c r="D1304" s="6" t="s">
        <v>1647</v>
      </c>
      <c r="E1304" s="6" t="s">
        <v>1950</v>
      </c>
      <c r="F1304" s="6">
        <v>1.0</v>
      </c>
      <c r="G1304" s="13">
        <v>678.2</v>
      </c>
      <c r="H1304" s="6">
        <v>0.14</v>
      </c>
      <c r="I1304" s="6" t="s">
        <v>1965</v>
      </c>
      <c r="J1304" s="13">
        <v>583.2520000000001</v>
      </c>
      <c r="K1304" s="6" t="str">
        <f t="shared" si="1"/>
        <v>Low Earnings</v>
      </c>
    </row>
    <row r="1305" ht="14.25" customHeight="1">
      <c r="A1305" s="6" t="s">
        <v>3270</v>
      </c>
      <c r="B1305" s="17">
        <v>45520.0</v>
      </c>
      <c r="C1305" s="6" t="s">
        <v>758</v>
      </c>
      <c r="D1305" s="6" t="s">
        <v>1858</v>
      </c>
      <c r="E1305" s="6" t="s">
        <v>1937</v>
      </c>
      <c r="F1305" s="6">
        <v>1.0</v>
      </c>
      <c r="G1305" s="13">
        <v>752.45</v>
      </c>
      <c r="H1305" s="6">
        <v>0.21</v>
      </c>
      <c r="I1305" s="6" t="s">
        <v>1973</v>
      </c>
      <c r="J1305" s="13">
        <v>594.4355</v>
      </c>
      <c r="K1305" s="6" t="str">
        <f t="shared" si="1"/>
        <v>Low Earnings</v>
      </c>
    </row>
    <row r="1306" ht="14.25" customHeight="1">
      <c r="A1306" s="6" t="s">
        <v>3271</v>
      </c>
      <c r="B1306" s="17">
        <v>45373.0</v>
      </c>
      <c r="C1306" s="6" t="s">
        <v>155</v>
      </c>
      <c r="D1306" s="6" t="s">
        <v>1870</v>
      </c>
      <c r="E1306" s="6" t="s">
        <v>1937</v>
      </c>
      <c r="F1306" s="6">
        <v>2.0</v>
      </c>
      <c r="G1306" s="13">
        <v>209.66</v>
      </c>
      <c r="H1306" s="6">
        <v>0.21</v>
      </c>
      <c r="I1306" s="6" t="s">
        <v>1965</v>
      </c>
      <c r="J1306" s="13">
        <v>331.2628</v>
      </c>
      <c r="K1306" s="6" t="str">
        <f t="shared" si="1"/>
        <v>Low Earnings</v>
      </c>
    </row>
    <row r="1307" ht="14.25" customHeight="1">
      <c r="A1307" s="6" t="s">
        <v>3272</v>
      </c>
      <c r="B1307" s="17">
        <v>45688.0</v>
      </c>
      <c r="C1307" s="6" t="s">
        <v>549</v>
      </c>
      <c r="D1307" s="6" t="s">
        <v>1879</v>
      </c>
      <c r="E1307" s="6" t="s">
        <v>1953</v>
      </c>
      <c r="F1307" s="6">
        <v>2.0</v>
      </c>
      <c r="G1307" s="13">
        <v>739.95</v>
      </c>
      <c r="H1307" s="6">
        <v>0.1</v>
      </c>
      <c r="I1307" s="6" t="s">
        <v>1973</v>
      </c>
      <c r="J1307" s="13">
        <v>1331.91</v>
      </c>
      <c r="K1307" s="6" t="str">
        <f t="shared" si="1"/>
        <v>Average Earnings</v>
      </c>
    </row>
    <row r="1308" ht="14.25" customHeight="1">
      <c r="A1308" s="6" t="s">
        <v>3273</v>
      </c>
      <c r="B1308" s="17">
        <v>45276.0</v>
      </c>
      <c r="C1308" s="6" t="s">
        <v>1462</v>
      </c>
      <c r="D1308" s="6" t="s">
        <v>1720</v>
      </c>
      <c r="E1308" s="6" t="s">
        <v>1941</v>
      </c>
      <c r="F1308" s="6">
        <v>1.0</v>
      </c>
      <c r="G1308" s="13">
        <v>496.19</v>
      </c>
      <c r="H1308" s="6">
        <v>0.08</v>
      </c>
      <c r="I1308" s="6" t="s">
        <v>1973</v>
      </c>
      <c r="J1308" s="13">
        <v>456.4948</v>
      </c>
      <c r="K1308" s="6" t="str">
        <f t="shared" si="1"/>
        <v>Low Earnings</v>
      </c>
    </row>
    <row r="1309" ht="14.25" customHeight="1">
      <c r="A1309" s="6" t="s">
        <v>3274</v>
      </c>
      <c r="B1309" s="17">
        <v>45756.0</v>
      </c>
      <c r="C1309" s="6" t="s">
        <v>180</v>
      </c>
      <c r="D1309" s="6" t="s">
        <v>1599</v>
      </c>
      <c r="E1309" s="6" t="s">
        <v>1934</v>
      </c>
      <c r="F1309" s="6">
        <v>1.0</v>
      </c>
      <c r="G1309" s="13">
        <v>306.36</v>
      </c>
      <c r="H1309" s="6">
        <v>0.01</v>
      </c>
      <c r="I1309" s="6" t="s">
        <v>1967</v>
      </c>
      <c r="J1309" s="13">
        <v>303.2964</v>
      </c>
      <c r="K1309" s="6" t="str">
        <f t="shared" si="1"/>
        <v>Low Earnings</v>
      </c>
    </row>
    <row r="1310" ht="14.25" customHeight="1">
      <c r="A1310" s="6" t="s">
        <v>3275</v>
      </c>
      <c r="B1310" s="17">
        <v>45309.0</v>
      </c>
      <c r="C1310" s="6" t="s">
        <v>425</v>
      </c>
      <c r="D1310" s="6" t="s">
        <v>1807</v>
      </c>
      <c r="E1310" s="6" t="s">
        <v>1909</v>
      </c>
      <c r="F1310" s="6">
        <v>4.0</v>
      </c>
      <c r="G1310" s="13">
        <v>693.16</v>
      </c>
      <c r="H1310" s="6">
        <v>0.05</v>
      </c>
      <c r="I1310" s="6" t="s">
        <v>1967</v>
      </c>
      <c r="J1310" s="13">
        <v>2634.008</v>
      </c>
      <c r="K1310" s="6" t="str">
        <f t="shared" si="1"/>
        <v>High Earnings</v>
      </c>
    </row>
    <row r="1311" ht="14.25" customHeight="1">
      <c r="A1311" s="6" t="s">
        <v>3276</v>
      </c>
      <c r="B1311" s="17">
        <v>45744.0</v>
      </c>
      <c r="C1311" s="6" t="s">
        <v>1421</v>
      </c>
      <c r="D1311" s="6" t="s">
        <v>1837</v>
      </c>
      <c r="E1311" s="6" t="s">
        <v>1929</v>
      </c>
      <c r="F1311" s="6">
        <v>1.0</v>
      </c>
      <c r="G1311" s="13">
        <v>995.52</v>
      </c>
      <c r="H1311" s="6">
        <v>0.22</v>
      </c>
      <c r="I1311" s="6" t="s">
        <v>1967</v>
      </c>
      <c r="J1311" s="13">
        <v>776.5056</v>
      </c>
      <c r="K1311" s="6" t="str">
        <f t="shared" si="1"/>
        <v>Low Earnings</v>
      </c>
    </row>
    <row r="1312" ht="14.25" customHeight="1">
      <c r="A1312" s="6" t="s">
        <v>3277</v>
      </c>
      <c r="B1312" s="17">
        <v>45535.0</v>
      </c>
      <c r="C1312" s="6" t="s">
        <v>440</v>
      </c>
      <c r="D1312" s="6" t="s">
        <v>1590</v>
      </c>
      <c r="E1312" s="6" t="s">
        <v>1950</v>
      </c>
      <c r="F1312" s="6">
        <v>4.0</v>
      </c>
      <c r="G1312" s="13">
        <v>241.32</v>
      </c>
      <c r="H1312" s="6">
        <v>0.29</v>
      </c>
      <c r="I1312" s="6" t="s">
        <v>1973</v>
      </c>
      <c r="J1312" s="13">
        <v>685.3488</v>
      </c>
      <c r="K1312" s="6" t="str">
        <f t="shared" si="1"/>
        <v>Low Earnings</v>
      </c>
    </row>
    <row r="1313" ht="14.25" customHeight="1">
      <c r="A1313" s="6" t="s">
        <v>3278</v>
      </c>
      <c r="B1313" s="17">
        <v>45240.0</v>
      </c>
      <c r="C1313" s="6" t="s">
        <v>782</v>
      </c>
      <c r="D1313" s="6" t="s">
        <v>1822</v>
      </c>
      <c r="E1313" s="6" t="s">
        <v>1897</v>
      </c>
      <c r="F1313" s="6">
        <v>3.0</v>
      </c>
      <c r="G1313" s="13">
        <v>636.03</v>
      </c>
      <c r="H1313" s="6">
        <v>0.06</v>
      </c>
      <c r="I1313" s="6" t="s">
        <v>1973</v>
      </c>
      <c r="J1313" s="13">
        <v>1793.6046</v>
      </c>
      <c r="K1313" s="6" t="str">
        <f t="shared" si="1"/>
        <v>Average Earnings</v>
      </c>
    </row>
    <row r="1314" ht="14.25" customHeight="1">
      <c r="A1314" s="6" t="s">
        <v>3279</v>
      </c>
      <c r="B1314" s="17">
        <v>45378.0</v>
      </c>
      <c r="C1314" s="6" t="s">
        <v>634</v>
      </c>
      <c r="D1314" s="6" t="s">
        <v>1682</v>
      </c>
      <c r="E1314" s="6" t="s">
        <v>1937</v>
      </c>
      <c r="F1314" s="6">
        <v>4.0</v>
      </c>
      <c r="G1314" s="13">
        <v>735.32</v>
      </c>
      <c r="H1314" s="6">
        <v>0.06</v>
      </c>
      <c r="I1314" s="6" t="s">
        <v>1973</v>
      </c>
      <c r="J1314" s="13">
        <v>2764.8032</v>
      </c>
      <c r="K1314" s="6" t="str">
        <f t="shared" si="1"/>
        <v>High Earnings</v>
      </c>
    </row>
    <row r="1315" ht="14.25" customHeight="1">
      <c r="A1315" s="6" t="s">
        <v>3280</v>
      </c>
      <c r="B1315" s="17">
        <v>45275.0</v>
      </c>
      <c r="C1315" s="6" t="s">
        <v>352</v>
      </c>
      <c r="D1315" s="6" t="s">
        <v>1577</v>
      </c>
      <c r="E1315" s="6" t="s">
        <v>1953</v>
      </c>
      <c r="F1315" s="6">
        <v>4.0</v>
      </c>
      <c r="G1315" s="13">
        <v>603.31</v>
      </c>
      <c r="H1315" s="6">
        <v>0.15</v>
      </c>
      <c r="I1315" s="6" t="s">
        <v>1965</v>
      </c>
      <c r="J1315" s="13">
        <v>2051.254</v>
      </c>
      <c r="K1315" s="6" t="str">
        <f t="shared" si="1"/>
        <v>Average Earnings</v>
      </c>
    </row>
    <row r="1316" ht="14.25" customHeight="1">
      <c r="A1316" s="6" t="s">
        <v>3281</v>
      </c>
      <c r="B1316" s="17">
        <v>45427.0</v>
      </c>
      <c r="C1316" s="6" t="s">
        <v>283</v>
      </c>
      <c r="D1316" s="6" t="s">
        <v>1855</v>
      </c>
      <c r="E1316" s="6" t="s">
        <v>1929</v>
      </c>
      <c r="F1316" s="6">
        <v>3.0</v>
      </c>
      <c r="G1316" s="13">
        <v>437.96</v>
      </c>
      <c r="H1316" s="6">
        <v>0.27</v>
      </c>
      <c r="I1316" s="6" t="s">
        <v>1973</v>
      </c>
      <c r="J1316" s="13">
        <v>959.1323999999998</v>
      </c>
      <c r="K1316" s="6" t="str">
        <f t="shared" si="1"/>
        <v>Low Earnings</v>
      </c>
    </row>
    <row r="1317" ht="14.25" customHeight="1">
      <c r="A1317" s="6" t="s">
        <v>3282</v>
      </c>
      <c r="B1317" s="17">
        <v>45322.0</v>
      </c>
      <c r="C1317" s="6" t="s">
        <v>690</v>
      </c>
      <c r="D1317" s="6" t="s">
        <v>1685</v>
      </c>
      <c r="E1317" s="6" t="s">
        <v>1909</v>
      </c>
      <c r="F1317" s="6">
        <v>2.0</v>
      </c>
      <c r="G1317" s="13">
        <v>56.91</v>
      </c>
      <c r="H1317" s="6">
        <v>0.08</v>
      </c>
      <c r="I1317" s="6" t="s">
        <v>1973</v>
      </c>
      <c r="J1317" s="13">
        <v>104.7144</v>
      </c>
      <c r="K1317" s="6" t="str">
        <f t="shared" si="1"/>
        <v>Low Earnings</v>
      </c>
    </row>
    <row r="1318" ht="14.25" customHeight="1">
      <c r="A1318" s="6" t="s">
        <v>3283</v>
      </c>
      <c r="B1318" s="17">
        <v>45266.0</v>
      </c>
      <c r="C1318" s="6" t="s">
        <v>1065</v>
      </c>
      <c r="D1318" s="6" t="s">
        <v>1816</v>
      </c>
      <c r="E1318" s="6" t="s">
        <v>1916</v>
      </c>
      <c r="F1318" s="6">
        <v>1.0</v>
      </c>
      <c r="G1318" s="13">
        <v>141.79</v>
      </c>
      <c r="H1318" s="6">
        <v>0.1</v>
      </c>
      <c r="I1318" s="6" t="s">
        <v>1965</v>
      </c>
      <c r="J1318" s="13">
        <v>127.611</v>
      </c>
      <c r="K1318" s="6" t="str">
        <f t="shared" si="1"/>
        <v>Low Earnings</v>
      </c>
    </row>
    <row r="1319" ht="14.25" customHeight="1">
      <c r="A1319" s="6" t="s">
        <v>3284</v>
      </c>
      <c r="B1319" s="17">
        <v>45302.0</v>
      </c>
      <c r="C1319" s="6" t="s">
        <v>1503</v>
      </c>
      <c r="D1319" s="6" t="s">
        <v>1599</v>
      </c>
      <c r="E1319" s="6" t="s">
        <v>1941</v>
      </c>
      <c r="F1319" s="6">
        <v>4.0</v>
      </c>
      <c r="G1319" s="13">
        <v>355.14</v>
      </c>
      <c r="H1319" s="6">
        <v>0.16</v>
      </c>
      <c r="I1319" s="6" t="s">
        <v>1973</v>
      </c>
      <c r="J1319" s="13">
        <v>1193.2704</v>
      </c>
      <c r="K1319" s="6" t="str">
        <f t="shared" si="1"/>
        <v>Average Earnings</v>
      </c>
    </row>
    <row r="1320" ht="14.25" customHeight="1">
      <c r="A1320" s="6" t="s">
        <v>3285</v>
      </c>
      <c r="B1320" s="17">
        <v>45907.0</v>
      </c>
      <c r="C1320" s="6" t="s">
        <v>699</v>
      </c>
      <c r="D1320" s="6" t="s">
        <v>1698</v>
      </c>
      <c r="E1320" s="6" t="s">
        <v>1916</v>
      </c>
      <c r="F1320" s="6">
        <v>4.0</v>
      </c>
      <c r="G1320" s="13">
        <v>960.38</v>
      </c>
      <c r="H1320" s="6">
        <v>0.15</v>
      </c>
      <c r="I1320" s="6" t="s">
        <v>1973</v>
      </c>
      <c r="J1320" s="13">
        <v>3265.292</v>
      </c>
      <c r="K1320" s="6" t="str">
        <f t="shared" si="1"/>
        <v>High Earnings</v>
      </c>
    </row>
    <row r="1321" ht="14.25" customHeight="1">
      <c r="A1321" s="6" t="s">
        <v>3286</v>
      </c>
      <c r="B1321" s="17">
        <v>45433.0</v>
      </c>
      <c r="C1321" s="6" t="s">
        <v>1320</v>
      </c>
      <c r="D1321" s="6" t="s">
        <v>1795</v>
      </c>
      <c r="E1321" s="6" t="s">
        <v>1944</v>
      </c>
      <c r="F1321" s="6">
        <v>3.0</v>
      </c>
      <c r="G1321" s="13">
        <v>847.21</v>
      </c>
      <c r="H1321" s="6">
        <v>0.06</v>
      </c>
      <c r="I1321" s="6" t="s">
        <v>1967</v>
      </c>
      <c r="J1321" s="13">
        <v>2389.1322</v>
      </c>
      <c r="K1321" s="6" t="str">
        <f t="shared" si="1"/>
        <v>Average Earnings</v>
      </c>
    </row>
    <row r="1322" ht="14.25" customHeight="1">
      <c r="A1322" s="6" t="s">
        <v>3287</v>
      </c>
      <c r="B1322" s="17">
        <v>45892.0</v>
      </c>
      <c r="C1322" s="6" t="s">
        <v>252</v>
      </c>
      <c r="D1322" s="6" t="s">
        <v>1828</v>
      </c>
      <c r="E1322" s="6" t="s">
        <v>1929</v>
      </c>
      <c r="F1322" s="6">
        <v>4.0</v>
      </c>
      <c r="G1322" s="13">
        <v>773.81</v>
      </c>
      <c r="H1322" s="6">
        <v>0.08</v>
      </c>
      <c r="I1322" s="6" t="s">
        <v>1973</v>
      </c>
      <c r="J1322" s="13">
        <v>2847.6208</v>
      </c>
      <c r="K1322" s="6" t="str">
        <f t="shared" si="1"/>
        <v>High Earnings</v>
      </c>
    </row>
    <row r="1323" ht="14.25" customHeight="1">
      <c r="A1323" s="6" t="s">
        <v>3288</v>
      </c>
      <c r="B1323" s="17">
        <v>45780.0</v>
      </c>
      <c r="C1323" s="6" t="s">
        <v>12</v>
      </c>
      <c r="D1323" s="6" t="s">
        <v>1776</v>
      </c>
      <c r="E1323" s="6" t="s">
        <v>1944</v>
      </c>
      <c r="F1323" s="6">
        <v>1.0</v>
      </c>
      <c r="G1323" s="13">
        <v>664.71</v>
      </c>
      <c r="H1323" s="6">
        <v>0.1</v>
      </c>
      <c r="I1323" s="6" t="s">
        <v>1967</v>
      </c>
      <c r="J1323" s="13">
        <v>598.239</v>
      </c>
      <c r="K1323" s="6" t="str">
        <f t="shared" si="1"/>
        <v>Low Earnings</v>
      </c>
    </row>
    <row r="1324" ht="14.25" customHeight="1">
      <c r="A1324" s="6" t="s">
        <v>3289</v>
      </c>
      <c r="B1324" s="17">
        <v>45233.0</v>
      </c>
      <c r="C1324" s="6" t="s">
        <v>1104</v>
      </c>
      <c r="D1324" s="6" t="s">
        <v>1694</v>
      </c>
      <c r="E1324" s="6" t="s">
        <v>1919</v>
      </c>
      <c r="F1324" s="6">
        <v>4.0</v>
      </c>
      <c r="G1324" s="13">
        <v>482.06</v>
      </c>
      <c r="H1324" s="6">
        <v>0.07</v>
      </c>
      <c r="I1324" s="6" t="s">
        <v>1967</v>
      </c>
      <c r="J1324" s="13">
        <v>1793.2632</v>
      </c>
      <c r="K1324" s="6" t="str">
        <f t="shared" si="1"/>
        <v>Average Earnings</v>
      </c>
    </row>
    <row r="1325" ht="14.25" customHeight="1">
      <c r="A1325" s="6" t="s">
        <v>3290</v>
      </c>
      <c r="B1325" s="17">
        <v>45264.0</v>
      </c>
      <c r="C1325" s="6" t="s">
        <v>1353</v>
      </c>
      <c r="D1325" s="6" t="s">
        <v>1870</v>
      </c>
      <c r="E1325" s="6" t="s">
        <v>1906</v>
      </c>
      <c r="F1325" s="6">
        <v>2.0</v>
      </c>
      <c r="G1325" s="13">
        <v>600.73</v>
      </c>
      <c r="H1325" s="6">
        <v>0.08</v>
      </c>
      <c r="I1325" s="6" t="s">
        <v>1965</v>
      </c>
      <c r="J1325" s="13">
        <v>1105.3432</v>
      </c>
      <c r="K1325" s="6" t="str">
        <f t="shared" si="1"/>
        <v>Average Earnings</v>
      </c>
    </row>
    <row r="1326" ht="14.25" customHeight="1">
      <c r="A1326" s="6" t="s">
        <v>3291</v>
      </c>
      <c r="B1326" s="17">
        <v>45742.0</v>
      </c>
      <c r="C1326" s="6" t="s">
        <v>329</v>
      </c>
      <c r="D1326" s="6" t="s">
        <v>1758</v>
      </c>
      <c r="E1326" s="6" t="s">
        <v>1906</v>
      </c>
      <c r="F1326" s="6">
        <v>4.0</v>
      </c>
      <c r="G1326" s="13">
        <v>995.55</v>
      </c>
      <c r="H1326" s="6">
        <v>0.19</v>
      </c>
      <c r="I1326" s="6" t="s">
        <v>1967</v>
      </c>
      <c r="J1326" s="13">
        <v>3225.582</v>
      </c>
      <c r="K1326" s="6" t="str">
        <f t="shared" si="1"/>
        <v>High Earnings</v>
      </c>
    </row>
    <row r="1327" ht="14.25" customHeight="1">
      <c r="A1327" s="6" t="s">
        <v>3292</v>
      </c>
      <c r="B1327" s="17">
        <v>45478.0</v>
      </c>
      <c r="C1327" s="6" t="s">
        <v>489</v>
      </c>
      <c r="D1327" s="6" t="s">
        <v>1867</v>
      </c>
      <c r="E1327" s="6" t="s">
        <v>1937</v>
      </c>
      <c r="F1327" s="6">
        <v>2.0</v>
      </c>
      <c r="G1327" s="13">
        <v>153.84</v>
      </c>
      <c r="H1327" s="6">
        <v>0.27</v>
      </c>
      <c r="I1327" s="6" t="s">
        <v>1967</v>
      </c>
      <c r="J1327" s="13">
        <v>224.6064</v>
      </c>
      <c r="K1327" s="6" t="str">
        <f t="shared" si="1"/>
        <v>Low Earnings</v>
      </c>
    </row>
    <row r="1328" ht="14.25" customHeight="1">
      <c r="A1328" s="6" t="s">
        <v>3293</v>
      </c>
      <c r="B1328" s="17">
        <v>45789.0</v>
      </c>
      <c r="C1328" s="6" t="s">
        <v>525</v>
      </c>
      <c r="D1328" s="6" t="s">
        <v>1822</v>
      </c>
      <c r="E1328" s="6" t="s">
        <v>1916</v>
      </c>
      <c r="F1328" s="6">
        <v>3.0</v>
      </c>
      <c r="G1328" s="13">
        <v>362.11</v>
      </c>
      <c r="H1328" s="6">
        <v>0.23</v>
      </c>
      <c r="I1328" s="6" t="s">
        <v>1973</v>
      </c>
      <c r="J1328" s="13">
        <v>836.4740999999999</v>
      </c>
      <c r="K1328" s="6" t="str">
        <f t="shared" si="1"/>
        <v>Low Earnings</v>
      </c>
    </row>
    <row r="1329" ht="14.25" customHeight="1">
      <c r="A1329" s="6" t="s">
        <v>3294</v>
      </c>
      <c r="B1329" s="17">
        <v>45561.0</v>
      </c>
      <c r="C1329" s="6" t="s">
        <v>1471</v>
      </c>
      <c r="D1329" s="6" t="s">
        <v>1714</v>
      </c>
      <c r="E1329" s="6" t="s">
        <v>1922</v>
      </c>
      <c r="F1329" s="6">
        <v>3.0</v>
      </c>
      <c r="G1329" s="13">
        <v>112.26</v>
      </c>
      <c r="H1329" s="6">
        <v>0.11</v>
      </c>
      <c r="I1329" s="6" t="s">
        <v>1965</v>
      </c>
      <c r="J1329" s="13">
        <v>299.7342</v>
      </c>
      <c r="K1329" s="6" t="str">
        <f t="shared" si="1"/>
        <v>Low Earnings</v>
      </c>
    </row>
    <row r="1330" ht="14.25" customHeight="1">
      <c r="A1330" s="6" t="s">
        <v>3295</v>
      </c>
      <c r="B1330" s="17">
        <v>45378.0</v>
      </c>
      <c r="C1330" s="6" t="s">
        <v>675</v>
      </c>
      <c r="D1330" s="6" t="s">
        <v>1870</v>
      </c>
      <c r="E1330" s="6" t="s">
        <v>1953</v>
      </c>
      <c r="F1330" s="6">
        <v>2.0</v>
      </c>
      <c r="G1330" s="13">
        <v>962.81</v>
      </c>
      <c r="H1330" s="6">
        <v>0.06</v>
      </c>
      <c r="I1330" s="6" t="s">
        <v>1973</v>
      </c>
      <c r="J1330" s="13">
        <v>1810.0828</v>
      </c>
      <c r="K1330" s="6" t="str">
        <f t="shared" si="1"/>
        <v>Average Earnings</v>
      </c>
    </row>
    <row r="1331" ht="14.25" customHeight="1">
      <c r="A1331" s="6" t="s">
        <v>3296</v>
      </c>
      <c r="B1331" s="17">
        <v>45308.0</v>
      </c>
      <c r="C1331" s="6" t="s">
        <v>705</v>
      </c>
      <c r="D1331" s="6" t="s">
        <v>1643</v>
      </c>
      <c r="E1331" s="6" t="s">
        <v>1892</v>
      </c>
      <c r="F1331" s="6">
        <v>4.0</v>
      </c>
      <c r="G1331" s="13">
        <v>276.23</v>
      </c>
      <c r="H1331" s="6">
        <v>0.12</v>
      </c>
      <c r="I1331" s="6" t="s">
        <v>1965</v>
      </c>
      <c r="J1331" s="13">
        <v>972.3296</v>
      </c>
      <c r="K1331" s="6" t="str">
        <f t="shared" si="1"/>
        <v>Low Earnings</v>
      </c>
    </row>
    <row r="1332" ht="14.25" customHeight="1">
      <c r="A1332" s="6" t="s">
        <v>3297</v>
      </c>
      <c r="B1332" s="17">
        <v>45407.0</v>
      </c>
      <c r="C1332" s="6" t="s">
        <v>78</v>
      </c>
      <c r="D1332" s="6" t="s">
        <v>1633</v>
      </c>
      <c r="E1332" s="6" t="s">
        <v>1939</v>
      </c>
      <c r="F1332" s="6">
        <v>3.0</v>
      </c>
      <c r="G1332" s="13">
        <v>991.37</v>
      </c>
      <c r="H1332" s="6">
        <v>0.1</v>
      </c>
      <c r="I1332" s="6" t="s">
        <v>1967</v>
      </c>
      <c r="J1332" s="13">
        <v>2676.699</v>
      </c>
      <c r="K1332" s="6" t="str">
        <f t="shared" si="1"/>
        <v>High Earnings</v>
      </c>
    </row>
    <row r="1333" ht="14.25" customHeight="1">
      <c r="A1333" s="6" t="s">
        <v>3298</v>
      </c>
      <c r="B1333" s="17">
        <v>45929.0</v>
      </c>
      <c r="C1333" s="6" t="s">
        <v>570</v>
      </c>
      <c r="D1333" s="6" t="s">
        <v>1643</v>
      </c>
      <c r="E1333" s="6" t="s">
        <v>1937</v>
      </c>
      <c r="F1333" s="6">
        <v>3.0</v>
      </c>
      <c r="G1333" s="13">
        <v>977.47</v>
      </c>
      <c r="H1333" s="6">
        <v>0.05</v>
      </c>
      <c r="I1333" s="6" t="s">
        <v>1965</v>
      </c>
      <c r="J1333" s="13">
        <v>2785.7895</v>
      </c>
      <c r="K1333" s="6" t="str">
        <f t="shared" si="1"/>
        <v>High Earnings</v>
      </c>
    </row>
    <row r="1334" ht="14.25" customHeight="1">
      <c r="A1334" s="6" t="s">
        <v>3299</v>
      </c>
      <c r="B1334" s="17">
        <v>45844.0</v>
      </c>
      <c r="C1334" s="6" t="s">
        <v>684</v>
      </c>
      <c r="D1334" s="6" t="s">
        <v>1870</v>
      </c>
      <c r="E1334" s="6" t="s">
        <v>1934</v>
      </c>
      <c r="F1334" s="6">
        <v>2.0</v>
      </c>
      <c r="G1334" s="13">
        <v>308.7</v>
      </c>
      <c r="H1334" s="6">
        <v>0.2</v>
      </c>
      <c r="I1334" s="6" t="s">
        <v>1967</v>
      </c>
      <c r="J1334" s="13">
        <v>493.92</v>
      </c>
      <c r="K1334" s="6" t="str">
        <f t="shared" si="1"/>
        <v>Low Earnings</v>
      </c>
    </row>
    <row r="1335" ht="14.25" customHeight="1">
      <c r="A1335" s="6" t="s">
        <v>3300</v>
      </c>
      <c r="B1335" s="17">
        <v>45579.0</v>
      </c>
      <c r="C1335" s="6" t="s">
        <v>155</v>
      </c>
      <c r="D1335" s="6" t="s">
        <v>1585</v>
      </c>
      <c r="E1335" s="6" t="s">
        <v>1944</v>
      </c>
      <c r="F1335" s="6">
        <v>2.0</v>
      </c>
      <c r="G1335" s="13">
        <v>733.87</v>
      </c>
      <c r="H1335" s="6">
        <v>0.1</v>
      </c>
      <c r="I1335" s="6" t="s">
        <v>1967</v>
      </c>
      <c r="J1335" s="13">
        <v>1320.966</v>
      </c>
      <c r="K1335" s="6" t="str">
        <f t="shared" si="1"/>
        <v>Average Earnings</v>
      </c>
    </row>
    <row r="1336" ht="14.25" customHeight="1">
      <c r="A1336" s="6" t="s">
        <v>3301</v>
      </c>
      <c r="B1336" s="17">
        <v>45297.0</v>
      </c>
      <c r="C1336" s="6" t="s">
        <v>1532</v>
      </c>
      <c r="D1336" s="6" t="s">
        <v>1764</v>
      </c>
      <c r="E1336" s="6" t="s">
        <v>1913</v>
      </c>
      <c r="F1336" s="6">
        <v>3.0</v>
      </c>
      <c r="G1336" s="13">
        <v>745.3</v>
      </c>
      <c r="H1336" s="6">
        <v>0.18</v>
      </c>
      <c r="I1336" s="6" t="s">
        <v>1965</v>
      </c>
      <c r="J1336" s="13">
        <v>1833.438</v>
      </c>
      <c r="K1336" s="6" t="str">
        <f t="shared" si="1"/>
        <v>Average Earnings</v>
      </c>
    </row>
    <row r="1337" ht="14.25" customHeight="1">
      <c r="A1337" s="6" t="s">
        <v>3302</v>
      </c>
      <c r="B1337" s="17">
        <v>45486.0</v>
      </c>
      <c r="C1337" s="6" t="s">
        <v>272</v>
      </c>
      <c r="D1337" s="6" t="s">
        <v>1660</v>
      </c>
      <c r="E1337" s="6" t="s">
        <v>1953</v>
      </c>
      <c r="F1337" s="6">
        <v>2.0</v>
      </c>
      <c r="G1337" s="13">
        <v>873.86</v>
      </c>
      <c r="H1337" s="6">
        <v>0.07</v>
      </c>
      <c r="I1337" s="6" t="s">
        <v>1973</v>
      </c>
      <c r="J1337" s="13">
        <v>1625.3796</v>
      </c>
      <c r="K1337" s="6" t="str">
        <f t="shared" si="1"/>
        <v>Average Earnings</v>
      </c>
    </row>
    <row r="1338" ht="14.25" customHeight="1">
      <c r="A1338" s="6" t="s">
        <v>3303</v>
      </c>
      <c r="B1338" s="17">
        <v>45227.0</v>
      </c>
      <c r="C1338" s="6" t="s">
        <v>349</v>
      </c>
      <c r="D1338" s="6" t="s">
        <v>1636</v>
      </c>
      <c r="E1338" s="6" t="s">
        <v>1944</v>
      </c>
      <c r="F1338" s="6">
        <v>2.0</v>
      </c>
      <c r="G1338" s="13">
        <v>22.47</v>
      </c>
      <c r="H1338" s="6">
        <v>0.22</v>
      </c>
      <c r="I1338" s="6" t="s">
        <v>1967</v>
      </c>
      <c r="J1338" s="13">
        <v>35.0532</v>
      </c>
      <c r="K1338" s="6" t="str">
        <f t="shared" si="1"/>
        <v>Low Earnings</v>
      </c>
    </row>
    <row r="1339" ht="14.25" customHeight="1">
      <c r="A1339" s="6" t="s">
        <v>3304</v>
      </c>
      <c r="B1339" s="17">
        <v>45380.0</v>
      </c>
      <c r="C1339" s="6" t="s">
        <v>1107</v>
      </c>
      <c r="D1339" s="6" t="s">
        <v>1758</v>
      </c>
      <c r="E1339" s="6" t="s">
        <v>1937</v>
      </c>
      <c r="F1339" s="6">
        <v>4.0</v>
      </c>
      <c r="G1339" s="13">
        <v>651.36</v>
      </c>
      <c r="H1339" s="6">
        <v>0.13</v>
      </c>
      <c r="I1339" s="6" t="s">
        <v>1965</v>
      </c>
      <c r="J1339" s="13">
        <v>2266.7328</v>
      </c>
      <c r="K1339" s="6" t="str">
        <f t="shared" si="1"/>
        <v>Average Earnings</v>
      </c>
    </row>
    <row r="1340" ht="14.25" customHeight="1">
      <c r="A1340" s="6" t="s">
        <v>3305</v>
      </c>
      <c r="B1340" s="17">
        <v>45817.0</v>
      </c>
      <c r="C1340" s="6" t="s">
        <v>952</v>
      </c>
      <c r="D1340" s="6" t="s">
        <v>1618</v>
      </c>
      <c r="E1340" s="6" t="s">
        <v>1929</v>
      </c>
      <c r="F1340" s="6">
        <v>1.0</v>
      </c>
      <c r="G1340" s="13">
        <v>753.39</v>
      </c>
      <c r="H1340" s="6">
        <v>0.04</v>
      </c>
      <c r="I1340" s="6" t="s">
        <v>1973</v>
      </c>
      <c r="J1340" s="13">
        <v>723.2543999999999</v>
      </c>
      <c r="K1340" s="6" t="str">
        <f t="shared" si="1"/>
        <v>Low Earnings</v>
      </c>
    </row>
    <row r="1341" ht="14.25" customHeight="1">
      <c r="A1341" s="6" t="s">
        <v>3306</v>
      </c>
      <c r="B1341" s="17">
        <v>45576.0</v>
      </c>
      <c r="C1341" s="6" t="s">
        <v>669</v>
      </c>
      <c r="D1341" s="6" t="s">
        <v>1801</v>
      </c>
      <c r="E1341" s="6" t="s">
        <v>1934</v>
      </c>
      <c r="F1341" s="6">
        <v>4.0</v>
      </c>
      <c r="G1341" s="13">
        <v>849.17</v>
      </c>
      <c r="H1341" s="6">
        <v>0.12</v>
      </c>
      <c r="I1341" s="6" t="s">
        <v>1973</v>
      </c>
      <c r="J1341" s="13">
        <v>2989.0784</v>
      </c>
      <c r="K1341" s="6" t="str">
        <f t="shared" si="1"/>
        <v>High Earnings</v>
      </c>
    </row>
    <row r="1342" ht="14.25" customHeight="1">
      <c r="A1342" s="6" t="s">
        <v>3307</v>
      </c>
      <c r="B1342" s="17">
        <v>45495.0</v>
      </c>
      <c r="C1342" s="6" t="s">
        <v>1200</v>
      </c>
      <c r="D1342" s="6" t="s">
        <v>1640</v>
      </c>
      <c r="E1342" s="6" t="s">
        <v>1892</v>
      </c>
      <c r="F1342" s="6">
        <v>4.0</v>
      </c>
      <c r="G1342" s="13">
        <v>585.45</v>
      </c>
      <c r="H1342" s="6">
        <v>0.25</v>
      </c>
      <c r="I1342" s="6" t="s">
        <v>1973</v>
      </c>
      <c r="J1342" s="13">
        <v>1756.35</v>
      </c>
      <c r="K1342" s="6" t="str">
        <f t="shared" si="1"/>
        <v>Average Earnings</v>
      </c>
    </row>
    <row r="1343" ht="14.25" customHeight="1">
      <c r="A1343" s="6" t="s">
        <v>3308</v>
      </c>
      <c r="B1343" s="17">
        <v>45628.0</v>
      </c>
      <c r="C1343" s="6" t="s">
        <v>1482</v>
      </c>
      <c r="D1343" s="6" t="s">
        <v>1813</v>
      </c>
      <c r="E1343" s="6" t="s">
        <v>1944</v>
      </c>
      <c r="F1343" s="6">
        <v>1.0</v>
      </c>
      <c r="G1343" s="13">
        <v>745.15</v>
      </c>
      <c r="H1343" s="6">
        <v>0.25</v>
      </c>
      <c r="I1343" s="6" t="s">
        <v>1973</v>
      </c>
      <c r="J1343" s="13">
        <v>558.8625</v>
      </c>
      <c r="K1343" s="6" t="str">
        <f t="shared" si="1"/>
        <v>Low Earnings</v>
      </c>
    </row>
    <row r="1344" ht="14.25" customHeight="1">
      <c r="A1344" s="6" t="s">
        <v>3309</v>
      </c>
      <c r="B1344" s="17">
        <v>45244.0</v>
      </c>
      <c r="C1344" s="6" t="s">
        <v>199</v>
      </c>
      <c r="D1344" s="6" t="s">
        <v>1885</v>
      </c>
      <c r="E1344" s="6" t="s">
        <v>1901</v>
      </c>
      <c r="F1344" s="6">
        <v>1.0</v>
      </c>
      <c r="G1344" s="13">
        <v>848.69</v>
      </c>
      <c r="H1344" s="6">
        <v>0.04</v>
      </c>
      <c r="I1344" s="6" t="s">
        <v>1973</v>
      </c>
      <c r="J1344" s="13">
        <v>814.7424</v>
      </c>
      <c r="K1344" s="6" t="str">
        <f t="shared" si="1"/>
        <v>Low Earnings</v>
      </c>
    </row>
    <row r="1345" ht="14.25" customHeight="1">
      <c r="A1345" s="6" t="s">
        <v>3310</v>
      </c>
      <c r="B1345" s="17">
        <v>45336.0</v>
      </c>
      <c r="C1345" s="6" t="s">
        <v>1299</v>
      </c>
      <c r="D1345" s="6" t="s">
        <v>1798</v>
      </c>
      <c r="E1345" s="6" t="s">
        <v>1939</v>
      </c>
      <c r="F1345" s="6">
        <v>2.0</v>
      </c>
      <c r="G1345" s="13">
        <v>247.67</v>
      </c>
      <c r="H1345" s="6">
        <v>0.1</v>
      </c>
      <c r="I1345" s="6" t="s">
        <v>1967</v>
      </c>
      <c r="J1345" s="13">
        <v>445.806</v>
      </c>
      <c r="K1345" s="6" t="str">
        <f t="shared" si="1"/>
        <v>Low Earnings</v>
      </c>
    </row>
    <row r="1346" ht="14.25" customHeight="1">
      <c r="A1346" s="6" t="s">
        <v>3311</v>
      </c>
      <c r="B1346" s="17">
        <v>45465.0</v>
      </c>
      <c r="C1346" s="6" t="s">
        <v>161</v>
      </c>
      <c r="D1346" s="6" t="s">
        <v>1810</v>
      </c>
      <c r="E1346" s="6" t="s">
        <v>1906</v>
      </c>
      <c r="F1346" s="6">
        <v>3.0</v>
      </c>
      <c r="G1346" s="13">
        <v>220.51</v>
      </c>
      <c r="H1346" s="6">
        <v>0.02</v>
      </c>
      <c r="I1346" s="6" t="s">
        <v>1967</v>
      </c>
      <c r="J1346" s="13">
        <v>648.2994</v>
      </c>
      <c r="K1346" s="6" t="str">
        <f t="shared" si="1"/>
        <v>Low Earnings</v>
      </c>
    </row>
    <row r="1347" ht="14.25" customHeight="1">
      <c r="A1347" s="6" t="s">
        <v>3312</v>
      </c>
      <c r="B1347" s="17">
        <v>45837.0</v>
      </c>
      <c r="C1347" s="6" t="s">
        <v>1044</v>
      </c>
      <c r="D1347" s="6" t="s">
        <v>1622</v>
      </c>
      <c r="E1347" s="6" t="s">
        <v>1944</v>
      </c>
      <c r="F1347" s="6">
        <v>4.0</v>
      </c>
      <c r="G1347" s="13">
        <v>370.63</v>
      </c>
      <c r="H1347" s="6">
        <v>0.08</v>
      </c>
      <c r="I1347" s="6" t="s">
        <v>1965</v>
      </c>
      <c r="J1347" s="13">
        <v>1363.9184</v>
      </c>
      <c r="K1347" s="6" t="str">
        <f t="shared" si="1"/>
        <v>Average Earnings</v>
      </c>
    </row>
    <row r="1348" ht="14.25" customHeight="1">
      <c r="A1348" s="6" t="s">
        <v>3313</v>
      </c>
      <c r="B1348" s="17">
        <v>45241.0</v>
      </c>
      <c r="C1348" s="6" t="s">
        <v>969</v>
      </c>
      <c r="D1348" s="6" t="s">
        <v>1650</v>
      </c>
      <c r="E1348" s="6" t="s">
        <v>1922</v>
      </c>
      <c r="F1348" s="6">
        <v>3.0</v>
      </c>
      <c r="G1348" s="13">
        <v>342.47</v>
      </c>
      <c r="H1348" s="6">
        <v>0.08</v>
      </c>
      <c r="I1348" s="6" t="s">
        <v>1967</v>
      </c>
      <c r="J1348" s="13">
        <v>945.2172000000002</v>
      </c>
      <c r="K1348" s="6" t="str">
        <f t="shared" si="1"/>
        <v>Low Earnings</v>
      </c>
    </row>
    <row r="1349" ht="14.25" customHeight="1">
      <c r="A1349" s="6" t="s">
        <v>3314</v>
      </c>
      <c r="B1349" s="17">
        <v>45706.0</v>
      </c>
      <c r="C1349" s="6" t="s">
        <v>1236</v>
      </c>
      <c r="D1349" s="6" t="s">
        <v>1669</v>
      </c>
      <c r="E1349" s="6" t="s">
        <v>1953</v>
      </c>
      <c r="F1349" s="6">
        <v>4.0</v>
      </c>
      <c r="G1349" s="13">
        <v>349.84</v>
      </c>
      <c r="H1349" s="6">
        <v>0.11</v>
      </c>
      <c r="I1349" s="6" t="s">
        <v>1965</v>
      </c>
      <c r="J1349" s="13">
        <v>1245.4304</v>
      </c>
      <c r="K1349" s="6" t="str">
        <f t="shared" si="1"/>
        <v>Average Earnings</v>
      </c>
    </row>
    <row r="1350" ht="14.25" customHeight="1">
      <c r="A1350" s="6" t="s">
        <v>3315</v>
      </c>
      <c r="B1350" s="17">
        <v>45823.0</v>
      </c>
      <c r="C1350" s="6" t="s">
        <v>176</v>
      </c>
      <c r="D1350" s="6" t="s">
        <v>1701</v>
      </c>
      <c r="E1350" s="6" t="s">
        <v>1934</v>
      </c>
      <c r="F1350" s="6">
        <v>1.0</v>
      </c>
      <c r="G1350" s="13">
        <v>770.87</v>
      </c>
      <c r="H1350" s="6">
        <v>0.1</v>
      </c>
      <c r="I1350" s="6" t="s">
        <v>1973</v>
      </c>
      <c r="J1350" s="13">
        <v>693.783</v>
      </c>
      <c r="K1350" s="6" t="str">
        <f t="shared" si="1"/>
        <v>Low Earnings</v>
      </c>
    </row>
    <row r="1351" ht="14.25" customHeight="1">
      <c r="A1351" s="6" t="s">
        <v>3316</v>
      </c>
      <c r="B1351" s="17">
        <v>45518.0</v>
      </c>
      <c r="C1351" s="6" t="s">
        <v>1491</v>
      </c>
      <c r="D1351" s="6" t="s">
        <v>1885</v>
      </c>
      <c r="E1351" s="6" t="s">
        <v>1947</v>
      </c>
      <c r="F1351" s="6">
        <v>3.0</v>
      </c>
      <c r="G1351" s="13">
        <v>507.33</v>
      </c>
      <c r="H1351" s="6">
        <v>0.06</v>
      </c>
      <c r="I1351" s="6" t="s">
        <v>1967</v>
      </c>
      <c r="J1351" s="13">
        <v>1430.6706</v>
      </c>
      <c r="K1351" s="6" t="str">
        <f t="shared" si="1"/>
        <v>Average Earnings</v>
      </c>
    </row>
    <row r="1352" ht="14.25" customHeight="1">
      <c r="A1352" s="6" t="s">
        <v>3317</v>
      </c>
      <c r="B1352" s="17">
        <v>45863.0</v>
      </c>
      <c r="C1352" s="6" t="s">
        <v>622</v>
      </c>
      <c r="D1352" s="6" t="s">
        <v>1785</v>
      </c>
      <c r="E1352" s="6" t="s">
        <v>1926</v>
      </c>
      <c r="F1352" s="6">
        <v>1.0</v>
      </c>
      <c r="G1352" s="13">
        <v>87.78</v>
      </c>
      <c r="H1352" s="6">
        <v>0.06</v>
      </c>
      <c r="I1352" s="6" t="s">
        <v>1965</v>
      </c>
      <c r="J1352" s="13">
        <v>82.5132</v>
      </c>
      <c r="K1352" s="6" t="str">
        <f t="shared" si="1"/>
        <v>Low Earnings</v>
      </c>
    </row>
    <row r="1353" ht="14.25" customHeight="1">
      <c r="A1353" s="6" t="s">
        <v>3318</v>
      </c>
      <c r="B1353" s="17">
        <v>45666.0</v>
      </c>
      <c r="C1353" s="6" t="s">
        <v>43</v>
      </c>
      <c r="D1353" s="6" t="s">
        <v>1867</v>
      </c>
      <c r="E1353" s="6" t="s">
        <v>1909</v>
      </c>
      <c r="F1353" s="6">
        <v>2.0</v>
      </c>
      <c r="G1353" s="13">
        <v>772.24</v>
      </c>
      <c r="H1353" s="6">
        <v>0.22</v>
      </c>
      <c r="I1353" s="6" t="s">
        <v>1965</v>
      </c>
      <c r="J1353" s="13">
        <v>1204.6944</v>
      </c>
      <c r="K1353" s="6" t="str">
        <f t="shared" si="1"/>
        <v>Average Earnings</v>
      </c>
    </row>
    <row r="1354" ht="14.25" customHeight="1">
      <c r="A1354" s="6" t="s">
        <v>3319</v>
      </c>
      <c r="B1354" s="17">
        <v>45813.0</v>
      </c>
      <c r="C1354" s="6" t="s">
        <v>189</v>
      </c>
      <c r="D1354" s="6" t="s">
        <v>1798</v>
      </c>
      <c r="E1354" s="6" t="s">
        <v>1939</v>
      </c>
      <c r="F1354" s="6">
        <v>1.0</v>
      </c>
      <c r="G1354" s="13">
        <v>108.27</v>
      </c>
      <c r="H1354" s="6">
        <v>0.1</v>
      </c>
      <c r="I1354" s="6" t="s">
        <v>1973</v>
      </c>
      <c r="J1354" s="13">
        <v>97.443</v>
      </c>
      <c r="K1354" s="6" t="str">
        <f t="shared" si="1"/>
        <v>Low Earnings</v>
      </c>
    </row>
    <row r="1355" ht="14.25" customHeight="1">
      <c r="A1355" s="6" t="s">
        <v>3320</v>
      </c>
      <c r="B1355" s="17">
        <v>45633.0</v>
      </c>
      <c r="C1355" s="6" t="s">
        <v>1104</v>
      </c>
      <c r="D1355" s="6" t="s">
        <v>1698</v>
      </c>
      <c r="E1355" s="6" t="s">
        <v>1947</v>
      </c>
      <c r="F1355" s="6">
        <v>2.0</v>
      </c>
      <c r="G1355" s="13">
        <v>839.24</v>
      </c>
      <c r="H1355" s="6">
        <v>0.21</v>
      </c>
      <c r="I1355" s="6" t="s">
        <v>1967</v>
      </c>
      <c r="J1355" s="13">
        <v>1325.9992</v>
      </c>
      <c r="K1355" s="6" t="str">
        <f t="shared" si="1"/>
        <v>Average Earnings</v>
      </c>
    </row>
    <row r="1356" ht="14.25" customHeight="1">
      <c r="A1356" s="6" t="s">
        <v>3321</v>
      </c>
      <c r="B1356" s="17">
        <v>45331.0</v>
      </c>
      <c r="C1356" s="6" t="s">
        <v>1212</v>
      </c>
      <c r="D1356" s="6" t="s">
        <v>1761</v>
      </c>
      <c r="E1356" s="6" t="s">
        <v>1929</v>
      </c>
      <c r="F1356" s="6">
        <v>2.0</v>
      </c>
      <c r="G1356" s="13">
        <v>466.27</v>
      </c>
      <c r="H1356" s="6">
        <v>0.11</v>
      </c>
      <c r="I1356" s="6" t="s">
        <v>1967</v>
      </c>
      <c r="J1356" s="13">
        <v>829.9606</v>
      </c>
      <c r="K1356" s="6" t="str">
        <f t="shared" si="1"/>
        <v>Low Earnings</v>
      </c>
    </row>
    <row r="1357" ht="14.25" customHeight="1">
      <c r="A1357" s="6" t="s">
        <v>3322</v>
      </c>
      <c r="B1357" s="17">
        <v>45942.0</v>
      </c>
      <c r="C1357" s="6" t="s">
        <v>1256</v>
      </c>
      <c r="D1357" s="6" t="s">
        <v>1773</v>
      </c>
      <c r="E1357" s="6" t="s">
        <v>1939</v>
      </c>
      <c r="F1357" s="6">
        <v>3.0</v>
      </c>
      <c r="G1357" s="13">
        <v>969.83</v>
      </c>
      <c r="H1357" s="6">
        <v>0.02</v>
      </c>
      <c r="I1357" s="6" t="s">
        <v>1965</v>
      </c>
      <c r="J1357" s="13">
        <v>2851.3002</v>
      </c>
      <c r="K1357" s="6" t="str">
        <f t="shared" si="1"/>
        <v>High Earnings</v>
      </c>
    </row>
    <row r="1358" ht="14.25" customHeight="1">
      <c r="A1358" s="6" t="s">
        <v>3323</v>
      </c>
      <c r="B1358" s="17">
        <v>45824.0</v>
      </c>
      <c r="C1358" s="6" t="s">
        <v>1311</v>
      </c>
      <c r="D1358" s="6" t="s">
        <v>1861</v>
      </c>
      <c r="E1358" s="6" t="s">
        <v>1953</v>
      </c>
      <c r="F1358" s="6">
        <v>2.0</v>
      </c>
      <c r="G1358" s="13">
        <v>782.11</v>
      </c>
      <c r="H1358" s="6">
        <v>0.17</v>
      </c>
      <c r="I1358" s="6" t="s">
        <v>1967</v>
      </c>
      <c r="J1358" s="13">
        <v>1298.3026</v>
      </c>
      <c r="K1358" s="6" t="str">
        <f t="shared" si="1"/>
        <v>Average Earnings</v>
      </c>
    </row>
    <row r="1359" ht="14.25" customHeight="1">
      <c r="A1359" s="6" t="s">
        <v>3324</v>
      </c>
      <c r="B1359" s="17">
        <v>45649.0</v>
      </c>
      <c r="C1359" s="6" t="s">
        <v>1068</v>
      </c>
      <c r="D1359" s="6" t="s">
        <v>1669</v>
      </c>
      <c r="E1359" s="6" t="s">
        <v>1926</v>
      </c>
      <c r="F1359" s="6">
        <v>2.0</v>
      </c>
      <c r="G1359" s="13">
        <v>915.15</v>
      </c>
      <c r="H1359" s="6">
        <v>0.16</v>
      </c>
      <c r="I1359" s="6" t="s">
        <v>1967</v>
      </c>
      <c r="J1359" s="13">
        <v>1537.452</v>
      </c>
      <c r="K1359" s="6" t="str">
        <f t="shared" si="1"/>
        <v>Average Earnings</v>
      </c>
    </row>
    <row r="1360" ht="14.25" customHeight="1">
      <c r="A1360" s="6" t="s">
        <v>3325</v>
      </c>
      <c r="B1360" s="17">
        <v>45921.0</v>
      </c>
      <c r="C1360" s="6" t="s">
        <v>1411</v>
      </c>
      <c r="D1360" s="6" t="s">
        <v>1705</v>
      </c>
      <c r="E1360" s="6" t="s">
        <v>1932</v>
      </c>
      <c r="F1360" s="6">
        <v>2.0</v>
      </c>
      <c r="G1360" s="13">
        <v>74.63</v>
      </c>
      <c r="H1360" s="6">
        <v>0.01</v>
      </c>
      <c r="I1360" s="6" t="s">
        <v>1967</v>
      </c>
      <c r="J1360" s="13">
        <v>147.7674</v>
      </c>
      <c r="K1360" s="6" t="str">
        <f t="shared" si="1"/>
        <v>Low Earnings</v>
      </c>
    </row>
    <row r="1361" ht="14.25" customHeight="1">
      <c r="A1361" s="6" t="s">
        <v>3326</v>
      </c>
      <c r="B1361" s="17">
        <v>45909.0</v>
      </c>
      <c r="C1361" s="6" t="s">
        <v>168</v>
      </c>
      <c r="D1361" s="6" t="s">
        <v>1843</v>
      </c>
      <c r="E1361" s="6" t="s">
        <v>1916</v>
      </c>
      <c r="F1361" s="6">
        <v>3.0</v>
      </c>
      <c r="G1361" s="13">
        <v>522.78</v>
      </c>
      <c r="H1361" s="6">
        <v>0.25</v>
      </c>
      <c r="I1361" s="6" t="s">
        <v>1967</v>
      </c>
      <c r="J1361" s="13">
        <v>1176.255</v>
      </c>
      <c r="K1361" s="6" t="str">
        <f t="shared" si="1"/>
        <v>Average Earnings</v>
      </c>
    </row>
    <row r="1362" ht="14.25" customHeight="1">
      <c r="A1362" s="6" t="s">
        <v>3327</v>
      </c>
      <c r="B1362" s="17">
        <v>45853.0</v>
      </c>
      <c r="C1362" s="6" t="s">
        <v>1077</v>
      </c>
      <c r="D1362" s="6" t="s">
        <v>1615</v>
      </c>
      <c r="E1362" s="6" t="s">
        <v>1941</v>
      </c>
      <c r="F1362" s="6">
        <v>1.0</v>
      </c>
      <c r="G1362" s="13">
        <v>206.45</v>
      </c>
      <c r="H1362" s="6">
        <v>0.15</v>
      </c>
      <c r="I1362" s="6" t="s">
        <v>1967</v>
      </c>
      <c r="J1362" s="13">
        <v>175.4825</v>
      </c>
      <c r="K1362" s="6" t="str">
        <f t="shared" si="1"/>
        <v>Low Earnings</v>
      </c>
    </row>
    <row r="1363" ht="14.25" customHeight="1">
      <c r="A1363" s="6" t="s">
        <v>3328</v>
      </c>
      <c r="B1363" s="17">
        <v>45580.0</v>
      </c>
      <c r="C1363" s="6" t="s">
        <v>501</v>
      </c>
      <c r="D1363" s="6" t="s">
        <v>1795</v>
      </c>
      <c r="E1363" s="6" t="s">
        <v>1913</v>
      </c>
      <c r="F1363" s="6">
        <v>1.0</v>
      </c>
      <c r="G1363" s="13">
        <v>815.53</v>
      </c>
      <c r="H1363" s="6">
        <v>0.3</v>
      </c>
      <c r="I1363" s="6" t="s">
        <v>1967</v>
      </c>
      <c r="J1363" s="13">
        <v>570.871</v>
      </c>
      <c r="K1363" s="6" t="str">
        <f t="shared" si="1"/>
        <v>Low Earnings</v>
      </c>
    </row>
    <row r="1364" ht="14.25" customHeight="1">
      <c r="A1364" s="6" t="s">
        <v>3329</v>
      </c>
      <c r="B1364" s="17">
        <v>45220.0</v>
      </c>
      <c r="C1364" s="6" t="s">
        <v>155</v>
      </c>
      <c r="D1364" s="6" t="s">
        <v>1825</v>
      </c>
      <c r="E1364" s="6" t="s">
        <v>1937</v>
      </c>
      <c r="F1364" s="6">
        <v>1.0</v>
      </c>
      <c r="G1364" s="13">
        <v>823.61</v>
      </c>
      <c r="H1364" s="6">
        <v>0.28</v>
      </c>
      <c r="I1364" s="6" t="s">
        <v>1973</v>
      </c>
      <c r="J1364" s="13">
        <v>592.9992</v>
      </c>
      <c r="K1364" s="6" t="str">
        <f t="shared" si="1"/>
        <v>Low Earnings</v>
      </c>
    </row>
    <row r="1365" ht="14.25" customHeight="1">
      <c r="A1365" s="6" t="s">
        <v>3330</v>
      </c>
      <c r="B1365" s="17">
        <v>45807.0</v>
      </c>
      <c r="C1365" s="6" t="s">
        <v>1488</v>
      </c>
      <c r="D1365" s="6" t="s">
        <v>1849</v>
      </c>
      <c r="E1365" s="6" t="s">
        <v>1926</v>
      </c>
      <c r="F1365" s="6">
        <v>2.0</v>
      </c>
      <c r="G1365" s="13">
        <v>209.96</v>
      </c>
      <c r="H1365" s="6">
        <v>0.0</v>
      </c>
      <c r="I1365" s="6" t="s">
        <v>1965</v>
      </c>
      <c r="J1365" s="13">
        <v>419.92</v>
      </c>
      <c r="K1365" s="6" t="str">
        <f t="shared" si="1"/>
        <v>Low Earnings</v>
      </c>
    </row>
    <row r="1366" ht="14.25" customHeight="1">
      <c r="A1366" s="6" t="s">
        <v>3331</v>
      </c>
      <c r="B1366" s="17">
        <v>45462.0</v>
      </c>
      <c r="C1366" s="6" t="s">
        <v>591</v>
      </c>
      <c r="D1366" s="6" t="s">
        <v>1560</v>
      </c>
      <c r="E1366" s="6" t="s">
        <v>1944</v>
      </c>
      <c r="F1366" s="6">
        <v>4.0</v>
      </c>
      <c r="G1366" s="13">
        <v>897.93</v>
      </c>
      <c r="H1366" s="6">
        <v>0.05</v>
      </c>
      <c r="I1366" s="6" t="s">
        <v>1973</v>
      </c>
      <c r="J1366" s="13">
        <v>3412.134</v>
      </c>
      <c r="K1366" s="6" t="str">
        <f t="shared" si="1"/>
        <v>High Earnings</v>
      </c>
    </row>
    <row r="1367" ht="14.25" customHeight="1">
      <c r="A1367" s="6" t="s">
        <v>3332</v>
      </c>
      <c r="B1367" s="17">
        <v>45646.0</v>
      </c>
      <c r="C1367" s="6" t="s">
        <v>610</v>
      </c>
      <c r="D1367" s="6" t="s">
        <v>1776</v>
      </c>
      <c r="E1367" s="6" t="s">
        <v>1892</v>
      </c>
      <c r="F1367" s="6">
        <v>4.0</v>
      </c>
      <c r="G1367" s="13">
        <v>925.95</v>
      </c>
      <c r="H1367" s="6">
        <v>0.16</v>
      </c>
      <c r="I1367" s="6" t="s">
        <v>1973</v>
      </c>
      <c r="J1367" s="13">
        <v>3111.192</v>
      </c>
      <c r="K1367" s="6" t="str">
        <f t="shared" si="1"/>
        <v>High Earnings</v>
      </c>
    </row>
    <row r="1368" ht="14.25" customHeight="1">
      <c r="A1368" s="6" t="s">
        <v>3333</v>
      </c>
      <c r="B1368" s="17">
        <v>45520.0</v>
      </c>
      <c r="C1368" s="6" t="s">
        <v>312</v>
      </c>
      <c r="D1368" s="6" t="s">
        <v>1740</v>
      </c>
      <c r="E1368" s="6" t="s">
        <v>1916</v>
      </c>
      <c r="F1368" s="6">
        <v>2.0</v>
      </c>
      <c r="G1368" s="13">
        <v>573.09</v>
      </c>
      <c r="H1368" s="6">
        <v>0.03</v>
      </c>
      <c r="I1368" s="6" t="s">
        <v>1973</v>
      </c>
      <c r="J1368" s="13">
        <v>1111.7946</v>
      </c>
      <c r="K1368" s="6" t="str">
        <f t="shared" si="1"/>
        <v>Average Earnings</v>
      </c>
    </row>
    <row r="1369" ht="14.25" customHeight="1">
      <c r="A1369" s="6" t="s">
        <v>3334</v>
      </c>
      <c r="B1369" s="17">
        <v>45731.0</v>
      </c>
      <c r="C1369" s="6" t="s">
        <v>616</v>
      </c>
      <c r="D1369" s="6" t="s">
        <v>1590</v>
      </c>
      <c r="E1369" s="6" t="s">
        <v>1909</v>
      </c>
      <c r="F1369" s="6">
        <v>4.0</v>
      </c>
      <c r="G1369" s="13">
        <v>149.83</v>
      </c>
      <c r="H1369" s="6">
        <v>0.02</v>
      </c>
      <c r="I1369" s="6" t="s">
        <v>1965</v>
      </c>
      <c r="J1369" s="13">
        <v>587.3336</v>
      </c>
      <c r="K1369" s="6" t="str">
        <f t="shared" si="1"/>
        <v>Low Earnings</v>
      </c>
    </row>
    <row r="1370" ht="14.25" customHeight="1">
      <c r="A1370" s="6" t="s">
        <v>3335</v>
      </c>
      <c r="B1370" s="17">
        <v>45677.0</v>
      </c>
      <c r="C1370" s="6" t="s">
        <v>312</v>
      </c>
      <c r="D1370" s="6" t="s">
        <v>1682</v>
      </c>
      <c r="E1370" s="6" t="s">
        <v>1947</v>
      </c>
      <c r="F1370" s="6">
        <f>J1370/(G1370*(1-H1370))</f>
        <v>3</v>
      </c>
      <c r="G1370" s="13">
        <v>863.11</v>
      </c>
      <c r="H1370" s="6">
        <v>0.28</v>
      </c>
      <c r="I1370" s="6" t="s">
        <v>1967</v>
      </c>
      <c r="J1370" s="13">
        <v>1864.3176</v>
      </c>
      <c r="K1370" s="6" t="str">
        <f t="shared" si="1"/>
        <v>Average Earnings</v>
      </c>
    </row>
    <row r="1371" ht="14.25" customHeight="1">
      <c r="A1371" s="6" t="s">
        <v>3336</v>
      </c>
      <c r="B1371" s="17">
        <v>45445.0</v>
      </c>
      <c r="C1371" s="6" t="s">
        <v>19</v>
      </c>
      <c r="D1371" s="6" t="s">
        <v>1740</v>
      </c>
      <c r="E1371" s="6" t="s">
        <v>1939</v>
      </c>
      <c r="F1371" s="6">
        <v>3.0</v>
      </c>
      <c r="G1371" s="13">
        <v>287.71</v>
      </c>
      <c r="H1371" s="6">
        <v>0.03</v>
      </c>
      <c r="I1371" s="6" t="s">
        <v>1973</v>
      </c>
      <c r="J1371" s="13">
        <v>837.2360999999999</v>
      </c>
      <c r="K1371" s="6" t="str">
        <f t="shared" si="1"/>
        <v>Low Earnings</v>
      </c>
    </row>
    <row r="1372" ht="14.25" customHeight="1">
      <c r="A1372" s="6" t="s">
        <v>3337</v>
      </c>
      <c r="B1372" s="17">
        <v>45860.0</v>
      </c>
      <c r="C1372" s="6" t="s">
        <v>346</v>
      </c>
      <c r="D1372" s="6" t="s">
        <v>1788</v>
      </c>
      <c r="E1372" s="6" t="s">
        <v>1916</v>
      </c>
      <c r="F1372" s="6">
        <v>2.0</v>
      </c>
      <c r="G1372" s="13">
        <v>849.8</v>
      </c>
      <c r="H1372" s="6">
        <v>0.06</v>
      </c>
      <c r="I1372" s="6" t="s">
        <v>1973</v>
      </c>
      <c r="J1372" s="13">
        <v>1597.624</v>
      </c>
      <c r="K1372" s="6" t="str">
        <f t="shared" si="1"/>
        <v>Average Earnings</v>
      </c>
    </row>
    <row r="1373" ht="14.25" customHeight="1">
      <c r="A1373" s="6" t="s">
        <v>3338</v>
      </c>
      <c r="B1373" s="17">
        <v>45725.0</v>
      </c>
      <c r="C1373" s="6" t="s">
        <v>82</v>
      </c>
      <c r="D1373" s="6" t="s">
        <v>1708</v>
      </c>
      <c r="E1373" s="6" t="s">
        <v>1906</v>
      </c>
      <c r="F1373" s="6">
        <v>3.0</v>
      </c>
      <c r="G1373" s="13">
        <v>482.58</v>
      </c>
      <c r="H1373" s="6">
        <v>0.28</v>
      </c>
      <c r="I1373" s="6" t="s">
        <v>1967</v>
      </c>
      <c r="J1373" s="13">
        <v>1042.3728</v>
      </c>
      <c r="K1373" s="6" t="str">
        <f t="shared" si="1"/>
        <v>Average Earnings</v>
      </c>
    </row>
    <row r="1374" ht="14.25" customHeight="1">
      <c r="A1374" s="6" t="s">
        <v>3339</v>
      </c>
      <c r="B1374" s="17">
        <v>45699.0</v>
      </c>
      <c r="C1374" s="6" t="s">
        <v>407</v>
      </c>
      <c r="D1374" s="6" t="s">
        <v>1764</v>
      </c>
      <c r="E1374" s="6" t="s">
        <v>1901</v>
      </c>
      <c r="F1374" s="6">
        <v>2.0</v>
      </c>
      <c r="G1374" s="13">
        <v>64.7</v>
      </c>
      <c r="H1374" s="6">
        <v>0.0</v>
      </c>
      <c r="I1374" s="6" t="s">
        <v>1965</v>
      </c>
      <c r="J1374" s="13">
        <v>129.4</v>
      </c>
      <c r="K1374" s="6" t="str">
        <f t="shared" si="1"/>
        <v>Low Earnings</v>
      </c>
    </row>
    <row r="1375" ht="14.25" customHeight="1">
      <c r="A1375" s="6" t="s">
        <v>3340</v>
      </c>
      <c r="B1375" s="17">
        <v>45266.0</v>
      </c>
      <c r="C1375" s="6" t="s">
        <v>510</v>
      </c>
      <c r="D1375" s="6" t="s">
        <v>1581</v>
      </c>
      <c r="E1375" s="6" t="s">
        <v>1913</v>
      </c>
      <c r="F1375" s="6">
        <v>3.0</v>
      </c>
      <c r="G1375" s="13">
        <v>589.83</v>
      </c>
      <c r="H1375" s="6">
        <v>0.26</v>
      </c>
      <c r="I1375" s="6" t="s">
        <v>1965</v>
      </c>
      <c r="J1375" s="13">
        <v>1309.4226</v>
      </c>
      <c r="K1375" s="6" t="str">
        <f t="shared" si="1"/>
        <v>Average Earnings</v>
      </c>
    </row>
    <row r="1376" ht="14.25" customHeight="1">
      <c r="A1376" s="6" t="s">
        <v>3341</v>
      </c>
      <c r="B1376" s="17">
        <v>45889.0</v>
      </c>
      <c r="C1376" s="6" t="s">
        <v>929</v>
      </c>
      <c r="D1376" s="6" t="s">
        <v>1574</v>
      </c>
      <c r="E1376" s="6" t="s">
        <v>1926</v>
      </c>
      <c r="F1376" s="6">
        <v>4.0</v>
      </c>
      <c r="G1376" s="13">
        <v>758.49</v>
      </c>
      <c r="H1376" s="6">
        <v>0.16</v>
      </c>
      <c r="I1376" s="6" t="s">
        <v>1973</v>
      </c>
      <c r="J1376" s="13">
        <v>2548.5264</v>
      </c>
      <c r="K1376" s="6" t="str">
        <f t="shared" si="1"/>
        <v>High Earnings</v>
      </c>
    </row>
    <row r="1377" ht="14.25" customHeight="1">
      <c r="A1377" s="6" t="s">
        <v>3342</v>
      </c>
      <c r="B1377" s="17">
        <v>45555.0</v>
      </c>
      <c r="C1377" s="6" t="s">
        <v>210</v>
      </c>
      <c r="D1377" s="6" t="s">
        <v>1694</v>
      </c>
      <c r="E1377" s="6" t="s">
        <v>1934</v>
      </c>
      <c r="F1377" s="6">
        <v>4.0</v>
      </c>
      <c r="G1377" s="13">
        <v>747.56</v>
      </c>
      <c r="H1377" s="6">
        <v>0.09</v>
      </c>
      <c r="I1377" s="6" t="s">
        <v>1973</v>
      </c>
      <c r="J1377" s="13">
        <v>2721.1184</v>
      </c>
      <c r="K1377" s="6" t="str">
        <f t="shared" si="1"/>
        <v>High Earnings</v>
      </c>
    </row>
    <row r="1378" ht="14.25" customHeight="1">
      <c r="A1378" s="6" t="s">
        <v>3343</v>
      </c>
      <c r="B1378" s="17">
        <v>45813.0</v>
      </c>
      <c r="C1378" s="6" t="s">
        <v>824</v>
      </c>
      <c r="D1378" s="6" t="s">
        <v>1705</v>
      </c>
      <c r="E1378" s="6" t="s">
        <v>1947</v>
      </c>
      <c r="F1378" s="6">
        <v>3.0</v>
      </c>
      <c r="G1378" s="13">
        <v>551.22</v>
      </c>
      <c r="H1378" s="6">
        <v>0.12</v>
      </c>
      <c r="I1378" s="6" t="s">
        <v>1967</v>
      </c>
      <c r="J1378" s="13">
        <v>1455.2208</v>
      </c>
      <c r="K1378" s="6" t="str">
        <f t="shared" si="1"/>
        <v>Average Earnings</v>
      </c>
    </row>
    <row r="1379" ht="14.25" customHeight="1">
      <c r="A1379" s="6" t="s">
        <v>3344</v>
      </c>
      <c r="B1379" s="17">
        <v>45811.0</v>
      </c>
      <c r="C1379" s="6" t="s">
        <v>543</v>
      </c>
      <c r="D1379" s="6" t="s">
        <v>1795</v>
      </c>
      <c r="E1379" s="6" t="s">
        <v>1939</v>
      </c>
      <c r="F1379" s="6">
        <v>2.0</v>
      </c>
      <c r="G1379" s="13">
        <v>527.06</v>
      </c>
      <c r="H1379" s="6">
        <v>0.17</v>
      </c>
      <c r="I1379" s="6" t="s">
        <v>1967</v>
      </c>
      <c r="J1379" s="13">
        <v>874.9195999999998</v>
      </c>
      <c r="K1379" s="6" t="str">
        <f t="shared" si="1"/>
        <v>Low Earnings</v>
      </c>
    </row>
    <row r="1380" ht="14.25" customHeight="1">
      <c r="A1380" s="6" t="s">
        <v>3345</v>
      </c>
      <c r="B1380" s="17">
        <v>45670.0</v>
      </c>
      <c r="C1380" s="6" t="s">
        <v>358</v>
      </c>
      <c r="D1380" s="6" t="s">
        <v>1773</v>
      </c>
      <c r="E1380" s="6" t="s">
        <v>1913</v>
      </c>
      <c r="F1380" s="6">
        <v>4.0</v>
      </c>
      <c r="G1380" s="13">
        <v>875.41</v>
      </c>
      <c r="H1380" s="6">
        <v>0.27</v>
      </c>
      <c r="I1380" s="6" t="s">
        <v>1965</v>
      </c>
      <c r="J1380" s="13">
        <v>2556.1972</v>
      </c>
      <c r="K1380" s="6" t="str">
        <f t="shared" si="1"/>
        <v>High Earnings</v>
      </c>
    </row>
    <row r="1381" ht="14.25" customHeight="1">
      <c r="A1381" s="6" t="s">
        <v>3346</v>
      </c>
      <c r="B1381" s="17">
        <v>45538.0</v>
      </c>
      <c r="C1381" s="6" t="s">
        <v>675</v>
      </c>
      <c r="D1381" s="6" t="s">
        <v>1714</v>
      </c>
      <c r="E1381" s="6" t="s">
        <v>1934</v>
      </c>
      <c r="F1381" s="6">
        <v>2.0</v>
      </c>
      <c r="G1381" s="13">
        <v>209.32</v>
      </c>
      <c r="H1381" s="6">
        <v>0.23</v>
      </c>
      <c r="I1381" s="6" t="s">
        <v>1973</v>
      </c>
      <c r="J1381" s="13">
        <v>322.3528</v>
      </c>
      <c r="K1381" s="6" t="str">
        <f t="shared" si="1"/>
        <v>Low Earnings</v>
      </c>
    </row>
    <row r="1382" ht="14.25" customHeight="1">
      <c r="A1382" s="6" t="s">
        <v>3347</v>
      </c>
      <c r="B1382" s="17">
        <v>45736.0</v>
      </c>
      <c r="C1382" s="6" t="s">
        <v>47</v>
      </c>
      <c r="D1382" s="6" t="s">
        <v>1843</v>
      </c>
      <c r="E1382" s="6" t="s">
        <v>1892</v>
      </c>
      <c r="F1382" s="6">
        <v>2.0</v>
      </c>
      <c r="G1382" s="13">
        <v>226.43</v>
      </c>
      <c r="H1382" s="6">
        <v>0.03</v>
      </c>
      <c r="I1382" s="6" t="s">
        <v>1965</v>
      </c>
      <c r="J1382" s="13">
        <v>439.2742</v>
      </c>
      <c r="K1382" s="6" t="str">
        <f t="shared" si="1"/>
        <v>Low Earnings</v>
      </c>
    </row>
    <row r="1383" ht="14.25" customHeight="1">
      <c r="A1383" s="6" t="s">
        <v>3348</v>
      </c>
      <c r="B1383" s="17">
        <v>45480.0</v>
      </c>
      <c r="C1383" s="6" t="s">
        <v>149</v>
      </c>
      <c r="D1383" s="6" t="s">
        <v>1825</v>
      </c>
      <c r="E1383" s="6" t="s">
        <v>1913</v>
      </c>
      <c r="F1383" s="6">
        <v>2.0</v>
      </c>
      <c r="G1383" s="13">
        <v>285.39</v>
      </c>
      <c r="H1383" s="6">
        <v>0.1</v>
      </c>
      <c r="I1383" s="6" t="s">
        <v>1965</v>
      </c>
      <c r="J1383" s="13">
        <v>513.702</v>
      </c>
      <c r="K1383" s="6" t="str">
        <f t="shared" si="1"/>
        <v>Low Earnings</v>
      </c>
    </row>
    <row r="1384" ht="14.25" customHeight="1">
      <c r="A1384" s="6" t="s">
        <v>3349</v>
      </c>
      <c r="B1384" s="17">
        <v>45929.0</v>
      </c>
      <c r="C1384" s="6" t="s">
        <v>1065</v>
      </c>
      <c r="D1384" s="6" t="s">
        <v>1608</v>
      </c>
      <c r="E1384" s="6" t="s">
        <v>1941</v>
      </c>
      <c r="F1384" s="6">
        <v>2.0</v>
      </c>
      <c r="G1384" s="13">
        <v>298.01</v>
      </c>
      <c r="H1384" s="6">
        <v>0.05</v>
      </c>
      <c r="I1384" s="6" t="s">
        <v>1965</v>
      </c>
      <c r="J1384" s="13">
        <v>566.2189999999999</v>
      </c>
      <c r="K1384" s="6" t="str">
        <f t="shared" si="1"/>
        <v>Low Earnings</v>
      </c>
    </row>
    <row r="1385" ht="14.25" customHeight="1">
      <c r="A1385" s="6" t="s">
        <v>3350</v>
      </c>
      <c r="B1385" s="17">
        <v>45626.0</v>
      </c>
      <c r="C1385" s="6" t="s">
        <v>543</v>
      </c>
      <c r="D1385" s="6" t="s">
        <v>1705</v>
      </c>
      <c r="E1385" s="6" t="s">
        <v>1909</v>
      </c>
      <c r="F1385" s="6">
        <v>4.0</v>
      </c>
      <c r="G1385" s="13">
        <v>753.49</v>
      </c>
      <c r="H1385" s="6">
        <v>0.26</v>
      </c>
      <c r="I1385" s="6" t="s">
        <v>1973</v>
      </c>
      <c r="J1385" s="13">
        <v>2230.3304</v>
      </c>
      <c r="K1385" s="6" t="str">
        <f t="shared" si="1"/>
        <v>Average Earnings</v>
      </c>
    </row>
    <row r="1386" ht="14.25" customHeight="1">
      <c r="A1386" s="6" t="s">
        <v>3351</v>
      </c>
      <c r="B1386" s="17">
        <v>45460.0</v>
      </c>
      <c r="C1386" s="6" t="s">
        <v>1517</v>
      </c>
      <c r="D1386" s="6" t="s">
        <v>1822</v>
      </c>
      <c r="E1386" s="6" t="s">
        <v>1934</v>
      </c>
      <c r="F1386" s="6">
        <v>2.0</v>
      </c>
      <c r="G1386" s="13">
        <v>130.39</v>
      </c>
      <c r="H1386" s="6">
        <v>0.17</v>
      </c>
      <c r="I1386" s="6" t="s">
        <v>1967</v>
      </c>
      <c r="J1386" s="13">
        <v>216.4474</v>
      </c>
      <c r="K1386" s="6" t="str">
        <f t="shared" si="1"/>
        <v>Low Earnings</v>
      </c>
    </row>
    <row r="1387" ht="14.25" customHeight="1">
      <c r="A1387" s="6" t="s">
        <v>3352</v>
      </c>
      <c r="B1387" s="17">
        <v>45709.0</v>
      </c>
      <c r="C1387" s="6" t="s">
        <v>1098</v>
      </c>
      <c r="D1387" s="6" t="s">
        <v>1647</v>
      </c>
      <c r="E1387" s="6" t="s">
        <v>1926</v>
      </c>
      <c r="F1387" s="6">
        <v>4.0</v>
      </c>
      <c r="G1387" s="13">
        <v>164.02</v>
      </c>
      <c r="H1387" s="6">
        <v>0.01</v>
      </c>
      <c r="I1387" s="6" t="s">
        <v>1967</v>
      </c>
      <c r="J1387" s="13">
        <v>649.5192000000001</v>
      </c>
      <c r="K1387" s="6" t="str">
        <f t="shared" si="1"/>
        <v>Low Earnings</v>
      </c>
    </row>
    <row r="1388" ht="14.25" customHeight="1">
      <c r="A1388" s="6" t="s">
        <v>3353</v>
      </c>
      <c r="B1388" s="17">
        <v>45551.0</v>
      </c>
      <c r="C1388" s="6" t="s">
        <v>558</v>
      </c>
      <c r="D1388" s="6" t="s">
        <v>1669</v>
      </c>
      <c r="E1388" s="6" t="s">
        <v>1909</v>
      </c>
      <c r="F1388" s="6">
        <v>2.0</v>
      </c>
      <c r="G1388" s="13">
        <v>527.51</v>
      </c>
      <c r="H1388" s="6">
        <v>0.18</v>
      </c>
      <c r="I1388" s="6" t="s">
        <v>1967</v>
      </c>
      <c r="J1388" s="13">
        <v>865.1164</v>
      </c>
      <c r="K1388" s="6" t="str">
        <f t="shared" si="1"/>
        <v>Low Earnings</v>
      </c>
    </row>
    <row r="1389" ht="14.25" customHeight="1">
      <c r="A1389" s="6" t="s">
        <v>3354</v>
      </c>
      <c r="B1389" s="17">
        <v>45939.0</v>
      </c>
      <c r="C1389" s="6" t="s">
        <v>824</v>
      </c>
      <c r="D1389" s="6" t="s">
        <v>1758</v>
      </c>
      <c r="E1389" s="6" t="s">
        <v>1937</v>
      </c>
      <c r="F1389" s="6">
        <v>3.0</v>
      </c>
      <c r="G1389" s="13">
        <v>628.18</v>
      </c>
      <c r="H1389" s="6">
        <v>0.26</v>
      </c>
      <c r="I1389" s="6" t="s">
        <v>1965</v>
      </c>
      <c r="J1389" s="13">
        <v>1394.5596</v>
      </c>
      <c r="K1389" s="6" t="str">
        <f t="shared" si="1"/>
        <v>Average Earnings</v>
      </c>
    </row>
    <row r="1390" ht="14.25" customHeight="1">
      <c r="A1390" s="6" t="s">
        <v>3355</v>
      </c>
      <c r="B1390" s="17">
        <v>45553.0</v>
      </c>
      <c r="C1390" s="6" t="s">
        <v>872</v>
      </c>
      <c r="D1390" s="6" t="s">
        <v>1755</v>
      </c>
      <c r="E1390" s="6" t="s">
        <v>1906</v>
      </c>
      <c r="F1390" s="6">
        <v>1.0</v>
      </c>
      <c r="G1390" s="13">
        <v>862.31</v>
      </c>
      <c r="H1390" s="6">
        <v>0.06</v>
      </c>
      <c r="I1390" s="6" t="s">
        <v>1965</v>
      </c>
      <c r="J1390" s="13">
        <v>810.5713999999999</v>
      </c>
      <c r="K1390" s="6" t="str">
        <f t="shared" si="1"/>
        <v>Low Earnings</v>
      </c>
    </row>
    <row r="1391" ht="14.25" customHeight="1">
      <c r="A1391" s="6" t="s">
        <v>3356</v>
      </c>
      <c r="B1391" s="17">
        <v>45806.0</v>
      </c>
      <c r="C1391" s="6" t="s">
        <v>269</v>
      </c>
      <c r="D1391" s="6" t="s">
        <v>1837</v>
      </c>
      <c r="E1391" s="6" t="s">
        <v>1939</v>
      </c>
      <c r="F1391" s="6">
        <v>2.0</v>
      </c>
      <c r="G1391" s="13">
        <v>541.39</v>
      </c>
      <c r="H1391" s="6">
        <v>0.03</v>
      </c>
      <c r="I1391" s="6" t="s">
        <v>1973</v>
      </c>
      <c r="J1391" s="13">
        <v>1050.2966</v>
      </c>
      <c r="K1391" s="6" t="str">
        <f t="shared" si="1"/>
        <v>Average Earnings</v>
      </c>
    </row>
    <row r="1392" ht="14.25" customHeight="1">
      <c r="A1392" s="6" t="s">
        <v>3357</v>
      </c>
      <c r="B1392" s="17">
        <v>45606.0</v>
      </c>
      <c r="C1392" s="6" t="s">
        <v>1465</v>
      </c>
      <c r="D1392" s="6" t="s">
        <v>1764</v>
      </c>
      <c r="E1392" s="6" t="s">
        <v>1922</v>
      </c>
      <c r="F1392" s="6">
        <v>4.0</v>
      </c>
      <c r="G1392" s="13">
        <v>288.6</v>
      </c>
      <c r="H1392" s="6">
        <v>0.09</v>
      </c>
      <c r="I1392" s="6" t="s">
        <v>1967</v>
      </c>
      <c r="J1392" s="13">
        <v>1050.504</v>
      </c>
      <c r="K1392" s="6" t="str">
        <f t="shared" si="1"/>
        <v>Average Earnings</v>
      </c>
    </row>
    <row r="1393" ht="14.25" customHeight="1">
      <c r="A1393" s="6" t="s">
        <v>3358</v>
      </c>
      <c r="B1393" s="17">
        <v>45811.0</v>
      </c>
      <c r="C1393" s="6" t="s">
        <v>1485</v>
      </c>
      <c r="D1393" s="6" t="s">
        <v>1816</v>
      </c>
      <c r="E1393" s="6" t="s">
        <v>1944</v>
      </c>
      <c r="F1393" s="6">
        <v>3.0</v>
      </c>
      <c r="G1393" s="13">
        <v>761.8</v>
      </c>
      <c r="H1393" s="6">
        <v>0.06</v>
      </c>
      <c r="I1393" s="6" t="s">
        <v>1973</v>
      </c>
      <c r="J1393" s="13">
        <v>2148.275999999999</v>
      </c>
      <c r="K1393" s="6" t="str">
        <f t="shared" si="1"/>
        <v>Average Earnings</v>
      </c>
    </row>
    <row r="1394" ht="14.25" customHeight="1">
      <c r="A1394" s="6" t="s">
        <v>3359</v>
      </c>
      <c r="B1394" s="17">
        <v>45508.0</v>
      </c>
      <c r="C1394" s="6" t="s">
        <v>1326</v>
      </c>
      <c r="D1394" s="6" t="s">
        <v>1733</v>
      </c>
      <c r="E1394" s="6" t="s">
        <v>1901</v>
      </c>
      <c r="F1394" s="6">
        <v>4.0</v>
      </c>
      <c r="G1394" s="13">
        <v>829.36</v>
      </c>
      <c r="H1394" s="6">
        <v>0.11</v>
      </c>
      <c r="I1394" s="6" t="s">
        <v>1967</v>
      </c>
      <c r="J1394" s="13">
        <v>2952.5216</v>
      </c>
      <c r="K1394" s="6" t="str">
        <f t="shared" si="1"/>
        <v>High Earnings</v>
      </c>
    </row>
    <row r="1395" ht="14.25" customHeight="1">
      <c r="A1395" s="6" t="s">
        <v>3360</v>
      </c>
      <c r="B1395" s="17">
        <v>45460.0</v>
      </c>
      <c r="C1395" s="6" t="s">
        <v>1273</v>
      </c>
      <c r="D1395" s="6" t="s">
        <v>1650</v>
      </c>
      <c r="E1395" s="6" t="s">
        <v>1944</v>
      </c>
      <c r="F1395" s="6">
        <v>2.0</v>
      </c>
      <c r="G1395" s="13">
        <v>425.06</v>
      </c>
      <c r="H1395" s="6">
        <v>0.09</v>
      </c>
      <c r="I1395" s="6" t="s">
        <v>1967</v>
      </c>
      <c r="J1395" s="13">
        <v>773.6092</v>
      </c>
      <c r="K1395" s="6" t="str">
        <f t="shared" si="1"/>
        <v>Low Earnings</v>
      </c>
    </row>
    <row r="1396" ht="14.25" customHeight="1">
      <c r="A1396" s="6" t="s">
        <v>3361</v>
      </c>
      <c r="B1396" s="17">
        <v>45311.0</v>
      </c>
      <c r="C1396" s="6" t="s">
        <v>447</v>
      </c>
      <c r="D1396" s="6" t="s">
        <v>1752</v>
      </c>
      <c r="E1396" s="6" t="s">
        <v>1892</v>
      </c>
      <c r="F1396" s="6">
        <v>2.0</v>
      </c>
      <c r="G1396" s="13">
        <v>911.14</v>
      </c>
      <c r="H1396" s="6">
        <v>0.1</v>
      </c>
      <c r="I1396" s="6" t="s">
        <v>1965</v>
      </c>
      <c r="J1396" s="13">
        <v>1640.052</v>
      </c>
      <c r="K1396" s="6" t="str">
        <f t="shared" si="1"/>
        <v>Average Earnings</v>
      </c>
    </row>
    <row r="1397" ht="14.25" customHeight="1">
      <c r="A1397" s="6" t="s">
        <v>3362</v>
      </c>
      <c r="B1397" s="17">
        <v>45906.0</v>
      </c>
      <c r="C1397" s="6" t="s">
        <v>312</v>
      </c>
      <c r="D1397" s="6" t="s">
        <v>1791</v>
      </c>
      <c r="E1397" s="6" t="s">
        <v>1922</v>
      </c>
      <c r="F1397" s="6">
        <v>3.0</v>
      </c>
      <c r="G1397" s="13">
        <v>811.96</v>
      </c>
      <c r="H1397" s="6">
        <v>0.29</v>
      </c>
      <c r="I1397" s="6" t="s">
        <v>1965</v>
      </c>
      <c r="J1397" s="13">
        <v>1729.4748</v>
      </c>
      <c r="K1397" s="6" t="str">
        <f t="shared" si="1"/>
        <v>Average Earnings</v>
      </c>
    </row>
    <row r="1398" ht="14.25" customHeight="1">
      <c r="A1398" s="6" t="s">
        <v>3363</v>
      </c>
      <c r="B1398" s="17">
        <v>45380.0</v>
      </c>
      <c r="C1398" s="6" t="s">
        <v>884</v>
      </c>
      <c r="D1398" s="6" t="s">
        <v>1675</v>
      </c>
      <c r="E1398" s="6" t="s">
        <v>1929</v>
      </c>
      <c r="F1398" s="6">
        <v>2.0</v>
      </c>
      <c r="G1398" s="13">
        <v>780.05</v>
      </c>
      <c r="H1398" s="6">
        <v>0.12</v>
      </c>
      <c r="I1398" s="6" t="s">
        <v>1973</v>
      </c>
      <c r="J1398" s="13">
        <v>1372.888</v>
      </c>
      <c r="K1398" s="6" t="str">
        <f t="shared" si="1"/>
        <v>Average Earnings</v>
      </c>
    </row>
    <row r="1399" ht="14.25" customHeight="1">
      <c r="A1399" s="6" t="s">
        <v>3364</v>
      </c>
      <c r="B1399" s="17">
        <v>45527.0</v>
      </c>
      <c r="C1399" s="6" t="s">
        <v>711</v>
      </c>
      <c r="D1399" s="6" t="s">
        <v>1679</v>
      </c>
      <c r="E1399" s="6" t="s">
        <v>1926</v>
      </c>
      <c r="F1399" s="6">
        <v>4.0</v>
      </c>
      <c r="G1399" s="13">
        <v>315.95</v>
      </c>
      <c r="H1399" s="6">
        <v>0.19</v>
      </c>
      <c r="I1399" s="6" t="s">
        <v>1973</v>
      </c>
      <c r="J1399" s="13">
        <v>1023.678</v>
      </c>
      <c r="K1399" s="6" t="str">
        <f t="shared" si="1"/>
        <v>Average Earnings</v>
      </c>
    </row>
    <row r="1400" ht="14.25" customHeight="1">
      <c r="A1400" s="6" t="s">
        <v>3365</v>
      </c>
      <c r="B1400" s="17">
        <v>45796.0</v>
      </c>
      <c r="C1400" s="6" t="s">
        <v>752</v>
      </c>
      <c r="D1400" s="6" t="s">
        <v>1743</v>
      </c>
      <c r="E1400" s="6" t="s">
        <v>1926</v>
      </c>
      <c r="F1400" s="6">
        <v>2.0</v>
      </c>
      <c r="G1400" s="13">
        <v>810.17</v>
      </c>
      <c r="H1400" s="6">
        <v>0.27</v>
      </c>
      <c r="I1400" s="6" t="s">
        <v>1965</v>
      </c>
      <c r="J1400" s="13">
        <v>1182.8482</v>
      </c>
      <c r="K1400" s="6" t="str">
        <f t="shared" si="1"/>
        <v>Average Earnings</v>
      </c>
    </row>
    <row r="1401" ht="14.25" customHeight="1">
      <c r="A1401" s="6" t="s">
        <v>3366</v>
      </c>
      <c r="B1401" s="17">
        <v>45389.0</v>
      </c>
      <c r="C1401" s="6" t="s">
        <v>681</v>
      </c>
      <c r="D1401" s="6" t="s">
        <v>1840</v>
      </c>
      <c r="E1401" s="6" t="s">
        <v>1909</v>
      </c>
      <c r="F1401" s="6">
        <v>3.0</v>
      </c>
      <c r="G1401" s="13">
        <v>505.01</v>
      </c>
      <c r="H1401" s="6">
        <v>0.02</v>
      </c>
      <c r="I1401" s="6" t="s">
        <v>1967</v>
      </c>
      <c r="J1401" s="13">
        <v>1484.7294</v>
      </c>
      <c r="K1401" s="6" t="str">
        <f t="shared" si="1"/>
        <v>Average Earnings</v>
      </c>
    </row>
    <row r="1402" ht="14.25" customHeight="1">
      <c r="A1402" s="6" t="s">
        <v>3367</v>
      </c>
      <c r="B1402" s="17">
        <v>45315.0</v>
      </c>
      <c r="C1402" s="6" t="s">
        <v>1456</v>
      </c>
      <c r="D1402" s="6" t="s">
        <v>1804</v>
      </c>
      <c r="E1402" s="6" t="s">
        <v>1947</v>
      </c>
      <c r="F1402" s="6">
        <v>2.0</v>
      </c>
      <c r="G1402" s="13">
        <v>736.75</v>
      </c>
      <c r="H1402" s="6">
        <v>0.18</v>
      </c>
      <c r="I1402" s="6" t="s">
        <v>1965</v>
      </c>
      <c r="J1402" s="13">
        <v>1208.27</v>
      </c>
      <c r="K1402" s="6" t="str">
        <f t="shared" si="1"/>
        <v>Average Earnings</v>
      </c>
    </row>
    <row r="1403" ht="14.25" customHeight="1">
      <c r="A1403" s="6" t="s">
        <v>3368</v>
      </c>
      <c r="B1403" s="17">
        <v>45570.0</v>
      </c>
      <c r="C1403" s="6" t="s">
        <v>266</v>
      </c>
      <c r="D1403" s="6" t="s">
        <v>1822</v>
      </c>
      <c r="E1403" s="6" t="s">
        <v>1944</v>
      </c>
      <c r="F1403" s="6">
        <v>1.0</v>
      </c>
      <c r="G1403" s="13">
        <v>418.69</v>
      </c>
      <c r="H1403" s="6">
        <v>0.06</v>
      </c>
      <c r="I1403" s="6" t="s">
        <v>1967</v>
      </c>
      <c r="J1403" s="13">
        <v>393.5686</v>
      </c>
      <c r="K1403" s="6" t="str">
        <f t="shared" si="1"/>
        <v>Low Earnings</v>
      </c>
    </row>
    <row r="1404" ht="14.25" customHeight="1">
      <c r="A1404" s="6" t="s">
        <v>3369</v>
      </c>
      <c r="B1404" s="17">
        <v>45311.0</v>
      </c>
      <c r="C1404" s="6" t="s">
        <v>122</v>
      </c>
      <c r="D1404" s="6" t="s">
        <v>1819</v>
      </c>
      <c r="E1404" s="6" t="s">
        <v>1926</v>
      </c>
      <c r="F1404" s="6">
        <v>4.0</v>
      </c>
      <c r="G1404" s="13">
        <v>700.31</v>
      </c>
      <c r="H1404" s="6">
        <v>0.2</v>
      </c>
      <c r="I1404" s="6" t="s">
        <v>1967</v>
      </c>
      <c r="J1404" s="13">
        <v>2240.992</v>
      </c>
      <c r="K1404" s="6" t="str">
        <f t="shared" si="1"/>
        <v>Average Earnings</v>
      </c>
    </row>
    <row r="1405" ht="14.25" customHeight="1">
      <c r="A1405" s="6" t="s">
        <v>3370</v>
      </c>
      <c r="B1405" s="17">
        <v>45270.0</v>
      </c>
      <c r="C1405" s="6" t="s">
        <v>453</v>
      </c>
      <c r="D1405" s="6" t="s">
        <v>1861</v>
      </c>
      <c r="E1405" s="6" t="s">
        <v>1932</v>
      </c>
      <c r="F1405" s="6">
        <v>4.0</v>
      </c>
      <c r="G1405" s="13">
        <v>202.46</v>
      </c>
      <c r="H1405" s="6">
        <v>0.24</v>
      </c>
      <c r="I1405" s="6" t="s">
        <v>1965</v>
      </c>
      <c r="J1405" s="13">
        <v>615.4784000000001</v>
      </c>
      <c r="K1405" s="6" t="str">
        <f t="shared" si="1"/>
        <v>Low Earnings</v>
      </c>
    </row>
    <row r="1406" ht="14.25" customHeight="1">
      <c r="A1406" s="6" t="s">
        <v>3371</v>
      </c>
      <c r="B1406" s="17">
        <v>45279.0</v>
      </c>
      <c r="C1406" s="6" t="s">
        <v>861</v>
      </c>
      <c r="D1406" s="6" t="s">
        <v>1849</v>
      </c>
      <c r="E1406" s="6" t="s">
        <v>1897</v>
      </c>
      <c r="F1406" s="6">
        <v>2.0</v>
      </c>
      <c r="G1406" s="13">
        <v>291.84</v>
      </c>
      <c r="H1406" s="6">
        <v>0.25</v>
      </c>
      <c r="I1406" s="6" t="s">
        <v>1967</v>
      </c>
      <c r="J1406" s="13">
        <v>437.76</v>
      </c>
      <c r="K1406" s="6" t="str">
        <f t="shared" si="1"/>
        <v>Low Earnings</v>
      </c>
    </row>
    <row r="1407" ht="14.25" customHeight="1">
      <c r="A1407" s="6" t="s">
        <v>3372</v>
      </c>
      <c r="B1407" s="17">
        <v>45252.0</v>
      </c>
      <c r="C1407" s="6" t="s">
        <v>555</v>
      </c>
      <c r="D1407" s="6" t="s">
        <v>1879</v>
      </c>
      <c r="E1407" s="6" t="s">
        <v>1913</v>
      </c>
      <c r="F1407" s="6">
        <v>2.0</v>
      </c>
      <c r="G1407" s="13">
        <v>261.48</v>
      </c>
      <c r="H1407" s="6">
        <v>0.17</v>
      </c>
      <c r="I1407" s="6" t="s">
        <v>1965</v>
      </c>
      <c r="J1407" s="13">
        <v>434.0568</v>
      </c>
      <c r="K1407" s="6" t="str">
        <f t="shared" si="1"/>
        <v>Low Earnings</v>
      </c>
    </row>
    <row r="1408" ht="14.25" customHeight="1">
      <c r="A1408" s="6" t="s">
        <v>3373</v>
      </c>
      <c r="B1408" s="17">
        <v>45938.0</v>
      </c>
      <c r="C1408" s="6" t="s">
        <v>963</v>
      </c>
      <c r="D1408" s="6" t="s">
        <v>1691</v>
      </c>
      <c r="E1408" s="6" t="s">
        <v>1939</v>
      </c>
      <c r="F1408" s="6">
        <v>1.0</v>
      </c>
      <c r="G1408" s="13">
        <v>850.83</v>
      </c>
      <c r="H1408" s="6">
        <v>0.28</v>
      </c>
      <c r="I1408" s="6" t="s">
        <v>1967</v>
      </c>
      <c r="J1408" s="13">
        <v>612.5976</v>
      </c>
      <c r="K1408" s="6" t="str">
        <f t="shared" si="1"/>
        <v>Low Earnings</v>
      </c>
    </row>
    <row r="1409" ht="14.25" customHeight="1">
      <c r="A1409" s="6" t="s">
        <v>3374</v>
      </c>
      <c r="B1409" s="17">
        <v>45711.0</v>
      </c>
      <c r="C1409" s="6" t="s">
        <v>1276</v>
      </c>
      <c r="D1409" s="6" t="s">
        <v>1723</v>
      </c>
      <c r="E1409" s="6" t="s">
        <v>1926</v>
      </c>
      <c r="F1409" s="6">
        <v>1.0</v>
      </c>
      <c r="G1409" s="13">
        <v>83.83</v>
      </c>
      <c r="H1409" s="6">
        <v>0.05</v>
      </c>
      <c r="I1409" s="6" t="s">
        <v>1965</v>
      </c>
      <c r="J1409" s="13">
        <v>79.6385</v>
      </c>
      <c r="K1409" s="6" t="str">
        <f t="shared" si="1"/>
        <v>Low Earnings</v>
      </c>
    </row>
    <row r="1410" ht="14.25" customHeight="1">
      <c r="A1410" s="6" t="s">
        <v>3375</v>
      </c>
      <c r="B1410" s="17">
        <v>45713.0</v>
      </c>
      <c r="C1410" s="6" t="s">
        <v>43</v>
      </c>
      <c r="D1410" s="6" t="s">
        <v>1852</v>
      </c>
      <c r="E1410" s="6" t="s">
        <v>1944</v>
      </c>
      <c r="F1410" s="6">
        <v>3.0</v>
      </c>
      <c r="G1410" s="13">
        <v>649.95</v>
      </c>
      <c r="H1410" s="6">
        <v>0.28</v>
      </c>
      <c r="I1410" s="6" t="s">
        <v>1973</v>
      </c>
      <c r="J1410" s="13">
        <v>1403.892</v>
      </c>
      <c r="K1410" s="6" t="str">
        <f t="shared" si="1"/>
        <v>Average Earnings</v>
      </c>
    </row>
    <row r="1411" ht="14.25" customHeight="1">
      <c r="A1411" s="6" t="s">
        <v>3376</v>
      </c>
      <c r="B1411" s="17">
        <v>45565.0</v>
      </c>
      <c r="C1411" s="6" t="s">
        <v>1161</v>
      </c>
      <c r="D1411" s="6" t="s">
        <v>1807</v>
      </c>
      <c r="E1411" s="6" t="s">
        <v>1916</v>
      </c>
      <c r="F1411" s="6">
        <v>4.0</v>
      </c>
      <c r="G1411" s="13">
        <v>934.96</v>
      </c>
      <c r="H1411" s="6">
        <v>0.18</v>
      </c>
      <c r="I1411" s="6" t="s">
        <v>1967</v>
      </c>
      <c r="J1411" s="13">
        <v>3066.6688</v>
      </c>
      <c r="K1411" s="6" t="str">
        <f t="shared" si="1"/>
        <v>High Earnings</v>
      </c>
    </row>
    <row r="1412" ht="14.25" customHeight="1">
      <c r="A1412" s="6" t="s">
        <v>3377</v>
      </c>
      <c r="B1412" s="17">
        <v>45279.0</v>
      </c>
      <c r="C1412" s="6" t="s">
        <v>684</v>
      </c>
      <c r="D1412" s="6" t="s">
        <v>1630</v>
      </c>
      <c r="E1412" s="6" t="s">
        <v>1939</v>
      </c>
      <c r="F1412" s="6">
        <v>1.0</v>
      </c>
      <c r="G1412" s="13">
        <v>880.89</v>
      </c>
      <c r="H1412" s="6">
        <v>0.13</v>
      </c>
      <c r="I1412" s="6" t="s">
        <v>1973</v>
      </c>
      <c r="J1412" s="13">
        <v>766.3743</v>
      </c>
      <c r="K1412" s="6" t="str">
        <f t="shared" si="1"/>
        <v>Low Earnings</v>
      </c>
    </row>
    <row r="1413" ht="14.25" customHeight="1">
      <c r="A1413" s="6" t="s">
        <v>3378</v>
      </c>
      <c r="B1413" s="17">
        <v>45614.0</v>
      </c>
      <c r="C1413" s="6" t="s">
        <v>1485</v>
      </c>
      <c r="D1413" s="6" t="s">
        <v>1882</v>
      </c>
      <c r="E1413" s="6" t="s">
        <v>1922</v>
      </c>
      <c r="F1413" s="6">
        <v>4.0</v>
      </c>
      <c r="G1413" s="13">
        <v>610.6</v>
      </c>
      <c r="H1413" s="6">
        <v>0.1</v>
      </c>
      <c r="I1413" s="6" t="s">
        <v>1967</v>
      </c>
      <c r="J1413" s="13">
        <v>2198.16</v>
      </c>
      <c r="K1413" s="6" t="str">
        <f t="shared" si="1"/>
        <v>Average Earnings</v>
      </c>
    </row>
    <row r="1414" ht="14.25" customHeight="1">
      <c r="A1414" s="6" t="s">
        <v>3379</v>
      </c>
      <c r="B1414" s="17">
        <v>45466.0</v>
      </c>
      <c r="C1414" s="6" t="s">
        <v>51</v>
      </c>
      <c r="D1414" s="6" t="s">
        <v>1672</v>
      </c>
      <c r="E1414" s="6" t="s">
        <v>1932</v>
      </c>
      <c r="F1414" s="6">
        <v>1.0</v>
      </c>
      <c r="G1414" s="13">
        <v>135.78</v>
      </c>
      <c r="H1414" s="6">
        <v>0.14</v>
      </c>
      <c r="I1414" s="6" t="s">
        <v>1967</v>
      </c>
      <c r="J1414" s="13">
        <v>116.7708</v>
      </c>
      <c r="K1414" s="6" t="str">
        <f t="shared" si="1"/>
        <v>Low Earnings</v>
      </c>
    </row>
    <row r="1415" ht="14.25" customHeight="1">
      <c r="A1415" s="6" t="s">
        <v>3380</v>
      </c>
      <c r="B1415" s="17">
        <v>45912.0</v>
      </c>
      <c r="C1415" s="6" t="s">
        <v>283</v>
      </c>
      <c r="D1415" s="6" t="s">
        <v>1666</v>
      </c>
      <c r="E1415" s="6" t="s">
        <v>1950</v>
      </c>
      <c r="F1415" s="6">
        <v>1.0</v>
      </c>
      <c r="G1415" s="13">
        <v>514.19</v>
      </c>
      <c r="H1415" s="6">
        <v>0.2</v>
      </c>
      <c r="I1415" s="6" t="s">
        <v>1965</v>
      </c>
      <c r="J1415" s="13">
        <v>411.3520000000001</v>
      </c>
      <c r="K1415" s="6" t="str">
        <f t="shared" si="1"/>
        <v>Low Earnings</v>
      </c>
    </row>
    <row r="1416" ht="14.25" customHeight="1">
      <c r="A1416" s="6" t="s">
        <v>3381</v>
      </c>
      <c r="B1416" s="17">
        <v>45688.0</v>
      </c>
      <c r="C1416" s="6" t="s">
        <v>1259</v>
      </c>
      <c r="D1416" s="6" t="s">
        <v>1694</v>
      </c>
      <c r="E1416" s="6" t="s">
        <v>1937</v>
      </c>
      <c r="F1416" s="6">
        <v>1.0</v>
      </c>
      <c r="G1416" s="13">
        <v>546.2</v>
      </c>
      <c r="H1416" s="6">
        <v>0.22</v>
      </c>
      <c r="I1416" s="6" t="s">
        <v>1967</v>
      </c>
      <c r="J1416" s="13">
        <v>426.0360000000001</v>
      </c>
      <c r="K1416" s="6" t="str">
        <f t="shared" si="1"/>
        <v>Low Earnings</v>
      </c>
    </row>
    <row r="1417" ht="14.25" customHeight="1">
      <c r="A1417" s="6" t="s">
        <v>3382</v>
      </c>
      <c r="B1417" s="17">
        <v>45591.0</v>
      </c>
      <c r="C1417" s="6" t="s">
        <v>658</v>
      </c>
      <c r="D1417" s="6" t="s">
        <v>1694</v>
      </c>
      <c r="E1417" s="6" t="s">
        <v>1892</v>
      </c>
      <c r="F1417" s="6">
        <v>3.0</v>
      </c>
      <c r="G1417" s="13">
        <v>416.01</v>
      </c>
      <c r="H1417" s="6">
        <v>0.02</v>
      </c>
      <c r="I1417" s="6" t="s">
        <v>1965</v>
      </c>
      <c r="J1417" s="13">
        <v>1223.0694</v>
      </c>
      <c r="K1417" s="6" t="str">
        <f t="shared" si="1"/>
        <v>Average Earnings</v>
      </c>
    </row>
    <row r="1418" ht="14.25" customHeight="1">
      <c r="A1418" s="6" t="s">
        <v>3383</v>
      </c>
      <c r="B1418" s="17">
        <v>45864.0</v>
      </c>
      <c r="C1418" s="6" t="s">
        <v>1215</v>
      </c>
      <c r="D1418" s="6" t="s">
        <v>1810</v>
      </c>
      <c r="E1418" s="6" t="s">
        <v>1929</v>
      </c>
      <c r="F1418" s="6">
        <v>1.0</v>
      </c>
      <c r="G1418" s="13">
        <v>30.94</v>
      </c>
      <c r="H1418" s="6">
        <v>0.21</v>
      </c>
      <c r="I1418" s="6" t="s">
        <v>1973</v>
      </c>
      <c r="J1418" s="13">
        <v>24.4426</v>
      </c>
      <c r="K1418" s="6" t="str">
        <f t="shared" si="1"/>
        <v>Low Earnings</v>
      </c>
    </row>
    <row r="1419" ht="14.25" customHeight="1">
      <c r="A1419" s="6" t="s">
        <v>3384</v>
      </c>
      <c r="B1419" s="17">
        <v>45875.0</v>
      </c>
      <c r="C1419" s="6" t="s">
        <v>666</v>
      </c>
      <c r="D1419" s="6" t="s">
        <v>1761</v>
      </c>
      <c r="E1419" s="6" t="s">
        <v>1944</v>
      </c>
      <c r="F1419" s="6">
        <v>3.0</v>
      </c>
      <c r="G1419" s="13">
        <v>666.39</v>
      </c>
      <c r="H1419" s="6">
        <v>0.21</v>
      </c>
      <c r="I1419" s="6" t="s">
        <v>1973</v>
      </c>
      <c r="J1419" s="13">
        <v>1579.3443</v>
      </c>
      <c r="K1419" s="6" t="str">
        <f t="shared" si="1"/>
        <v>Average Earnings</v>
      </c>
    </row>
    <row r="1420" ht="14.25" customHeight="1">
      <c r="A1420" s="6" t="s">
        <v>3385</v>
      </c>
      <c r="B1420" s="17">
        <v>45797.0</v>
      </c>
      <c r="C1420" s="6" t="s">
        <v>564</v>
      </c>
      <c r="D1420" s="6" t="s">
        <v>1831</v>
      </c>
      <c r="E1420" s="6" t="s">
        <v>1929</v>
      </c>
      <c r="F1420" s="6">
        <v>2.0</v>
      </c>
      <c r="G1420" s="13">
        <v>145.26</v>
      </c>
      <c r="H1420" s="6">
        <v>0.19</v>
      </c>
      <c r="I1420" s="6" t="s">
        <v>1967</v>
      </c>
      <c r="J1420" s="13">
        <v>235.3212</v>
      </c>
      <c r="K1420" s="6" t="str">
        <f t="shared" si="1"/>
        <v>Low Earnings</v>
      </c>
    </row>
    <row r="1421" ht="14.25" customHeight="1">
      <c r="A1421" s="6" t="s">
        <v>3386</v>
      </c>
      <c r="B1421" s="17">
        <v>45364.0</v>
      </c>
      <c r="C1421" s="6" t="s">
        <v>419</v>
      </c>
      <c r="D1421" s="6" t="s">
        <v>1861</v>
      </c>
      <c r="E1421" s="6" t="s">
        <v>1913</v>
      </c>
      <c r="F1421" s="6">
        <v>4.0</v>
      </c>
      <c r="G1421" s="13">
        <v>940.77</v>
      </c>
      <c r="H1421" s="6">
        <v>0.24</v>
      </c>
      <c r="I1421" s="6" t="s">
        <v>1973</v>
      </c>
      <c r="J1421" s="13">
        <v>2859.9408</v>
      </c>
      <c r="K1421" s="6" t="str">
        <f t="shared" si="1"/>
        <v>High Earnings</v>
      </c>
    </row>
    <row r="1422" ht="14.25" customHeight="1">
      <c r="A1422" s="6" t="s">
        <v>3387</v>
      </c>
      <c r="B1422" s="17">
        <v>45700.0</v>
      </c>
      <c r="C1422" s="6" t="s">
        <v>1462</v>
      </c>
      <c r="D1422" s="6" t="s">
        <v>1723</v>
      </c>
      <c r="E1422" s="6" t="s">
        <v>1947</v>
      </c>
      <c r="F1422" s="6">
        <v>1.0</v>
      </c>
      <c r="G1422" s="13">
        <v>708.88</v>
      </c>
      <c r="H1422" s="6">
        <v>0.09</v>
      </c>
      <c r="I1422" s="6" t="s">
        <v>1965</v>
      </c>
      <c r="J1422" s="13">
        <v>645.0808000000001</v>
      </c>
      <c r="K1422" s="6" t="str">
        <f t="shared" si="1"/>
        <v>Low Earnings</v>
      </c>
    </row>
    <row r="1423" ht="14.25" customHeight="1">
      <c r="A1423" s="6" t="s">
        <v>3388</v>
      </c>
      <c r="B1423" s="17">
        <v>45924.0</v>
      </c>
      <c r="C1423" s="6" t="s">
        <v>984</v>
      </c>
      <c r="D1423" s="6" t="s">
        <v>1672</v>
      </c>
      <c r="E1423" s="6" t="s">
        <v>1901</v>
      </c>
      <c r="F1423" s="6">
        <v>1.0</v>
      </c>
      <c r="G1423" s="13">
        <v>790.73</v>
      </c>
      <c r="H1423" s="6">
        <v>0.24</v>
      </c>
      <c r="I1423" s="6" t="s">
        <v>1967</v>
      </c>
      <c r="J1423" s="13">
        <v>600.9548</v>
      </c>
      <c r="K1423" s="6" t="str">
        <f t="shared" si="1"/>
        <v>Low Earnings</v>
      </c>
    </row>
    <row r="1424" ht="14.25" customHeight="1">
      <c r="A1424" s="6" t="s">
        <v>3389</v>
      </c>
      <c r="B1424" s="17">
        <v>45574.0</v>
      </c>
      <c r="C1424" s="6" t="s">
        <v>1405</v>
      </c>
      <c r="D1424" s="6" t="s">
        <v>1622</v>
      </c>
      <c r="E1424" s="6" t="s">
        <v>1926</v>
      </c>
      <c r="F1424" s="6">
        <v>3.0</v>
      </c>
      <c r="G1424" s="13">
        <v>635.13</v>
      </c>
      <c r="H1424" s="6">
        <v>0.09</v>
      </c>
      <c r="I1424" s="6" t="s">
        <v>1967</v>
      </c>
      <c r="J1424" s="13">
        <v>1733.9049</v>
      </c>
      <c r="K1424" s="6" t="str">
        <f t="shared" si="1"/>
        <v>Average Earnings</v>
      </c>
    </row>
    <row r="1425" ht="14.25" customHeight="1">
      <c r="A1425" s="6" t="s">
        <v>3390</v>
      </c>
      <c r="B1425" s="17">
        <v>45218.0</v>
      </c>
      <c r="C1425" s="6" t="s">
        <v>675</v>
      </c>
      <c r="D1425" s="6" t="s">
        <v>1717</v>
      </c>
      <c r="E1425" s="6" t="s">
        <v>1947</v>
      </c>
      <c r="F1425" s="6">
        <v>1.0</v>
      </c>
      <c r="G1425" s="13">
        <v>517.13</v>
      </c>
      <c r="H1425" s="6">
        <v>0.28</v>
      </c>
      <c r="I1425" s="6" t="s">
        <v>1965</v>
      </c>
      <c r="J1425" s="13">
        <v>372.3336</v>
      </c>
      <c r="K1425" s="6" t="str">
        <f t="shared" si="1"/>
        <v>Low Earnings</v>
      </c>
    </row>
    <row r="1426" ht="14.25" customHeight="1">
      <c r="A1426" s="6" t="s">
        <v>3391</v>
      </c>
      <c r="B1426" s="17">
        <v>45233.0</v>
      </c>
      <c r="C1426" s="6" t="s">
        <v>864</v>
      </c>
      <c r="D1426" s="6" t="s">
        <v>1867</v>
      </c>
      <c r="E1426" s="6" t="s">
        <v>1939</v>
      </c>
      <c r="F1426" s="6">
        <v>1.0</v>
      </c>
      <c r="G1426" s="13">
        <v>744.88</v>
      </c>
      <c r="H1426" s="6">
        <v>0.15</v>
      </c>
      <c r="I1426" s="6" t="s">
        <v>1973</v>
      </c>
      <c r="J1426" s="13">
        <v>633.148</v>
      </c>
      <c r="K1426" s="6" t="str">
        <f t="shared" si="1"/>
        <v>Low Earnings</v>
      </c>
    </row>
    <row r="1427" ht="14.25" customHeight="1">
      <c r="A1427" s="6" t="s">
        <v>3392</v>
      </c>
      <c r="B1427" s="17">
        <v>45745.0</v>
      </c>
      <c r="C1427" s="6" t="s">
        <v>616</v>
      </c>
      <c r="D1427" s="6" t="s">
        <v>1666</v>
      </c>
      <c r="E1427" s="6" t="s">
        <v>1897</v>
      </c>
      <c r="F1427" s="6">
        <v>3.0</v>
      </c>
      <c r="G1427" s="13">
        <v>205.34</v>
      </c>
      <c r="H1427" s="6">
        <v>0.25</v>
      </c>
      <c r="I1427" s="6" t="s">
        <v>1965</v>
      </c>
      <c r="J1427" s="13">
        <v>462.015</v>
      </c>
      <c r="K1427" s="6" t="str">
        <f t="shared" si="1"/>
        <v>Low Earnings</v>
      </c>
    </row>
    <row r="1428" ht="14.25" customHeight="1">
      <c r="A1428" s="6" t="s">
        <v>3393</v>
      </c>
      <c r="B1428" s="17">
        <v>45851.0</v>
      </c>
      <c r="C1428" s="6" t="s">
        <v>1317</v>
      </c>
      <c r="D1428" s="6" t="s">
        <v>1669</v>
      </c>
      <c r="E1428" s="6" t="s">
        <v>1922</v>
      </c>
      <c r="F1428" s="6">
        <v>2.0</v>
      </c>
      <c r="G1428" s="13">
        <v>756.8</v>
      </c>
      <c r="H1428" s="6">
        <v>0.15</v>
      </c>
      <c r="I1428" s="6" t="s">
        <v>1965</v>
      </c>
      <c r="J1428" s="13">
        <v>1286.56</v>
      </c>
      <c r="K1428" s="6" t="str">
        <f t="shared" si="1"/>
        <v>Average Earnings</v>
      </c>
    </row>
    <row r="1429" ht="14.25" customHeight="1">
      <c r="A1429" s="6" t="s">
        <v>3394</v>
      </c>
      <c r="B1429" s="17">
        <v>45308.0</v>
      </c>
      <c r="C1429" s="6" t="s">
        <v>180</v>
      </c>
      <c r="D1429" s="6" t="s">
        <v>1643</v>
      </c>
      <c r="E1429" s="6" t="s">
        <v>1929</v>
      </c>
      <c r="F1429" s="6">
        <v>1.0</v>
      </c>
      <c r="G1429" s="13">
        <v>771.73</v>
      </c>
      <c r="H1429" s="6">
        <v>0.2</v>
      </c>
      <c r="I1429" s="6" t="s">
        <v>1965</v>
      </c>
      <c r="J1429" s="13">
        <v>617.384</v>
      </c>
      <c r="K1429" s="6" t="str">
        <f t="shared" si="1"/>
        <v>Low Earnings</v>
      </c>
    </row>
    <row r="1430" ht="14.25" customHeight="1">
      <c r="A1430" s="6" t="s">
        <v>3395</v>
      </c>
      <c r="B1430" s="17">
        <v>45639.0</v>
      </c>
      <c r="C1430" s="6" t="s">
        <v>1491</v>
      </c>
      <c r="D1430" s="6" t="s">
        <v>1785</v>
      </c>
      <c r="E1430" s="6" t="s">
        <v>1947</v>
      </c>
      <c r="F1430" s="6">
        <v>1.0</v>
      </c>
      <c r="G1430" s="13">
        <v>440.19</v>
      </c>
      <c r="H1430" s="6">
        <v>0.03</v>
      </c>
      <c r="I1430" s="6" t="s">
        <v>1967</v>
      </c>
      <c r="J1430" s="13">
        <v>426.9843</v>
      </c>
      <c r="K1430" s="6" t="str">
        <f t="shared" si="1"/>
        <v>Low Earnings</v>
      </c>
    </row>
    <row r="1431" ht="14.25" customHeight="1">
      <c r="A1431" s="6" t="s">
        <v>3396</v>
      </c>
      <c r="B1431" s="17">
        <v>45919.0</v>
      </c>
      <c r="C1431" s="6" t="s">
        <v>189</v>
      </c>
      <c r="D1431" s="6" t="s">
        <v>1577</v>
      </c>
      <c r="E1431" s="6" t="s">
        <v>1901</v>
      </c>
      <c r="F1431" s="6">
        <v>2.0</v>
      </c>
      <c r="G1431" s="13">
        <v>409.0</v>
      </c>
      <c r="H1431" s="6">
        <v>0.17</v>
      </c>
      <c r="I1431" s="6" t="s">
        <v>1965</v>
      </c>
      <c r="J1431" s="13">
        <v>678.9399999999999</v>
      </c>
      <c r="K1431" s="6" t="str">
        <f t="shared" si="1"/>
        <v>Low Earnings</v>
      </c>
    </row>
    <row r="1432" ht="14.25" customHeight="1">
      <c r="A1432" s="6" t="s">
        <v>3397</v>
      </c>
      <c r="B1432" s="17">
        <v>45333.0</v>
      </c>
      <c r="C1432" s="6" t="s">
        <v>1092</v>
      </c>
      <c r="D1432" s="6" t="s">
        <v>1698</v>
      </c>
      <c r="E1432" s="6" t="s">
        <v>1953</v>
      </c>
      <c r="F1432" s="6">
        <v>3.0</v>
      </c>
      <c r="G1432" s="13">
        <v>134.58</v>
      </c>
      <c r="H1432" s="6">
        <v>0.04</v>
      </c>
      <c r="I1432" s="6" t="s">
        <v>1973</v>
      </c>
      <c r="J1432" s="13">
        <v>387.5904</v>
      </c>
      <c r="K1432" s="6" t="str">
        <f t="shared" si="1"/>
        <v>Low Earnings</v>
      </c>
    </row>
    <row r="1433" ht="14.25" customHeight="1">
      <c r="A1433" s="6" t="s">
        <v>3398</v>
      </c>
      <c r="B1433" s="17">
        <v>45811.0</v>
      </c>
      <c r="C1433" s="6" t="s">
        <v>1107</v>
      </c>
      <c r="D1433" s="6" t="s">
        <v>1701</v>
      </c>
      <c r="E1433" s="6" t="s">
        <v>1919</v>
      </c>
      <c r="F1433" s="6">
        <v>4.0</v>
      </c>
      <c r="G1433" s="13">
        <v>284.44</v>
      </c>
      <c r="H1433" s="6">
        <v>0.02</v>
      </c>
      <c r="I1433" s="6" t="s">
        <v>1965</v>
      </c>
      <c r="J1433" s="13">
        <v>1115.0048</v>
      </c>
      <c r="K1433" s="6" t="str">
        <f t="shared" si="1"/>
        <v>Average Earnings</v>
      </c>
    </row>
    <row r="1434" ht="14.25" customHeight="1">
      <c r="A1434" s="6" t="s">
        <v>3399</v>
      </c>
      <c r="B1434" s="17">
        <v>45726.0</v>
      </c>
      <c r="C1434" s="6" t="s">
        <v>1276</v>
      </c>
      <c r="D1434" s="6" t="s">
        <v>1807</v>
      </c>
      <c r="E1434" s="6" t="s">
        <v>1937</v>
      </c>
      <c r="F1434" s="6">
        <v>4.0</v>
      </c>
      <c r="G1434" s="13">
        <v>922.69</v>
      </c>
      <c r="H1434" s="6">
        <v>0.16</v>
      </c>
      <c r="I1434" s="6" t="s">
        <v>1965</v>
      </c>
      <c r="J1434" s="13">
        <v>3100.2384</v>
      </c>
      <c r="K1434" s="6" t="str">
        <f t="shared" si="1"/>
        <v>High Earnings</v>
      </c>
    </row>
    <row r="1435" ht="14.25" customHeight="1">
      <c r="A1435" s="6" t="s">
        <v>3400</v>
      </c>
      <c r="B1435" s="17">
        <v>45644.0</v>
      </c>
      <c r="C1435" s="6" t="s">
        <v>890</v>
      </c>
      <c r="D1435" s="6" t="s">
        <v>1691</v>
      </c>
      <c r="E1435" s="6" t="s">
        <v>1916</v>
      </c>
      <c r="F1435" s="6">
        <v>2.0</v>
      </c>
      <c r="G1435" s="13">
        <v>992.55</v>
      </c>
      <c r="H1435" s="6">
        <v>0.28</v>
      </c>
      <c r="I1435" s="6" t="s">
        <v>1965</v>
      </c>
      <c r="J1435" s="13">
        <v>1429.272</v>
      </c>
      <c r="K1435" s="6" t="str">
        <f t="shared" si="1"/>
        <v>Average Earnings</v>
      </c>
    </row>
    <row r="1436" ht="14.25" customHeight="1">
      <c r="A1436" s="6" t="s">
        <v>3401</v>
      </c>
      <c r="B1436" s="17">
        <v>45607.0</v>
      </c>
      <c r="C1436" s="6" t="s">
        <v>1320</v>
      </c>
      <c r="D1436" s="6" t="s">
        <v>1643</v>
      </c>
      <c r="E1436" s="6" t="s">
        <v>1944</v>
      </c>
      <c r="F1436" s="6">
        <v>2.0</v>
      </c>
      <c r="G1436" s="13">
        <v>384.66</v>
      </c>
      <c r="H1436" s="6">
        <v>0.08</v>
      </c>
      <c r="I1436" s="6" t="s">
        <v>1973</v>
      </c>
      <c r="J1436" s="13">
        <v>707.7744000000001</v>
      </c>
      <c r="K1436" s="6" t="str">
        <f t="shared" si="1"/>
        <v>Low Earnings</v>
      </c>
    </row>
    <row r="1437" ht="14.25" customHeight="1">
      <c r="A1437" s="6" t="s">
        <v>3402</v>
      </c>
      <c r="B1437" s="17">
        <v>45371.0</v>
      </c>
      <c r="C1437" s="6" t="s">
        <v>1314</v>
      </c>
      <c r="D1437" s="6" t="s">
        <v>1855</v>
      </c>
      <c r="E1437" s="6" t="s">
        <v>1950</v>
      </c>
      <c r="F1437" s="6">
        <v>1.0</v>
      </c>
      <c r="G1437" s="13">
        <v>170.43</v>
      </c>
      <c r="H1437" s="6">
        <v>0.03</v>
      </c>
      <c r="I1437" s="6" t="s">
        <v>1965</v>
      </c>
      <c r="J1437" s="13">
        <v>165.3171</v>
      </c>
      <c r="K1437" s="6" t="str">
        <f t="shared" si="1"/>
        <v>Low Earnings</v>
      </c>
    </row>
    <row r="1438" ht="14.25" customHeight="1">
      <c r="A1438" s="6" t="s">
        <v>3403</v>
      </c>
      <c r="B1438" s="17">
        <v>45462.0</v>
      </c>
      <c r="C1438" s="6" t="s">
        <v>736</v>
      </c>
      <c r="D1438" s="6" t="s">
        <v>1804</v>
      </c>
      <c r="E1438" s="6" t="s">
        <v>1901</v>
      </c>
      <c r="F1438" s="6">
        <v>3.0</v>
      </c>
      <c r="G1438" s="13">
        <v>480.51</v>
      </c>
      <c r="H1438" s="6">
        <v>0.03</v>
      </c>
      <c r="I1438" s="6" t="s">
        <v>1965</v>
      </c>
      <c r="J1438" s="13">
        <v>1398.2841</v>
      </c>
      <c r="K1438" s="6" t="str">
        <f t="shared" si="1"/>
        <v>Average Earnings</v>
      </c>
    </row>
    <row r="1439" ht="14.25" customHeight="1">
      <c r="A1439" s="6" t="s">
        <v>3404</v>
      </c>
      <c r="B1439" s="17">
        <v>45632.0</v>
      </c>
      <c r="C1439" s="6" t="s">
        <v>534</v>
      </c>
      <c r="D1439" s="6" t="s">
        <v>1733</v>
      </c>
      <c r="E1439" s="6" t="s">
        <v>1919</v>
      </c>
      <c r="F1439" s="6">
        <v>2.0</v>
      </c>
      <c r="G1439" s="13">
        <v>955.66</v>
      </c>
      <c r="H1439" s="6">
        <v>0.29</v>
      </c>
      <c r="I1439" s="6" t="s">
        <v>1973</v>
      </c>
      <c r="J1439" s="13">
        <v>1357.0372</v>
      </c>
      <c r="K1439" s="6" t="str">
        <f t="shared" si="1"/>
        <v>Average Earnings</v>
      </c>
    </row>
    <row r="1440" ht="14.25" customHeight="1">
      <c r="A1440" s="6" t="s">
        <v>3405</v>
      </c>
      <c r="B1440" s="17">
        <v>45863.0</v>
      </c>
      <c r="C1440" s="6" t="s">
        <v>1411</v>
      </c>
      <c r="D1440" s="6" t="s">
        <v>1804</v>
      </c>
      <c r="E1440" s="6" t="s">
        <v>1892</v>
      </c>
      <c r="F1440" s="6">
        <v>2.0</v>
      </c>
      <c r="G1440" s="13">
        <v>488.02</v>
      </c>
      <c r="H1440" s="6">
        <v>0.27</v>
      </c>
      <c r="I1440" s="6" t="s">
        <v>1967</v>
      </c>
      <c r="J1440" s="13">
        <v>712.5092</v>
      </c>
      <c r="K1440" s="6" t="str">
        <f t="shared" si="1"/>
        <v>Low Earnings</v>
      </c>
    </row>
    <row r="1441" ht="14.25" customHeight="1">
      <c r="A1441" s="6" t="s">
        <v>3406</v>
      </c>
      <c r="B1441" s="17">
        <v>45501.0</v>
      </c>
      <c r="C1441" s="6" t="s">
        <v>785</v>
      </c>
      <c r="D1441" s="6" t="s">
        <v>1633</v>
      </c>
      <c r="E1441" s="6" t="s">
        <v>1892</v>
      </c>
      <c r="F1441" s="6">
        <v>1.0</v>
      </c>
      <c r="G1441" s="13">
        <v>917.17</v>
      </c>
      <c r="H1441" s="6">
        <v>0.13</v>
      </c>
      <c r="I1441" s="6" t="s">
        <v>1973</v>
      </c>
      <c r="J1441" s="13">
        <v>797.9379</v>
      </c>
      <c r="K1441" s="6" t="str">
        <f t="shared" si="1"/>
        <v>Low Earnings</v>
      </c>
    </row>
    <row r="1442" ht="14.25" customHeight="1">
      <c r="A1442" s="6" t="s">
        <v>3407</v>
      </c>
      <c r="B1442" s="17">
        <v>45568.0</v>
      </c>
      <c r="C1442" s="6" t="s">
        <v>1035</v>
      </c>
      <c r="D1442" s="6" t="s">
        <v>1595</v>
      </c>
      <c r="E1442" s="6" t="s">
        <v>1913</v>
      </c>
      <c r="F1442" s="6">
        <v>2.0</v>
      </c>
      <c r="G1442" s="13">
        <v>406.46</v>
      </c>
      <c r="H1442" s="6">
        <v>0.3</v>
      </c>
      <c r="I1442" s="6" t="s">
        <v>1967</v>
      </c>
      <c r="J1442" s="13">
        <v>569.044</v>
      </c>
      <c r="K1442" s="6" t="str">
        <f t="shared" si="1"/>
        <v>Low Earnings</v>
      </c>
    </row>
    <row r="1443" ht="14.25" customHeight="1">
      <c r="A1443" s="6" t="s">
        <v>3408</v>
      </c>
      <c r="B1443" s="17">
        <v>45238.0</v>
      </c>
      <c r="C1443" s="6" t="s">
        <v>761</v>
      </c>
      <c r="D1443" s="6" t="s">
        <v>1873</v>
      </c>
      <c r="E1443" s="6" t="s">
        <v>1892</v>
      </c>
      <c r="F1443" s="6">
        <v>2.0</v>
      </c>
      <c r="G1443" s="13">
        <v>264.39</v>
      </c>
      <c r="H1443" s="6">
        <v>0.11</v>
      </c>
      <c r="I1443" s="6" t="s">
        <v>1973</v>
      </c>
      <c r="J1443" s="13">
        <v>470.6142</v>
      </c>
      <c r="K1443" s="6" t="str">
        <f t="shared" si="1"/>
        <v>Low Earnings</v>
      </c>
    </row>
    <row r="1444" ht="14.25" customHeight="1">
      <c r="A1444" s="6" t="s">
        <v>3409</v>
      </c>
      <c r="B1444" s="17">
        <v>45754.0</v>
      </c>
      <c r="C1444" s="6" t="s">
        <v>640</v>
      </c>
      <c r="D1444" s="6" t="s">
        <v>1791</v>
      </c>
      <c r="E1444" s="6" t="s">
        <v>1944</v>
      </c>
      <c r="F1444" s="6">
        <v>1.0</v>
      </c>
      <c r="G1444" s="13">
        <v>414.97</v>
      </c>
      <c r="H1444" s="6">
        <v>0.22</v>
      </c>
      <c r="I1444" s="6" t="s">
        <v>1967</v>
      </c>
      <c r="J1444" s="13">
        <v>323.6766</v>
      </c>
      <c r="K1444" s="6" t="str">
        <f t="shared" si="1"/>
        <v>Low Earnings</v>
      </c>
    </row>
    <row r="1445" ht="14.25" customHeight="1">
      <c r="A1445" s="6" t="s">
        <v>3410</v>
      </c>
      <c r="B1445" s="17">
        <v>45280.0</v>
      </c>
      <c r="C1445" s="6" t="s">
        <v>504</v>
      </c>
      <c r="D1445" s="6" t="s">
        <v>1657</v>
      </c>
      <c r="E1445" s="6" t="s">
        <v>1934</v>
      </c>
      <c r="F1445" s="6">
        <v>2.0</v>
      </c>
      <c r="G1445" s="13">
        <v>583.51</v>
      </c>
      <c r="H1445" s="6">
        <v>0.2</v>
      </c>
      <c r="I1445" s="6" t="s">
        <v>1973</v>
      </c>
      <c r="J1445" s="13">
        <v>933.616</v>
      </c>
      <c r="K1445" s="6" t="str">
        <f t="shared" si="1"/>
        <v>Low Earnings</v>
      </c>
    </row>
    <row r="1446" ht="14.25" customHeight="1">
      <c r="A1446" s="6" t="s">
        <v>3411</v>
      </c>
      <c r="B1446" s="17">
        <v>45911.0</v>
      </c>
      <c r="C1446" s="6" t="s">
        <v>62</v>
      </c>
      <c r="D1446" s="6" t="s">
        <v>1675</v>
      </c>
      <c r="E1446" s="6" t="s">
        <v>1947</v>
      </c>
      <c r="F1446" s="6">
        <v>1.0</v>
      </c>
      <c r="G1446" s="13">
        <v>659.27</v>
      </c>
      <c r="H1446" s="6">
        <v>0.15</v>
      </c>
      <c r="I1446" s="6" t="s">
        <v>1967</v>
      </c>
      <c r="J1446" s="13">
        <v>560.3795</v>
      </c>
      <c r="K1446" s="6" t="str">
        <f t="shared" si="1"/>
        <v>Low Earnings</v>
      </c>
    </row>
    <row r="1447" ht="14.25" customHeight="1">
      <c r="A1447" s="6" t="s">
        <v>3412</v>
      </c>
      <c r="B1447" s="17">
        <v>45499.0</v>
      </c>
      <c r="C1447" s="6" t="s">
        <v>413</v>
      </c>
      <c r="D1447" s="6" t="s">
        <v>1622</v>
      </c>
      <c r="E1447" s="6" t="s">
        <v>1919</v>
      </c>
      <c r="F1447" s="6">
        <v>3.0</v>
      </c>
      <c r="G1447" s="13">
        <v>147.01</v>
      </c>
      <c r="H1447" s="6">
        <v>0.19</v>
      </c>
      <c r="I1447" s="6" t="s">
        <v>1973</v>
      </c>
      <c r="J1447" s="13">
        <v>357.2343</v>
      </c>
      <c r="K1447" s="6" t="str">
        <f t="shared" si="1"/>
        <v>Low Earnings</v>
      </c>
    </row>
    <row r="1448" ht="14.25" customHeight="1">
      <c r="A1448" s="6" t="s">
        <v>3413</v>
      </c>
      <c r="B1448" s="17">
        <v>45291.0</v>
      </c>
      <c r="C1448" s="6" t="s">
        <v>266</v>
      </c>
      <c r="D1448" s="6" t="s">
        <v>1743</v>
      </c>
      <c r="E1448" s="6" t="s">
        <v>1926</v>
      </c>
      <c r="F1448" s="6">
        <v>3.0</v>
      </c>
      <c r="G1448" s="13">
        <v>83.7</v>
      </c>
      <c r="H1448" s="6">
        <v>0.24</v>
      </c>
      <c r="I1448" s="6" t="s">
        <v>1967</v>
      </c>
      <c r="J1448" s="13">
        <v>190.836</v>
      </c>
      <c r="K1448" s="6" t="str">
        <f t="shared" si="1"/>
        <v>Low Earnings</v>
      </c>
    </row>
    <row r="1449" ht="14.25" customHeight="1">
      <c r="A1449" s="6" t="s">
        <v>3414</v>
      </c>
      <c r="B1449" s="17">
        <v>45627.0</v>
      </c>
      <c r="C1449" s="6" t="s">
        <v>1393</v>
      </c>
      <c r="D1449" s="6" t="s">
        <v>1570</v>
      </c>
      <c r="E1449" s="6" t="s">
        <v>1909</v>
      </c>
      <c r="F1449" s="6">
        <v>4.0</v>
      </c>
      <c r="G1449" s="13">
        <v>106.66</v>
      </c>
      <c r="H1449" s="6">
        <v>0.2</v>
      </c>
      <c r="I1449" s="6" t="s">
        <v>1973</v>
      </c>
      <c r="J1449" s="13">
        <v>341.312</v>
      </c>
      <c r="K1449" s="6" t="str">
        <f t="shared" si="1"/>
        <v>Low Earnings</v>
      </c>
    </row>
    <row r="1450" ht="14.25" customHeight="1">
      <c r="A1450" s="6" t="s">
        <v>3415</v>
      </c>
      <c r="B1450" s="17">
        <v>45617.0</v>
      </c>
      <c r="C1450" s="6" t="s">
        <v>555</v>
      </c>
      <c r="D1450" s="6" t="s">
        <v>1604</v>
      </c>
      <c r="E1450" s="6" t="s">
        <v>1913</v>
      </c>
      <c r="F1450" s="6">
        <v>4.0</v>
      </c>
      <c r="G1450" s="13">
        <v>168.55</v>
      </c>
      <c r="H1450" s="6">
        <v>0.15</v>
      </c>
      <c r="I1450" s="6" t="s">
        <v>1967</v>
      </c>
      <c r="J1450" s="13">
        <v>573.07</v>
      </c>
      <c r="K1450" s="6" t="str">
        <f t="shared" si="1"/>
        <v>Low Earnings</v>
      </c>
    </row>
    <row r="1451" ht="14.25" customHeight="1">
      <c r="A1451" s="6" t="s">
        <v>3416</v>
      </c>
      <c r="B1451" s="17">
        <v>45899.0</v>
      </c>
      <c r="C1451" s="6" t="s">
        <v>1517</v>
      </c>
      <c r="D1451" s="6" t="s">
        <v>1717</v>
      </c>
      <c r="E1451" s="6" t="s">
        <v>1901</v>
      </c>
      <c r="F1451" s="6">
        <v>1.0</v>
      </c>
      <c r="G1451" s="13">
        <v>230.53</v>
      </c>
      <c r="H1451" s="6">
        <v>0.06</v>
      </c>
      <c r="I1451" s="6" t="s">
        <v>1973</v>
      </c>
      <c r="J1451" s="13">
        <v>216.6982</v>
      </c>
      <c r="K1451" s="6" t="str">
        <f t="shared" si="1"/>
        <v>Low Earnings</v>
      </c>
    </row>
    <row r="1452" ht="14.25" customHeight="1">
      <c r="A1452" s="6" t="s">
        <v>3417</v>
      </c>
      <c r="B1452" s="17">
        <v>45889.0</v>
      </c>
      <c r="C1452" s="6" t="s">
        <v>47</v>
      </c>
      <c r="D1452" s="6" t="s">
        <v>1749</v>
      </c>
      <c r="E1452" s="6" t="s">
        <v>1897</v>
      </c>
      <c r="F1452" s="6">
        <v>2.0</v>
      </c>
      <c r="G1452" s="13">
        <v>355.41</v>
      </c>
      <c r="H1452" s="6">
        <v>0.13</v>
      </c>
      <c r="I1452" s="6" t="s">
        <v>1973</v>
      </c>
      <c r="J1452" s="13">
        <v>618.4134</v>
      </c>
      <c r="K1452" s="6" t="str">
        <f t="shared" si="1"/>
        <v>Low Earnings</v>
      </c>
    </row>
    <row r="1453" ht="14.25" customHeight="1">
      <c r="A1453" s="6" t="s">
        <v>3418</v>
      </c>
      <c r="B1453" s="17">
        <v>45943.0</v>
      </c>
      <c r="C1453" s="6" t="s">
        <v>567</v>
      </c>
      <c r="D1453" s="6" t="s">
        <v>1726</v>
      </c>
      <c r="E1453" s="6" t="s">
        <v>1901</v>
      </c>
      <c r="F1453" s="6">
        <v>3.0</v>
      </c>
      <c r="G1453" s="13">
        <v>843.44</v>
      </c>
      <c r="H1453" s="6">
        <v>0.22</v>
      </c>
      <c r="I1453" s="6" t="s">
        <v>1965</v>
      </c>
      <c r="J1453" s="13">
        <v>1973.6496</v>
      </c>
      <c r="K1453" s="6" t="str">
        <f t="shared" si="1"/>
        <v>Average Earnings</v>
      </c>
    </row>
    <row r="1454" ht="14.25" customHeight="1">
      <c r="A1454" s="6" t="s">
        <v>3419</v>
      </c>
      <c r="B1454" s="17">
        <v>45306.0</v>
      </c>
      <c r="C1454" s="6" t="s">
        <v>555</v>
      </c>
      <c r="D1454" s="6" t="s">
        <v>1873</v>
      </c>
      <c r="E1454" s="6" t="s">
        <v>1897</v>
      </c>
      <c r="F1454" s="6">
        <v>1.0</v>
      </c>
      <c r="G1454" s="13">
        <v>301.6</v>
      </c>
      <c r="H1454" s="6">
        <v>0.27</v>
      </c>
      <c r="I1454" s="6" t="s">
        <v>1965</v>
      </c>
      <c r="J1454" s="13">
        <v>220.168</v>
      </c>
      <c r="K1454" s="6" t="str">
        <f t="shared" si="1"/>
        <v>Low Earnings</v>
      </c>
    </row>
    <row r="1455" ht="14.25" customHeight="1">
      <c r="A1455" s="6" t="s">
        <v>3420</v>
      </c>
      <c r="B1455" s="17">
        <v>45772.0</v>
      </c>
      <c r="C1455" s="6" t="s">
        <v>172</v>
      </c>
      <c r="D1455" s="6" t="s">
        <v>1855</v>
      </c>
      <c r="E1455" s="6" t="s">
        <v>1901</v>
      </c>
      <c r="F1455" s="6">
        <v>3.0</v>
      </c>
      <c r="G1455" s="13">
        <v>21.59</v>
      </c>
      <c r="H1455" s="6">
        <v>0.16</v>
      </c>
      <c r="I1455" s="6" t="s">
        <v>1973</v>
      </c>
      <c r="J1455" s="13">
        <v>54.4068</v>
      </c>
      <c r="K1455" s="6" t="str">
        <f t="shared" si="1"/>
        <v>Low Earnings</v>
      </c>
    </row>
    <row r="1456" ht="14.25" customHeight="1">
      <c r="A1456" s="6" t="s">
        <v>3421</v>
      </c>
      <c r="B1456" s="17">
        <v>45346.0</v>
      </c>
      <c r="C1456" s="6" t="s">
        <v>702</v>
      </c>
      <c r="D1456" s="6" t="s">
        <v>1615</v>
      </c>
      <c r="E1456" s="6" t="s">
        <v>1901</v>
      </c>
      <c r="F1456" s="6">
        <v>4.0</v>
      </c>
      <c r="G1456" s="13">
        <v>284.24</v>
      </c>
      <c r="H1456" s="6">
        <v>0.09</v>
      </c>
      <c r="I1456" s="6" t="s">
        <v>1965</v>
      </c>
      <c r="J1456" s="13">
        <v>1034.6336</v>
      </c>
      <c r="K1456" s="6" t="str">
        <f t="shared" si="1"/>
        <v>Average Earnings</v>
      </c>
    </row>
    <row r="1457" ht="14.25" customHeight="1">
      <c r="A1457" s="6" t="s">
        <v>3422</v>
      </c>
      <c r="B1457" s="17">
        <v>45656.0</v>
      </c>
      <c r="C1457" s="6" t="s">
        <v>1167</v>
      </c>
      <c r="D1457" s="6" t="s">
        <v>1581</v>
      </c>
      <c r="E1457" s="6" t="s">
        <v>1926</v>
      </c>
      <c r="F1457" s="6">
        <v>1.0</v>
      </c>
      <c r="G1457" s="13">
        <v>191.6</v>
      </c>
      <c r="H1457" s="6">
        <v>0.27</v>
      </c>
      <c r="I1457" s="6" t="s">
        <v>1967</v>
      </c>
      <c r="J1457" s="13">
        <v>139.868</v>
      </c>
      <c r="K1457" s="6" t="str">
        <f t="shared" si="1"/>
        <v>Low Earnings</v>
      </c>
    </row>
    <row r="1458" ht="14.25" customHeight="1">
      <c r="A1458" s="6" t="s">
        <v>3423</v>
      </c>
      <c r="B1458" s="17">
        <v>45762.0</v>
      </c>
      <c r="C1458" s="6" t="s">
        <v>996</v>
      </c>
      <c r="D1458" s="6" t="s">
        <v>1822</v>
      </c>
      <c r="E1458" s="6" t="s">
        <v>1934</v>
      </c>
      <c r="F1458" s="6">
        <v>2.0</v>
      </c>
      <c r="G1458" s="13">
        <v>616.97</v>
      </c>
      <c r="H1458" s="6">
        <v>0.22</v>
      </c>
      <c r="I1458" s="6" t="s">
        <v>1965</v>
      </c>
      <c r="J1458" s="13">
        <v>962.4732</v>
      </c>
      <c r="K1458" s="6" t="str">
        <f t="shared" si="1"/>
        <v>Low Earnings</v>
      </c>
    </row>
    <row r="1459" ht="14.25" customHeight="1">
      <c r="A1459" s="6" t="s">
        <v>3424</v>
      </c>
      <c r="B1459" s="17">
        <v>45689.0</v>
      </c>
      <c r="C1459" s="6" t="s">
        <v>492</v>
      </c>
      <c r="D1459" s="6" t="s">
        <v>1795</v>
      </c>
      <c r="E1459" s="6" t="s">
        <v>1919</v>
      </c>
      <c r="F1459" s="6">
        <v>3.0</v>
      </c>
      <c r="G1459" s="13">
        <v>76.57</v>
      </c>
      <c r="H1459" s="6">
        <v>0.26</v>
      </c>
      <c r="I1459" s="6" t="s">
        <v>1965</v>
      </c>
      <c r="J1459" s="13">
        <v>169.9854</v>
      </c>
      <c r="K1459" s="6" t="str">
        <f t="shared" si="1"/>
        <v>Low Earnings</v>
      </c>
    </row>
    <row r="1460" ht="14.25" customHeight="1">
      <c r="A1460" s="6" t="s">
        <v>3425</v>
      </c>
      <c r="B1460" s="17">
        <v>45580.0</v>
      </c>
      <c r="C1460" s="6" t="s">
        <v>570</v>
      </c>
      <c r="D1460" s="6" t="s">
        <v>1666</v>
      </c>
      <c r="E1460" s="6" t="s">
        <v>1929</v>
      </c>
      <c r="F1460" s="6">
        <v>3.0</v>
      </c>
      <c r="G1460" s="13">
        <v>125.68</v>
      </c>
      <c r="H1460" s="6">
        <v>0.26</v>
      </c>
      <c r="I1460" s="6" t="s">
        <v>1973</v>
      </c>
      <c r="J1460" s="13">
        <v>279.0096</v>
      </c>
      <c r="K1460" s="6" t="str">
        <f t="shared" si="1"/>
        <v>Low Earnings</v>
      </c>
    </row>
    <row r="1461" ht="14.25" customHeight="1">
      <c r="A1461" s="6" t="s">
        <v>3426</v>
      </c>
      <c r="B1461" s="17">
        <v>45676.0</v>
      </c>
      <c r="C1461" s="6" t="s">
        <v>1119</v>
      </c>
      <c r="D1461" s="6" t="s">
        <v>1714</v>
      </c>
      <c r="E1461" s="6" t="s">
        <v>1909</v>
      </c>
      <c r="F1461" s="6">
        <v>3.0</v>
      </c>
      <c r="G1461" s="13">
        <v>307.48</v>
      </c>
      <c r="H1461" s="6">
        <v>0.24</v>
      </c>
      <c r="I1461" s="6" t="s">
        <v>1965</v>
      </c>
      <c r="J1461" s="13">
        <v>701.0544000000001</v>
      </c>
      <c r="K1461" s="6" t="str">
        <f t="shared" si="1"/>
        <v>Low Earnings</v>
      </c>
    </row>
    <row r="1462" ht="14.25" customHeight="1">
      <c r="A1462" s="6" t="s">
        <v>3427</v>
      </c>
      <c r="B1462" s="17">
        <v>45495.0</v>
      </c>
      <c r="C1462" s="6" t="s">
        <v>957</v>
      </c>
      <c r="D1462" s="6" t="s">
        <v>1570</v>
      </c>
      <c r="E1462" s="6" t="s">
        <v>1953</v>
      </c>
      <c r="F1462" s="6">
        <v>1.0</v>
      </c>
      <c r="G1462" s="13">
        <v>505.23</v>
      </c>
      <c r="H1462" s="6">
        <v>0.11</v>
      </c>
      <c r="I1462" s="6" t="s">
        <v>1965</v>
      </c>
      <c r="J1462" s="13">
        <v>449.6547</v>
      </c>
      <c r="K1462" s="6" t="str">
        <f t="shared" si="1"/>
        <v>Low Earnings</v>
      </c>
    </row>
    <row r="1463" ht="14.25" customHeight="1">
      <c r="A1463" s="6" t="s">
        <v>3428</v>
      </c>
      <c r="B1463" s="17">
        <v>45735.0</v>
      </c>
      <c r="C1463" s="6" t="s">
        <v>1158</v>
      </c>
      <c r="D1463" s="6" t="s">
        <v>1720</v>
      </c>
      <c r="E1463" s="6" t="s">
        <v>1944</v>
      </c>
      <c r="F1463" s="6">
        <v>1.0</v>
      </c>
      <c r="G1463" s="13">
        <v>853.12</v>
      </c>
      <c r="H1463" s="6">
        <v>0.19</v>
      </c>
      <c r="I1463" s="6" t="s">
        <v>1973</v>
      </c>
      <c r="J1463" s="13">
        <v>691.0272</v>
      </c>
      <c r="K1463" s="6" t="str">
        <f t="shared" si="1"/>
        <v>Low Earnings</v>
      </c>
    </row>
    <row r="1464" ht="14.25" customHeight="1">
      <c r="A1464" s="6" t="s">
        <v>3429</v>
      </c>
      <c r="B1464" s="17">
        <v>45312.0</v>
      </c>
      <c r="C1464" s="6" t="s">
        <v>453</v>
      </c>
      <c r="D1464" s="6" t="s">
        <v>1560</v>
      </c>
      <c r="E1464" s="6" t="s">
        <v>1919</v>
      </c>
      <c r="F1464" s="6">
        <v>4.0</v>
      </c>
      <c r="G1464" s="13">
        <v>191.65</v>
      </c>
      <c r="H1464" s="6">
        <v>0.19</v>
      </c>
      <c r="I1464" s="6" t="s">
        <v>1967</v>
      </c>
      <c r="J1464" s="13">
        <v>620.946</v>
      </c>
      <c r="K1464" s="6" t="str">
        <f t="shared" si="1"/>
        <v>Low Earnings</v>
      </c>
    </row>
    <row r="1465" ht="14.25" customHeight="1">
      <c r="A1465" s="6" t="s">
        <v>3430</v>
      </c>
      <c r="B1465" s="17">
        <v>45286.0</v>
      </c>
      <c r="C1465" s="6" t="s">
        <v>546</v>
      </c>
      <c r="D1465" s="6" t="s">
        <v>1726</v>
      </c>
      <c r="E1465" s="6" t="s">
        <v>1906</v>
      </c>
      <c r="F1465" s="6">
        <v>1.0</v>
      </c>
      <c r="G1465" s="13">
        <v>169.69</v>
      </c>
      <c r="H1465" s="6">
        <v>0.22</v>
      </c>
      <c r="I1465" s="6" t="s">
        <v>1965</v>
      </c>
      <c r="J1465" s="13">
        <v>132.3582</v>
      </c>
      <c r="K1465" s="6" t="str">
        <f t="shared" si="1"/>
        <v>Low Earnings</v>
      </c>
    </row>
    <row r="1466" ht="14.25" customHeight="1">
      <c r="A1466" s="6" t="s">
        <v>3431</v>
      </c>
      <c r="B1466" s="17">
        <v>45372.0</v>
      </c>
      <c r="C1466" s="6" t="s">
        <v>591</v>
      </c>
      <c r="D1466" s="6" t="s">
        <v>1773</v>
      </c>
      <c r="E1466" s="6" t="s">
        <v>1939</v>
      </c>
      <c r="F1466" s="6">
        <v>1.0</v>
      </c>
      <c r="G1466" s="13">
        <v>145.43</v>
      </c>
      <c r="H1466" s="6">
        <v>0.08</v>
      </c>
      <c r="I1466" s="6" t="s">
        <v>1965</v>
      </c>
      <c r="J1466" s="13">
        <v>133.7956</v>
      </c>
      <c r="K1466" s="6" t="str">
        <f t="shared" si="1"/>
        <v>Low Earnings</v>
      </c>
    </row>
    <row r="1467" ht="14.25" customHeight="1">
      <c r="A1467" s="6" t="s">
        <v>3432</v>
      </c>
      <c r="B1467" s="17">
        <v>45633.0</v>
      </c>
      <c r="C1467" s="6" t="s">
        <v>312</v>
      </c>
      <c r="D1467" s="6" t="s">
        <v>1867</v>
      </c>
      <c r="E1467" s="6" t="s">
        <v>1934</v>
      </c>
      <c r="F1467" s="6">
        <v>4.0</v>
      </c>
      <c r="G1467" s="13">
        <v>828.35</v>
      </c>
      <c r="H1467" s="6">
        <v>0.17</v>
      </c>
      <c r="I1467" s="6" t="s">
        <v>1965</v>
      </c>
      <c r="J1467" s="13">
        <v>2750.122</v>
      </c>
      <c r="K1467" s="6" t="str">
        <f t="shared" si="1"/>
        <v>High Earnings</v>
      </c>
    </row>
    <row r="1468" ht="14.25" customHeight="1">
      <c r="A1468" s="6" t="s">
        <v>3433</v>
      </c>
      <c r="B1468" s="17">
        <v>45598.0</v>
      </c>
      <c r="C1468" s="6" t="s">
        <v>1149</v>
      </c>
      <c r="D1468" s="6" t="s">
        <v>1873</v>
      </c>
      <c r="E1468" s="6" t="s">
        <v>1919</v>
      </c>
      <c r="F1468" s="6">
        <v>3.0</v>
      </c>
      <c r="G1468" s="13">
        <v>268.76</v>
      </c>
      <c r="H1468" s="6">
        <v>0.01</v>
      </c>
      <c r="I1468" s="6" t="s">
        <v>1967</v>
      </c>
      <c r="J1468" s="13">
        <v>798.2171999999999</v>
      </c>
      <c r="K1468" s="6" t="str">
        <f t="shared" si="1"/>
        <v>Low Earnings</v>
      </c>
    </row>
    <row r="1469" ht="14.25" customHeight="1">
      <c r="A1469" s="6" t="s">
        <v>3434</v>
      </c>
      <c r="B1469" s="17">
        <v>45495.0</v>
      </c>
      <c r="C1469" s="6" t="s">
        <v>764</v>
      </c>
      <c r="D1469" s="6" t="s">
        <v>1852</v>
      </c>
      <c r="E1469" s="6" t="s">
        <v>1892</v>
      </c>
      <c r="F1469" s="6">
        <v>4.0</v>
      </c>
      <c r="G1469" s="13">
        <v>370.09</v>
      </c>
      <c r="H1469" s="6">
        <v>0.22</v>
      </c>
      <c r="I1469" s="6" t="s">
        <v>1973</v>
      </c>
      <c r="J1469" s="13">
        <v>1154.6808</v>
      </c>
      <c r="K1469" s="6" t="str">
        <f t="shared" si="1"/>
        <v>Average Earnings</v>
      </c>
    </row>
    <row r="1470" ht="14.25" customHeight="1">
      <c r="A1470" s="6" t="s">
        <v>3435</v>
      </c>
      <c r="B1470" s="17">
        <v>45894.0</v>
      </c>
      <c r="C1470" s="6" t="s">
        <v>510</v>
      </c>
      <c r="D1470" s="6" t="s">
        <v>1855</v>
      </c>
      <c r="E1470" s="6" t="s">
        <v>1916</v>
      </c>
      <c r="F1470" s="6">
        <v>3.0</v>
      </c>
      <c r="G1470" s="13">
        <f>J1470/(F1470*(1-H1470))</f>
        <v>162.0211</v>
      </c>
      <c r="H1470" s="14">
        <v>0.0</v>
      </c>
      <c r="I1470" s="6" t="s">
        <v>1965</v>
      </c>
      <c r="J1470" s="13">
        <v>486.0633</v>
      </c>
      <c r="K1470" s="6" t="str">
        <f t="shared" si="1"/>
        <v>Low Earnings</v>
      </c>
    </row>
    <row r="1471" ht="14.25" customHeight="1">
      <c r="A1471" s="6" t="s">
        <v>3436</v>
      </c>
      <c r="B1471" s="17">
        <v>45229.0</v>
      </c>
      <c r="C1471" s="6" t="s">
        <v>824</v>
      </c>
      <c r="D1471" s="6" t="s">
        <v>1822</v>
      </c>
      <c r="E1471" s="6" t="s">
        <v>1916</v>
      </c>
      <c r="F1471" s="6">
        <v>3.0</v>
      </c>
      <c r="G1471" s="13">
        <v>679.22</v>
      </c>
      <c r="H1471" s="6">
        <v>0.11</v>
      </c>
      <c r="I1471" s="6" t="s">
        <v>1967</v>
      </c>
      <c r="J1471" s="13">
        <v>1813.5174</v>
      </c>
      <c r="K1471" s="6" t="str">
        <f t="shared" si="1"/>
        <v>Average Earnings</v>
      </c>
    </row>
    <row r="1472" ht="14.25" customHeight="1">
      <c r="A1472" s="6" t="s">
        <v>3437</v>
      </c>
      <c r="B1472" s="17">
        <v>45433.0</v>
      </c>
      <c r="C1472" s="6" t="s">
        <v>1182</v>
      </c>
      <c r="D1472" s="6" t="s">
        <v>1807</v>
      </c>
      <c r="E1472" s="6" t="s">
        <v>1892</v>
      </c>
      <c r="F1472" s="6">
        <v>3.0</v>
      </c>
      <c r="G1472" s="13">
        <v>780.69</v>
      </c>
      <c r="H1472" s="6">
        <v>0.1</v>
      </c>
      <c r="I1472" s="6" t="s">
        <v>1973</v>
      </c>
      <c r="J1472" s="13">
        <v>2107.863</v>
      </c>
      <c r="K1472" s="6" t="str">
        <f t="shared" si="1"/>
        <v>Average Earnings</v>
      </c>
    </row>
    <row r="1473" ht="14.25" customHeight="1">
      <c r="A1473" s="6" t="s">
        <v>3438</v>
      </c>
      <c r="B1473" s="17">
        <v>45766.0</v>
      </c>
      <c r="C1473" s="6" t="s">
        <v>848</v>
      </c>
      <c r="D1473" s="6" t="s">
        <v>1711</v>
      </c>
      <c r="E1473" s="6" t="s">
        <v>1901</v>
      </c>
      <c r="F1473" s="6">
        <v>2.0</v>
      </c>
      <c r="G1473" s="13">
        <v>42.97</v>
      </c>
      <c r="H1473" s="6">
        <v>0.18</v>
      </c>
      <c r="I1473" s="6" t="s">
        <v>1967</v>
      </c>
      <c r="J1473" s="13">
        <v>70.4708</v>
      </c>
      <c r="K1473" s="6" t="str">
        <f t="shared" si="1"/>
        <v>Low Earnings</v>
      </c>
    </row>
    <row r="1474" ht="14.25" customHeight="1">
      <c r="A1474" s="6" t="s">
        <v>3439</v>
      </c>
      <c r="B1474" s="17">
        <v>45639.0</v>
      </c>
      <c r="C1474" s="6" t="s">
        <v>923</v>
      </c>
      <c r="D1474" s="6" t="s">
        <v>1834</v>
      </c>
      <c r="E1474" s="6" t="s">
        <v>1892</v>
      </c>
      <c r="F1474" s="6">
        <v>4.0</v>
      </c>
      <c r="G1474" s="13">
        <v>854.37</v>
      </c>
      <c r="H1474" s="6">
        <v>0.07</v>
      </c>
      <c r="I1474" s="6" t="s">
        <v>1967</v>
      </c>
      <c r="J1474" s="13">
        <v>3178.2564</v>
      </c>
      <c r="K1474" s="6" t="str">
        <f t="shared" si="1"/>
        <v>High Earnings</v>
      </c>
    </row>
    <row r="1475" ht="14.25" customHeight="1">
      <c r="A1475" s="6" t="s">
        <v>3440</v>
      </c>
      <c r="B1475" s="17">
        <v>45774.0</v>
      </c>
      <c r="C1475" s="6" t="s">
        <v>364</v>
      </c>
      <c r="D1475" s="6" t="s">
        <v>1653</v>
      </c>
      <c r="E1475" s="6" t="s">
        <v>1944</v>
      </c>
      <c r="F1475" s="6">
        <v>2.0</v>
      </c>
      <c r="G1475" s="13">
        <v>409.52</v>
      </c>
      <c r="H1475" s="6">
        <v>0.06</v>
      </c>
      <c r="I1475" s="6" t="s">
        <v>1973</v>
      </c>
      <c r="J1475" s="13">
        <v>769.8975999999999</v>
      </c>
      <c r="K1475" s="6" t="str">
        <f t="shared" si="1"/>
        <v>Low Earnings</v>
      </c>
    </row>
    <row r="1476" ht="14.25" customHeight="1">
      <c r="A1476" s="6" t="s">
        <v>3441</v>
      </c>
      <c r="B1476" s="17">
        <v>45569.0</v>
      </c>
      <c r="C1476" s="6" t="s">
        <v>558</v>
      </c>
      <c r="D1476" s="6" t="s">
        <v>1810</v>
      </c>
      <c r="E1476" s="6" t="s">
        <v>1929</v>
      </c>
      <c r="F1476" s="6">
        <v>2.0</v>
      </c>
      <c r="G1476" s="13">
        <v>407.46</v>
      </c>
      <c r="H1476" s="6">
        <v>0.21</v>
      </c>
      <c r="I1476" s="6" t="s">
        <v>1965</v>
      </c>
      <c r="J1476" s="13">
        <v>643.7868</v>
      </c>
      <c r="K1476" s="6" t="str">
        <f t="shared" si="1"/>
        <v>Low Earnings</v>
      </c>
    </row>
    <row r="1477" ht="14.25" customHeight="1">
      <c r="A1477" s="6" t="s">
        <v>3442</v>
      </c>
      <c r="B1477" s="17">
        <v>45856.0</v>
      </c>
      <c r="C1477" s="6" t="s">
        <v>750</v>
      </c>
      <c r="D1477" s="6" t="s">
        <v>1577</v>
      </c>
      <c r="E1477" s="6" t="s">
        <v>1922</v>
      </c>
      <c r="F1477" s="6">
        <v>1.0</v>
      </c>
      <c r="G1477" s="13">
        <v>728.84</v>
      </c>
      <c r="H1477" s="6">
        <v>0.28</v>
      </c>
      <c r="I1477" s="6" t="s">
        <v>1967</v>
      </c>
      <c r="J1477" s="13">
        <v>524.7648</v>
      </c>
      <c r="K1477" s="6" t="str">
        <f t="shared" si="1"/>
        <v>Low Earnings</v>
      </c>
    </row>
    <row r="1478" ht="14.25" customHeight="1">
      <c r="A1478" s="6" t="s">
        <v>3443</v>
      </c>
      <c r="B1478" s="17">
        <v>45362.0</v>
      </c>
      <c r="C1478" s="6" t="s">
        <v>1416</v>
      </c>
      <c r="D1478" s="6" t="s">
        <v>1822</v>
      </c>
      <c r="E1478" s="6" t="s">
        <v>1916</v>
      </c>
      <c r="F1478" s="6">
        <v>4.0</v>
      </c>
      <c r="G1478" s="13">
        <v>467.24</v>
      </c>
      <c r="H1478" s="6">
        <v>0.08</v>
      </c>
      <c r="I1478" s="6" t="s">
        <v>1967</v>
      </c>
      <c r="J1478" s="13">
        <v>1719.4432</v>
      </c>
      <c r="K1478" s="6" t="str">
        <f t="shared" si="1"/>
        <v>Average Earnings</v>
      </c>
    </row>
    <row r="1479" ht="14.25" customHeight="1">
      <c r="A1479" s="6" t="s">
        <v>3444</v>
      </c>
      <c r="B1479" s="17">
        <v>45457.0</v>
      </c>
      <c r="C1479" s="6" t="s">
        <v>340</v>
      </c>
      <c r="D1479" s="6" t="s">
        <v>1604</v>
      </c>
      <c r="E1479" s="6" t="s">
        <v>1932</v>
      </c>
      <c r="F1479" s="6">
        <v>1.0</v>
      </c>
      <c r="G1479" s="13">
        <v>57.94</v>
      </c>
      <c r="H1479" s="6">
        <v>0.13</v>
      </c>
      <c r="I1479" s="6" t="s">
        <v>1967</v>
      </c>
      <c r="J1479" s="13">
        <v>50.40779999999999</v>
      </c>
      <c r="K1479" s="6" t="str">
        <f t="shared" si="1"/>
        <v>Low Earnings</v>
      </c>
    </row>
    <row r="1480" ht="14.25" customHeight="1">
      <c r="A1480" s="6" t="s">
        <v>3445</v>
      </c>
      <c r="B1480" s="17">
        <v>45338.0</v>
      </c>
      <c r="C1480" s="6" t="s">
        <v>1095</v>
      </c>
      <c r="D1480" s="6" t="s">
        <v>1733</v>
      </c>
      <c r="E1480" s="6" t="s">
        <v>1947</v>
      </c>
      <c r="F1480" s="6">
        <v>1.0</v>
      </c>
      <c r="G1480" s="13">
        <v>540.1</v>
      </c>
      <c r="H1480" s="6">
        <v>0.22</v>
      </c>
      <c r="I1480" s="6" t="s">
        <v>1965</v>
      </c>
      <c r="J1480" s="13">
        <v>421.278</v>
      </c>
      <c r="K1480" s="6" t="str">
        <f t="shared" si="1"/>
        <v>Low Earnings</v>
      </c>
    </row>
    <row r="1481" ht="14.25" customHeight="1">
      <c r="A1481" s="6" t="s">
        <v>3446</v>
      </c>
      <c r="B1481" s="17">
        <v>45677.0</v>
      </c>
      <c r="C1481" s="6" t="s">
        <v>1035</v>
      </c>
      <c r="D1481" s="6" t="s">
        <v>1640</v>
      </c>
      <c r="E1481" s="6" t="s">
        <v>1922</v>
      </c>
      <c r="F1481" s="6">
        <v>1.0</v>
      </c>
      <c r="G1481" s="13">
        <v>900.35</v>
      </c>
      <c r="H1481" s="6">
        <v>0.13</v>
      </c>
      <c r="I1481" s="6" t="s">
        <v>1973</v>
      </c>
      <c r="J1481" s="13">
        <v>783.3045</v>
      </c>
      <c r="K1481" s="6" t="str">
        <f t="shared" si="1"/>
        <v>Low Earnings</v>
      </c>
    </row>
    <row r="1482" ht="14.25" customHeight="1">
      <c r="A1482" s="6" t="s">
        <v>3447</v>
      </c>
      <c r="B1482" s="17">
        <v>45552.0</v>
      </c>
      <c r="C1482" s="6" t="s">
        <v>289</v>
      </c>
      <c r="D1482" s="6" t="s">
        <v>1595</v>
      </c>
      <c r="E1482" s="6" t="s">
        <v>1953</v>
      </c>
      <c r="F1482" s="6">
        <v>4.0</v>
      </c>
      <c r="G1482" s="13">
        <v>816.28</v>
      </c>
      <c r="H1482" s="6">
        <v>0.15</v>
      </c>
      <c r="I1482" s="6" t="s">
        <v>1973</v>
      </c>
      <c r="J1482" s="13">
        <v>2775.352</v>
      </c>
      <c r="K1482" s="6" t="str">
        <f t="shared" si="1"/>
        <v>High Earnings</v>
      </c>
    </row>
    <row r="1483" ht="14.25" customHeight="1">
      <c r="A1483" s="6" t="s">
        <v>3448</v>
      </c>
      <c r="B1483" s="17">
        <v>45895.0</v>
      </c>
      <c r="C1483" s="6" t="s">
        <v>601</v>
      </c>
      <c r="D1483" s="6" t="s">
        <v>1711</v>
      </c>
      <c r="E1483" s="6" t="s">
        <v>1922</v>
      </c>
      <c r="F1483" s="6">
        <v>4.0</v>
      </c>
      <c r="G1483" s="13">
        <v>727.49</v>
      </c>
      <c r="H1483" s="6">
        <v>0.11</v>
      </c>
      <c r="I1483" s="6" t="s">
        <v>1965</v>
      </c>
      <c r="J1483" s="13">
        <v>2589.8644</v>
      </c>
      <c r="K1483" s="6" t="str">
        <f t="shared" si="1"/>
        <v>High Earnings</v>
      </c>
    </row>
    <row r="1484" ht="14.25" customHeight="1">
      <c r="A1484" s="6" t="s">
        <v>3449</v>
      </c>
      <c r="B1484" s="17">
        <v>45447.0</v>
      </c>
      <c r="C1484" s="6" t="s">
        <v>579</v>
      </c>
      <c r="D1484" s="6" t="s">
        <v>1846</v>
      </c>
      <c r="E1484" s="6" t="s">
        <v>1937</v>
      </c>
      <c r="F1484" s="6">
        <v>4.0</v>
      </c>
      <c r="G1484" s="13">
        <v>817.92</v>
      </c>
      <c r="H1484" s="6">
        <v>0.21</v>
      </c>
      <c r="I1484" s="6" t="s">
        <v>1965</v>
      </c>
      <c r="J1484" s="13">
        <v>2584.6272</v>
      </c>
      <c r="K1484" s="6" t="str">
        <f t="shared" si="1"/>
        <v>High Earnings</v>
      </c>
    </row>
    <row r="1485" ht="14.25" customHeight="1">
      <c r="A1485" s="6" t="s">
        <v>3450</v>
      </c>
      <c r="B1485" s="17">
        <v>45578.0</v>
      </c>
      <c r="C1485" s="6" t="s">
        <v>1038</v>
      </c>
      <c r="D1485" s="6" t="s">
        <v>1698</v>
      </c>
      <c r="E1485" s="6" t="s">
        <v>1919</v>
      </c>
      <c r="F1485" s="6">
        <v>2.0</v>
      </c>
      <c r="G1485" s="13">
        <v>358.45</v>
      </c>
      <c r="H1485" s="6">
        <v>0.07</v>
      </c>
      <c r="I1485" s="6" t="s">
        <v>1973</v>
      </c>
      <c r="J1485" s="13">
        <v>666.717</v>
      </c>
      <c r="K1485" s="6" t="str">
        <f t="shared" si="1"/>
        <v>Low Earnings</v>
      </c>
    </row>
    <row r="1486" ht="14.25" customHeight="1">
      <c r="A1486" s="6" t="s">
        <v>3451</v>
      </c>
      <c r="B1486" s="17">
        <v>45697.0</v>
      </c>
      <c r="C1486" s="6" t="s">
        <v>669</v>
      </c>
      <c r="D1486" s="6" t="s">
        <v>1849</v>
      </c>
      <c r="E1486" s="6" t="s">
        <v>1926</v>
      </c>
      <c r="F1486" s="6">
        <v>1.0</v>
      </c>
      <c r="G1486" s="13">
        <v>972.06</v>
      </c>
      <c r="H1486" s="6">
        <v>0.3</v>
      </c>
      <c r="I1486" s="6" t="s">
        <v>1973</v>
      </c>
      <c r="J1486" s="13">
        <v>680.4419999999999</v>
      </c>
      <c r="K1486" s="6" t="str">
        <f t="shared" si="1"/>
        <v>Low Earnings</v>
      </c>
    </row>
    <row r="1487" ht="14.25" customHeight="1">
      <c r="A1487" s="6" t="s">
        <v>3452</v>
      </c>
      <c r="B1487" s="17">
        <v>45281.0</v>
      </c>
      <c r="C1487" s="6" t="s">
        <v>138</v>
      </c>
      <c r="D1487" s="6" t="s">
        <v>1626</v>
      </c>
      <c r="E1487" s="6" t="s">
        <v>1892</v>
      </c>
      <c r="F1487" s="6">
        <v>1.0</v>
      </c>
      <c r="G1487" s="13">
        <v>791.36</v>
      </c>
      <c r="H1487" s="6">
        <v>0.06</v>
      </c>
      <c r="I1487" s="6" t="s">
        <v>1967</v>
      </c>
      <c r="J1487" s="13">
        <v>743.8783999999999</v>
      </c>
      <c r="K1487" s="6" t="str">
        <f t="shared" si="1"/>
        <v>Low Earnings</v>
      </c>
    </row>
    <row r="1488" ht="14.25" customHeight="1">
      <c r="A1488" s="6" t="s">
        <v>3453</v>
      </c>
      <c r="B1488" s="17">
        <v>45855.0</v>
      </c>
      <c r="C1488" s="6" t="s">
        <v>1005</v>
      </c>
      <c r="D1488" s="6" t="s">
        <v>1779</v>
      </c>
      <c r="E1488" s="6" t="s">
        <v>1913</v>
      </c>
      <c r="F1488" s="6">
        <v>4.0</v>
      </c>
      <c r="G1488" s="13">
        <v>839.65</v>
      </c>
      <c r="H1488" s="6">
        <v>0.26</v>
      </c>
      <c r="I1488" s="6" t="s">
        <v>1973</v>
      </c>
      <c r="J1488" s="13">
        <v>2485.364</v>
      </c>
      <c r="K1488" s="6" t="str">
        <f t="shared" si="1"/>
        <v>Average Earnings</v>
      </c>
    </row>
    <row r="1489" ht="14.25" customHeight="1">
      <c r="A1489" s="6" t="s">
        <v>3454</v>
      </c>
      <c r="B1489" s="17">
        <v>45793.0</v>
      </c>
      <c r="C1489" s="6" t="s">
        <v>830</v>
      </c>
      <c r="D1489" s="6" t="s">
        <v>1804</v>
      </c>
      <c r="E1489" s="6" t="s">
        <v>1901</v>
      </c>
      <c r="F1489" s="6">
        <v>2.0</v>
      </c>
      <c r="G1489" s="13">
        <v>245.52</v>
      </c>
      <c r="H1489" s="6">
        <v>0.11</v>
      </c>
      <c r="I1489" s="6" t="s">
        <v>1973</v>
      </c>
      <c r="J1489" s="13">
        <v>437.0256</v>
      </c>
      <c r="K1489" s="6" t="str">
        <f t="shared" si="1"/>
        <v>Low Earnings</v>
      </c>
    </row>
    <row r="1490" ht="14.25" customHeight="1">
      <c r="A1490" s="6" t="s">
        <v>3455</v>
      </c>
      <c r="B1490" s="17">
        <v>45881.0</v>
      </c>
      <c r="C1490" s="6" t="s">
        <v>1227</v>
      </c>
      <c r="D1490" s="6" t="s">
        <v>1834</v>
      </c>
      <c r="E1490" s="6" t="s">
        <v>1922</v>
      </c>
      <c r="F1490" s="6">
        <v>3.0</v>
      </c>
      <c r="G1490" s="13">
        <v>787.91</v>
      </c>
      <c r="H1490" s="6">
        <v>0.06</v>
      </c>
      <c r="I1490" s="6" t="s">
        <v>1967</v>
      </c>
      <c r="J1490" s="13">
        <v>2221.9062</v>
      </c>
      <c r="K1490" s="6" t="str">
        <f t="shared" si="1"/>
        <v>Average Earnings</v>
      </c>
    </row>
    <row r="1491" ht="14.25" customHeight="1">
      <c r="A1491" s="6" t="s">
        <v>3456</v>
      </c>
      <c r="B1491" s="17">
        <v>45890.0</v>
      </c>
      <c r="C1491" s="6" t="s">
        <v>210</v>
      </c>
      <c r="D1491" s="6" t="s">
        <v>1813</v>
      </c>
      <c r="E1491" s="6" t="s">
        <v>1909</v>
      </c>
      <c r="F1491" s="6">
        <v>2.0</v>
      </c>
      <c r="G1491" s="13">
        <v>709.17</v>
      </c>
      <c r="H1491" s="6">
        <v>0.22</v>
      </c>
      <c r="I1491" s="6" t="s">
        <v>1965</v>
      </c>
      <c r="J1491" s="13">
        <v>1106.3052</v>
      </c>
      <c r="K1491" s="6" t="str">
        <f t="shared" si="1"/>
        <v>Average Earnings</v>
      </c>
    </row>
    <row r="1492" ht="14.25" customHeight="1">
      <c r="A1492" s="6" t="s">
        <v>3457</v>
      </c>
      <c r="B1492" s="17">
        <v>45706.0</v>
      </c>
      <c r="C1492" s="6" t="s">
        <v>349</v>
      </c>
      <c r="D1492" s="6" t="s">
        <v>1705</v>
      </c>
      <c r="E1492" s="6" t="s">
        <v>1929</v>
      </c>
      <c r="F1492" s="6">
        <v>4.0</v>
      </c>
      <c r="G1492" s="13">
        <v>428.09</v>
      </c>
      <c r="H1492" s="6">
        <v>0.07</v>
      </c>
      <c r="I1492" s="6" t="s">
        <v>1965</v>
      </c>
      <c r="J1492" s="13">
        <v>1592.4948</v>
      </c>
      <c r="K1492" s="6" t="str">
        <f t="shared" si="1"/>
        <v>Average Earnings</v>
      </c>
    </row>
    <row r="1493" ht="14.25" customHeight="1">
      <c r="A1493" s="6" t="s">
        <v>3458</v>
      </c>
      <c r="B1493" s="17">
        <v>45251.0</v>
      </c>
      <c r="C1493" s="6" t="s">
        <v>770</v>
      </c>
      <c r="D1493" s="6" t="s">
        <v>1861</v>
      </c>
      <c r="E1493" s="6" t="s">
        <v>1919</v>
      </c>
      <c r="F1493" s="6">
        <v>2.0</v>
      </c>
      <c r="G1493" s="13">
        <v>533.92</v>
      </c>
      <c r="H1493" s="6">
        <v>0.13</v>
      </c>
      <c r="I1493" s="6" t="s">
        <v>1965</v>
      </c>
      <c r="J1493" s="13">
        <v>929.0207999999999</v>
      </c>
      <c r="K1493" s="6" t="str">
        <f t="shared" si="1"/>
        <v>Low Earnings</v>
      </c>
    </row>
    <row r="1494" ht="14.25" customHeight="1">
      <c r="A1494" s="6" t="s">
        <v>3459</v>
      </c>
      <c r="B1494" s="17">
        <v>45695.0</v>
      </c>
      <c r="C1494" s="6" t="s">
        <v>1529</v>
      </c>
      <c r="D1494" s="6" t="s">
        <v>1711</v>
      </c>
      <c r="E1494" s="6" t="s">
        <v>1892</v>
      </c>
      <c r="F1494" s="6">
        <v>1.0</v>
      </c>
      <c r="G1494" s="13">
        <v>878.84</v>
      </c>
      <c r="H1494" s="6">
        <v>0.28</v>
      </c>
      <c r="I1494" s="6" t="s">
        <v>1973</v>
      </c>
      <c r="J1494" s="13">
        <v>632.7648</v>
      </c>
      <c r="K1494" s="6" t="str">
        <f t="shared" si="1"/>
        <v>Low Earnings</v>
      </c>
    </row>
    <row r="1495" ht="14.25" customHeight="1">
      <c r="A1495" s="6" t="s">
        <v>3460</v>
      </c>
      <c r="B1495" s="17">
        <v>45287.0</v>
      </c>
      <c r="C1495" s="6" t="s">
        <v>678</v>
      </c>
      <c r="D1495" s="6" t="s">
        <v>1717</v>
      </c>
      <c r="E1495" s="6" t="s">
        <v>1944</v>
      </c>
      <c r="F1495" s="6">
        <v>1.0</v>
      </c>
      <c r="G1495" s="13">
        <v>442.36</v>
      </c>
      <c r="H1495" s="6">
        <v>0.14</v>
      </c>
      <c r="I1495" s="6" t="s">
        <v>1965</v>
      </c>
      <c r="J1495" s="13">
        <v>380.4296</v>
      </c>
      <c r="K1495" s="6" t="str">
        <f t="shared" si="1"/>
        <v>Low Earnings</v>
      </c>
    </row>
    <row r="1496" ht="14.25" customHeight="1">
      <c r="A1496" s="6" t="s">
        <v>3461</v>
      </c>
      <c r="B1496" s="17">
        <v>45711.0</v>
      </c>
      <c r="C1496" s="6" t="s">
        <v>1062</v>
      </c>
      <c r="D1496" s="6" t="s">
        <v>1688</v>
      </c>
      <c r="E1496" s="6" t="s">
        <v>1916</v>
      </c>
      <c r="F1496" s="6">
        <v>1.0</v>
      </c>
      <c r="G1496" s="13">
        <v>763.34</v>
      </c>
      <c r="H1496" s="6">
        <v>0.11</v>
      </c>
      <c r="I1496" s="6" t="s">
        <v>1973</v>
      </c>
      <c r="J1496" s="13">
        <v>679.3726</v>
      </c>
      <c r="K1496" s="6" t="str">
        <f t="shared" si="1"/>
        <v>Low Earnings</v>
      </c>
    </row>
    <row r="1497" ht="14.25" customHeight="1">
      <c r="A1497" s="6" t="s">
        <v>3462</v>
      </c>
      <c r="B1497" s="17">
        <v>45842.0</v>
      </c>
      <c r="C1497" s="6" t="s">
        <v>564</v>
      </c>
      <c r="D1497" s="6" t="s">
        <v>1764</v>
      </c>
      <c r="E1497" s="6" t="s">
        <v>1950</v>
      </c>
      <c r="F1497" s="6">
        <v>3.0</v>
      </c>
      <c r="G1497" s="13">
        <v>178.22</v>
      </c>
      <c r="H1497" s="6">
        <v>0.15</v>
      </c>
      <c r="I1497" s="6" t="s">
        <v>1973</v>
      </c>
      <c r="J1497" s="13">
        <v>454.461</v>
      </c>
      <c r="K1497" s="6" t="str">
        <f t="shared" si="1"/>
        <v>Low Earnings</v>
      </c>
    </row>
    <row r="1498" ht="14.25" customHeight="1">
      <c r="A1498" s="6" t="s">
        <v>3463</v>
      </c>
      <c r="B1498" s="17">
        <v>45255.0</v>
      </c>
      <c r="C1498" s="6" t="s">
        <v>374</v>
      </c>
      <c r="D1498" s="6" t="s">
        <v>1660</v>
      </c>
      <c r="E1498" s="6" t="s">
        <v>1897</v>
      </c>
      <c r="F1498" s="6">
        <v>4.0</v>
      </c>
      <c r="G1498" s="13">
        <v>90.32</v>
      </c>
      <c r="H1498" s="6">
        <v>0.08</v>
      </c>
      <c r="I1498" s="6" t="s">
        <v>1967</v>
      </c>
      <c r="J1498" s="13">
        <v>332.3776</v>
      </c>
      <c r="K1498" s="6" t="str">
        <f t="shared" si="1"/>
        <v>Low Earnings</v>
      </c>
    </row>
    <row r="1499" ht="14.25" customHeight="1">
      <c r="A1499" s="6" t="s">
        <v>3464</v>
      </c>
      <c r="B1499" s="17">
        <v>45695.0</v>
      </c>
      <c r="C1499" s="6" t="s">
        <v>1197</v>
      </c>
      <c r="D1499" s="6" t="s">
        <v>1604</v>
      </c>
      <c r="E1499" s="6" t="s">
        <v>1916</v>
      </c>
      <c r="F1499" s="6">
        <v>3.0</v>
      </c>
      <c r="G1499" s="13">
        <v>370.93</v>
      </c>
      <c r="H1499" s="6">
        <v>0.0</v>
      </c>
      <c r="I1499" s="6" t="s">
        <v>1965</v>
      </c>
      <c r="J1499" s="13">
        <v>1112.79</v>
      </c>
      <c r="K1499" s="6" t="str">
        <f t="shared" si="1"/>
        <v>Average Earnings</v>
      </c>
    </row>
    <row r="1500" ht="14.25" customHeight="1">
      <c r="A1500" s="6" t="s">
        <v>3465</v>
      </c>
      <c r="B1500" s="17">
        <v>45281.0</v>
      </c>
      <c r="C1500" s="6" t="s">
        <v>186</v>
      </c>
      <c r="D1500" s="6" t="s">
        <v>1650</v>
      </c>
      <c r="E1500" s="6" t="s">
        <v>1941</v>
      </c>
      <c r="F1500" s="6">
        <v>1.0</v>
      </c>
      <c r="G1500" s="13">
        <v>352.43</v>
      </c>
      <c r="H1500" s="6">
        <v>0.14</v>
      </c>
      <c r="I1500" s="6" t="s">
        <v>1967</v>
      </c>
      <c r="J1500" s="13">
        <v>303.0898</v>
      </c>
      <c r="K1500" s="6" t="str">
        <f t="shared" si="1"/>
        <v>Low Earnings</v>
      </c>
    </row>
    <row r="1501" ht="14.25" customHeight="1">
      <c r="A1501" s="6" t="s">
        <v>3466</v>
      </c>
      <c r="B1501" s="17">
        <v>45295.0</v>
      </c>
      <c r="C1501" s="6" t="s">
        <v>434</v>
      </c>
      <c r="D1501" s="6" t="s">
        <v>1611</v>
      </c>
      <c r="E1501" s="6" t="s">
        <v>1941</v>
      </c>
      <c r="F1501" s="6">
        <v>2.0</v>
      </c>
      <c r="G1501" s="13">
        <v>562.97</v>
      </c>
      <c r="H1501" s="6">
        <v>0.2</v>
      </c>
      <c r="I1501" s="6" t="s">
        <v>1965</v>
      </c>
      <c r="J1501" s="13">
        <v>900.7520000000001</v>
      </c>
      <c r="K1501" s="6" t="str">
        <f t="shared" si="1"/>
        <v>Low Earnings</v>
      </c>
    </row>
    <row r="1502" ht="14.25" customHeight="1">
      <c r="A1502" s="6" t="s">
        <v>3467</v>
      </c>
      <c r="B1502" s="17">
        <v>45260.0</v>
      </c>
      <c r="C1502" s="6" t="s">
        <v>537</v>
      </c>
      <c r="D1502" s="6" t="s">
        <v>1752</v>
      </c>
      <c r="E1502" s="6" t="s">
        <v>1919</v>
      </c>
      <c r="F1502" s="6">
        <v>1.0</v>
      </c>
      <c r="G1502" s="13">
        <v>522.85</v>
      </c>
      <c r="H1502" s="6">
        <v>0.12</v>
      </c>
      <c r="I1502" s="6" t="s">
        <v>1967</v>
      </c>
      <c r="J1502" s="13">
        <v>460.108</v>
      </c>
      <c r="K1502" s="6" t="str">
        <f t="shared" si="1"/>
        <v>Low Earnings</v>
      </c>
    </row>
    <row r="1503" ht="14.25" customHeight="1">
      <c r="A1503" s="6" t="s">
        <v>3468</v>
      </c>
      <c r="B1503" s="17">
        <v>45589.0</v>
      </c>
      <c r="C1503" s="6" t="s">
        <v>1308</v>
      </c>
      <c r="D1503" s="6" t="s">
        <v>1733</v>
      </c>
      <c r="E1503" s="6" t="s">
        <v>1932</v>
      </c>
      <c r="F1503" s="6">
        <v>2.0</v>
      </c>
      <c r="G1503" s="13">
        <v>559.71</v>
      </c>
      <c r="H1503" s="6">
        <v>0.3</v>
      </c>
      <c r="I1503" s="6" t="s">
        <v>1973</v>
      </c>
      <c r="J1503" s="13">
        <v>783.594</v>
      </c>
      <c r="K1503" s="6" t="str">
        <f t="shared" si="1"/>
        <v>Low Earnings</v>
      </c>
    </row>
    <row r="1504" ht="14.25" customHeight="1">
      <c r="A1504" s="6" t="s">
        <v>3469</v>
      </c>
      <c r="B1504" s="17">
        <v>45851.0</v>
      </c>
      <c r="C1504" s="6" t="s">
        <v>1110</v>
      </c>
      <c r="D1504" s="6" t="s">
        <v>1643</v>
      </c>
      <c r="E1504" s="6" t="s">
        <v>1944</v>
      </c>
      <c r="F1504" s="6">
        <v>4.0</v>
      </c>
      <c r="G1504" s="13">
        <v>714.89</v>
      </c>
      <c r="H1504" s="6">
        <v>0.15</v>
      </c>
      <c r="I1504" s="6" t="s">
        <v>1965</v>
      </c>
      <c r="J1504" s="13">
        <v>2430.626</v>
      </c>
      <c r="K1504" s="6" t="str">
        <f t="shared" si="1"/>
        <v>Average Earnings</v>
      </c>
    </row>
    <row r="1505" ht="14.25" customHeight="1">
      <c r="A1505" s="6" t="s">
        <v>3470</v>
      </c>
      <c r="B1505" s="17">
        <v>45222.0</v>
      </c>
      <c r="C1505" s="6" t="s">
        <v>628</v>
      </c>
      <c r="D1505" s="6" t="s">
        <v>1714</v>
      </c>
      <c r="E1505" s="6" t="s">
        <v>1901</v>
      </c>
      <c r="F1505" s="6">
        <v>3.0</v>
      </c>
      <c r="G1505" s="13">
        <v>137.77</v>
      </c>
      <c r="H1505" s="6">
        <v>0.26</v>
      </c>
      <c r="I1505" s="6" t="s">
        <v>1967</v>
      </c>
      <c r="J1505" s="13">
        <v>305.8494000000001</v>
      </c>
      <c r="K1505" s="6" t="str">
        <f t="shared" si="1"/>
        <v>Low Earnings</v>
      </c>
    </row>
    <row r="1506" ht="14.25" customHeight="1">
      <c r="A1506" s="6" t="s">
        <v>3471</v>
      </c>
      <c r="B1506" s="17">
        <v>45940.0</v>
      </c>
      <c r="C1506" s="6" t="s">
        <v>122</v>
      </c>
      <c r="D1506" s="6" t="s">
        <v>1864</v>
      </c>
      <c r="E1506" s="6" t="s">
        <v>1932</v>
      </c>
      <c r="F1506" s="6">
        <v>3.0</v>
      </c>
      <c r="G1506" s="13">
        <v>862.18</v>
      </c>
      <c r="H1506" s="6">
        <v>0.22</v>
      </c>
      <c r="I1506" s="6" t="s">
        <v>1967</v>
      </c>
      <c r="J1506" s="13">
        <v>2017.5012</v>
      </c>
      <c r="K1506" s="6" t="str">
        <f t="shared" si="1"/>
        <v>Average Earnings</v>
      </c>
    </row>
    <row r="1507" ht="14.25" customHeight="1">
      <c r="A1507" s="6" t="s">
        <v>3472</v>
      </c>
      <c r="B1507" s="17">
        <v>45822.0</v>
      </c>
      <c r="C1507" s="6" t="s">
        <v>222</v>
      </c>
      <c r="D1507" s="6" t="s">
        <v>1698</v>
      </c>
      <c r="E1507" s="6" t="s">
        <v>1939</v>
      </c>
      <c r="F1507" s="6">
        <v>2.0</v>
      </c>
      <c r="G1507" s="13">
        <v>833.64</v>
      </c>
      <c r="H1507" s="6">
        <v>0.24</v>
      </c>
      <c r="I1507" s="6" t="s">
        <v>1967</v>
      </c>
      <c r="J1507" s="13">
        <v>1267.1328</v>
      </c>
      <c r="K1507" s="6" t="str">
        <f t="shared" si="1"/>
        <v>Average Earnings</v>
      </c>
    </row>
    <row r="1508" ht="14.25" customHeight="1">
      <c r="A1508" s="6" t="s">
        <v>3473</v>
      </c>
      <c r="B1508" s="17">
        <v>45752.0</v>
      </c>
      <c r="C1508" s="6" t="s">
        <v>875</v>
      </c>
      <c r="D1508" s="6" t="s">
        <v>1636</v>
      </c>
      <c r="E1508" s="6" t="s">
        <v>1941</v>
      </c>
      <c r="F1508" s="6">
        <v>3.0</v>
      </c>
      <c r="G1508" s="13">
        <v>543.22</v>
      </c>
      <c r="H1508" s="6">
        <v>0.05</v>
      </c>
      <c r="I1508" s="6" t="s">
        <v>1973</v>
      </c>
      <c r="J1508" s="13">
        <v>1548.177</v>
      </c>
      <c r="K1508" s="6" t="str">
        <f t="shared" si="1"/>
        <v>Average Earnings</v>
      </c>
    </row>
    <row r="1509" ht="14.25" customHeight="1">
      <c r="A1509" s="6" t="s">
        <v>3474</v>
      </c>
      <c r="B1509" s="17">
        <v>45677.0</v>
      </c>
      <c r="C1509" s="6" t="s">
        <v>899</v>
      </c>
      <c r="D1509" s="6" t="s">
        <v>1852</v>
      </c>
      <c r="E1509" s="6" t="s">
        <v>1901</v>
      </c>
      <c r="F1509" s="6">
        <v>3.0</v>
      </c>
      <c r="G1509" s="13">
        <v>691.02</v>
      </c>
      <c r="H1509" s="6">
        <v>0.12</v>
      </c>
      <c r="I1509" s="6" t="s">
        <v>1973</v>
      </c>
      <c r="J1509" s="13">
        <v>1824.2928</v>
      </c>
      <c r="K1509" s="6" t="str">
        <f t="shared" si="1"/>
        <v>Average Earnings</v>
      </c>
    </row>
    <row r="1510" ht="14.25" customHeight="1">
      <c r="A1510" s="6" t="s">
        <v>3475</v>
      </c>
      <c r="B1510" s="17">
        <v>45253.0</v>
      </c>
      <c r="C1510" s="6" t="s">
        <v>322</v>
      </c>
      <c r="D1510" s="6" t="s">
        <v>1846</v>
      </c>
      <c r="E1510" s="6" t="s">
        <v>1947</v>
      </c>
      <c r="F1510" s="6">
        <v>4.0</v>
      </c>
      <c r="G1510" s="13">
        <v>338.73</v>
      </c>
      <c r="H1510" s="6">
        <v>0.18</v>
      </c>
      <c r="I1510" s="6" t="s">
        <v>1965</v>
      </c>
      <c r="J1510" s="13">
        <v>1111.0344</v>
      </c>
      <c r="K1510" s="6" t="str">
        <f t="shared" si="1"/>
        <v>Average Earnings</v>
      </c>
    </row>
    <row r="1511" ht="14.25" customHeight="1">
      <c r="A1511" s="6" t="s">
        <v>3476</v>
      </c>
      <c r="B1511" s="17">
        <v>45389.0</v>
      </c>
      <c r="C1511" s="6" t="s">
        <v>238</v>
      </c>
      <c r="D1511" s="6" t="s">
        <v>1840</v>
      </c>
      <c r="E1511" s="6" t="s">
        <v>1944</v>
      </c>
      <c r="F1511" s="6">
        <v>3.0</v>
      </c>
      <c r="G1511" s="13">
        <v>366.08</v>
      </c>
      <c r="H1511" s="6">
        <v>0.05</v>
      </c>
      <c r="I1511" s="6" t="s">
        <v>1965</v>
      </c>
      <c r="J1511" s="13">
        <v>1043.328</v>
      </c>
      <c r="K1511" s="6" t="str">
        <f t="shared" si="1"/>
        <v>Average Earnings</v>
      </c>
    </row>
    <row r="1512" ht="14.25" customHeight="1">
      <c r="A1512" s="6" t="s">
        <v>3477</v>
      </c>
      <c r="B1512" s="17">
        <v>45840.0</v>
      </c>
      <c r="C1512" s="6" t="s">
        <v>380</v>
      </c>
      <c r="D1512" s="6" t="s">
        <v>1615</v>
      </c>
      <c r="E1512" s="6" t="s">
        <v>1937</v>
      </c>
      <c r="F1512" s="6">
        <v>4.0</v>
      </c>
      <c r="G1512" s="13">
        <v>539.48</v>
      </c>
      <c r="H1512" s="6">
        <v>0.28</v>
      </c>
      <c r="I1512" s="6" t="s">
        <v>1973</v>
      </c>
      <c r="J1512" s="13">
        <v>1553.7024</v>
      </c>
      <c r="K1512" s="6" t="str">
        <f t="shared" si="1"/>
        <v>Average Earnings</v>
      </c>
    </row>
    <row r="1513" ht="14.25" customHeight="1">
      <c r="A1513" s="6" t="s">
        <v>3478</v>
      </c>
      <c r="B1513" s="17">
        <v>45256.0</v>
      </c>
      <c r="C1513" s="6" t="s">
        <v>1230</v>
      </c>
      <c r="D1513" s="6" t="s">
        <v>1861</v>
      </c>
      <c r="E1513" s="6" t="s">
        <v>1944</v>
      </c>
      <c r="F1513" s="6">
        <v>1.0</v>
      </c>
      <c r="G1513" s="13">
        <v>499.59</v>
      </c>
      <c r="H1513" s="6">
        <v>0.03</v>
      </c>
      <c r="I1513" s="6" t="s">
        <v>1973</v>
      </c>
      <c r="J1513" s="13">
        <v>484.6023</v>
      </c>
      <c r="K1513" s="6" t="str">
        <f t="shared" si="1"/>
        <v>Low Earnings</v>
      </c>
    </row>
    <row r="1514" ht="14.25" customHeight="1">
      <c r="A1514" s="6" t="s">
        <v>3479</v>
      </c>
      <c r="B1514" s="17">
        <v>45282.0</v>
      </c>
      <c r="C1514" s="6" t="s">
        <v>300</v>
      </c>
      <c r="D1514" s="6" t="s">
        <v>1685</v>
      </c>
      <c r="E1514" s="6" t="s">
        <v>1916</v>
      </c>
      <c r="F1514" s="6">
        <v>2.0</v>
      </c>
      <c r="G1514" s="13">
        <v>833.7</v>
      </c>
      <c r="H1514" s="6">
        <v>0.06</v>
      </c>
      <c r="I1514" s="6" t="s">
        <v>1967</v>
      </c>
      <c r="J1514" s="13">
        <v>1567.356</v>
      </c>
      <c r="K1514" s="6" t="str">
        <f t="shared" si="1"/>
        <v>Average Earnings</v>
      </c>
    </row>
    <row r="1515" ht="14.25" customHeight="1">
      <c r="A1515" s="6" t="s">
        <v>3480</v>
      </c>
      <c r="B1515" s="17">
        <v>45326.0</v>
      </c>
      <c r="C1515" s="6" t="s">
        <v>631</v>
      </c>
      <c r="D1515" s="6" t="s">
        <v>1672</v>
      </c>
      <c r="E1515" s="6" t="s">
        <v>1922</v>
      </c>
      <c r="F1515" s="6">
        <v>3.0</v>
      </c>
      <c r="G1515" s="13">
        <v>330.04</v>
      </c>
      <c r="H1515" s="6">
        <v>0.2</v>
      </c>
      <c r="I1515" s="6" t="s">
        <v>1965</v>
      </c>
      <c r="J1515" s="13">
        <v>792.0960000000001</v>
      </c>
      <c r="K1515" s="6" t="str">
        <f t="shared" si="1"/>
        <v>Low Earnings</v>
      </c>
    </row>
    <row r="1516" ht="14.25" customHeight="1">
      <c r="A1516" s="6" t="s">
        <v>3481</v>
      </c>
      <c r="B1516" s="17">
        <v>45459.0</v>
      </c>
      <c r="C1516" s="6" t="s">
        <v>613</v>
      </c>
      <c r="D1516" s="6" t="s">
        <v>1608</v>
      </c>
      <c r="E1516" s="6" t="s">
        <v>1947</v>
      </c>
      <c r="F1516" s="6">
        <v>2.0</v>
      </c>
      <c r="G1516" s="13">
        <v>813.01</v>
      </c>
      <c r="H1516" s="6">
        <v>0.06</v>
      </c>
      <c r="I1516" s="6" t="s">
        <v>1967</v>
      </c>
      <c r="J1516" s="13">
        <v>1528.4588</v>
      </c>
      <c r="K1516" s="6" t="str">
        <f t="shared" si="1"/>
        <v>Average Earnings</v>
      </c>
    </row>
    <row r="1517" ht="14.25" customHeight="1">
      <c r="A1517" s="6" t="s">
        <v>3482</v>
      </c>
      <c r="B1517" s="17">
        <v>45715.0</v>
      </c>
      <c r="C1517" s="6" t="s">
        <v>118</v>
      </c>
      <c r="D1517" s="6" t="s">
        <v>1565</v>
      </c>
      <c r="E1517" s="6" t="s">
        <v>1901</v>
      </c>
      <c r="F1517" s="6">
        <v>4.0</v>
      </c>
      <c r="G1517" s="13">
        <v>204.8</v>
      </c>
      <c r="H1517" s="6">
        <v>0.03</v>
      </c>
      <c r="I1517" s="6" t="s">
        <v>1967</v>
      </c>
      <c r="J1517" s="13">
        <v>794.624</v>
      </c>
      <c r="K1517" s="6" t="str">
        <f t="shared" si="1"/>
        <v>Low Earnings</v>
      </c>
    </row>
    <row r="1518" ht="14.25" customHeight="1">
      <c r="A1518" s="6" t="s">
        <v>3483</v>
      </c>
      <c r="B1518" s="17">
        <v>45223.0</v>
      </c>
      <c r="C1518" s="6" t="s">
        <v>62</v>
      </c>
      <c r="D1518" s="6" t="s">
        <v>1574</v>
      </c>
      <c r="E1518" s="6" t="s">
        <v>1906</v>
      </c>
      <c r="F1518" s="6">
        <v>3.0</v>
      </c>
      <c r="G1518" s="13">
        <v>728.32</v>
      </c>
      <c r="H1518" s="6">
        <v>0.01</v>
      </c>
      <c r="I1518" s="6" t="s">
        <v>1965</v>
      </c>
      <c r="J1518" s="13">
        <v>2163.1104</v>
      </c>
      <c r="K1518" s="6" t="str">
        <f t="shared" si="1"/>
        <v>Average Earnings</v>
      </c>
    </row>
    <row r="1519" ht="14.25" customHeight="1">
      <c r="A1519" s="6" t="s">
        <v>3484</v>
      </c>
      <c r="B1519" s="17">
        <v>45507.0</v>
      </c>
      <c r="C1519" s="6" t="s">
        <v>1413</v>
      </c>
      <c r="D1519" s="6" t="s">
        <v>1764</v>
      </c>
      <c r="E1519" s="6" t="s">
        <v>1919</v>
      </c>
      <c r="F1519" s="6">
        <v>3.0</v>
      </c>
      <c r="G1519" s="13">
        <v>836.4</v>
      </c>
      <c r="H1519" s="6">
        <v>0.0</v>
      </c>
      <c r="I1519" s="6" t="s">
        <v>1965</v>
      </c>
      <c r="J1519" s="13">
        <v>2509.2</v>
      </c>
      <c r="K1519" s="6" t="str">
        <f t="shared" si="1"/>
        <v>High Earnings</v>
      </c>
    </row>
    <row r="1520" ht="14.25" customHeight="1">
      <c r="A1520" s="6" t="s">
        <v>3485</v>
      </c>
      <c r="B1520" s="17">
        <v>45843.0</v>
      </c>
      <c r="C1520" s="6" t="s">
        <v>513</v>
      </c>
      <c r="D1520" s="6" t="s">
        <v>1858</v>
      </c>
      <c r="E1520" s="6" t="s">
        <v>1934</v>
      </c>
      <c r="F1520" s="6">
        <v>1.0</v>
      </c>
      <c r="G1520" s="13">
        <v>780.16</v>
      </c>
      <c r="H1520" s="6">
        <v>0.02</v>
      </c>
      <c r="I1520" s="6" t="s">
        <v>1973</v>
      </c>
      <c r="J1520" s="13">
        <v>764.5568</v>
      </c>
      <c r="K1520" s="6" t="str">
        <f t="shared" si="1"/>
        <v>Low Earnings</v>
      </c>
    </row>
    <row r="1521" ht="14.25" customHeight="1">
      <c r="A1521" s="6" t="s">
        <v>3486</v>
      </c>
      <c r="B1521" s="17">
        <v>45804.0</v>
      </c>
      <c r="C1521" s="6" t="s">
        <v>1465</v>
      </c>
      <c r="D1521" s="6" t="s">
        <v>1723</v>
      </c>
      <c r="E1521" s="6" t="s">
        <v>1937</v>
      </c>
      <c r="F1521" s="6">
        <v>4.0</v>
      </c>
      <c r="G1521" s="13">
        <v>354.12</v>
      </c>
      <c r="H1521" s="6">
        <v>0.06</v>
      </c>
      <c r="I1521" s="6" t="s">
        <v>1967</v>
      </c>
      <c r="J1521" s="13">
        <v>1331.4912</v>
      </c>
      <c r="K1521" s="6" t="str">
        <f t="shared" si="1"/>
        <v>Average Earnings</v>
      </c>
    </row>
    <row r="1522" ht="14.25" customHeight="1">
      <c r="A1522" s="6" t="s">
        <v>3487</v>
      </c>
      <c r="B1522" s="17">
        <v>45602.0</v>
      </c>
      <c r="C1522" s="6" t="s">
        <v>1413</v>
      </c>
      <c r="D1522" s="6" t="s">
        <v>1776</v>
      </c>
      <c r="E1522" s="6" t="s">
        <v>1901</v>
      </c>
      <c r="F1522" s="6">
        <v>4.0</v>
      </c>
      <c r="G1522" s="13">
        <v>282.48</v>
      </c>
      <c r="H1522" s="6">
        <v>0.11</v>
      </c>
      <c r="I1522" s="6" t="s">
        <v>1967</v>
      </c>
      <c r="J1522" s="13">
        <v>1005.6288</v>
      </c>
      <c r="K1522" s="6" t="str">
        <f t="shared" si="1"/>
        <v>Average Earnings</v>
      </c>
    </row>
    <row r="1523" ht="14.25" customHeight="1">
      <c r="A1523" s="6" t="s">
        <v>3488</v>
      </c>
      <c r="B1523" s="17">
        <v>45446.0</v>
      </c>
      <c r="C1523" s="6" t="s">
        <v>1047</v>
      </c>
      <c r="D1523" s="6" t="s">
        <v>1640</v>
      </c>
      <c r="E1523" s="6" t="s">
        <v>1916</v>
      </c>
      <c r="F1523" s="6">
        <v>2.0</v>
      </c>
      <c r="G1523" s="13">
        <v>740.68</v>
      </c>
      <c r="H1523" s="6">
        <v>0.02</v>
      </c>
      <c r="I1523" s="6" t="s">
        <v>1967</v>
      </c>
      <c r="J1523" s="13">
        <v>1451.7328</v>
      </c>
      <c r="K1523" s="6" t="str">
        <f t="shared" si="1"/>
        <v>Average Earnings</v>
      </c>
    </row>
    <row r="1524" ht="14.25" customHeight="1">
      <c r="A1524" s="6" t="s">
        <v>3489</v>
      </c>
      <c r="B1524" s="17">
        <v>45384.0</v>
      </c>
      <c r="C1524" s="6" t="s">
        <v>380</v>
      </c>
      <c r="D1524" s="6" t="s">
        <v>1755</v>
      </c>
      <c r="E1524" s="6" t="s">
        <v>1926</v>
      </c>
      <c r="F1524" s="6">
        <v>3.0</v>
      </c>
      <c r="G1524" s="13">
        <v>600.58</v>
      </c>
      <c r="H1524" s="6">
        <v>0.29</v>
      </c>
      <c r="I1524" s="6" t="s">
        <v>1973</v>
      </c>
      <c r="J1524" s="13">
        <v>1279.2354</v>
      </c>
      <c r="K1524" s="6" t="str">
        <f t="shared" si="1"/>
        <v>Average Earnings</v>
      </c>
    </row>
    <row r="1525" ht="14.25" customHeight="1">
      <c r="A1525" s="6" t="s">
        <v>3490</v>
      </c>
      <c r="B1525" s="17">
        <v>45462.0</v>
      </c>
      <c r="C1525" s="6" t="s">
        <v>1456</v>
      </c>
      <c r="D1525" s="6" t="s">
        <v>1726</v>
      </c>
      <c r="E1525" s="6" t="s">
        <v>1939</v>
      </c>
      <c r="F1525" s="6">
        <v>2.0</v>
      </c>
      <c r="G1525" s="13">
        <v>680.16</v>
      </c>
      <c r="H1525" s="6">
        <v>0.28</v>
      </c>
      <c r="I1525" s="6" t="s">
        <v>1965</v>
      </c>
      <c r="J1525" s="13">
        <v>979.4304</v>
      </c>
      <c r="K1525" s="6" t="str">
        <f t="shared" si="1"/>
        <v>Low Earnings</v>
      </c>
    </row>
    <row r="1526" ht="14.25" customHeight="1">
      <c r="A1526" s="6" t="s">
        <v>3491</v>
      </c>
      <c r="B1526" s="17">
        <v>45348.0</v>
      </c>
      <c r="C1526" s="6" t="s">
        <v>1438</v>
      </c>
      <c r="D1526" s="6" t="s">
        <v>1782</v>
      </c>
      <c r="E1526" s="6" t="s">
        <v>1906</v>
      </c>
      <c r="F1526" s="6">
        <v>3.0</v>
      </c>
      <c r="G1526" s="13">
        <v>345.58</v>
      </c>
      <c r="H1526" s="6">
        <v>0.22</v>
      </c>
      <c r="I1526" s="6" t="s">
        <v>1965</v>
      </c>
      <c r="J1526" s="13">
        <v>808.6572</v>
      </c>
      <c r="K1526" s="6" t="str">
        <f t="shared" si="1"/>
        <v>Low Earnings</v>
      </c>
    </row>
    <row r="1527" ht="14.25" customHeight="1">
      <c r="A1527" s="6" t="s">
        <v>3492</v>
      </c>
      <c r="B1527" s="17">
        <v>45688.0</v>
      </c>
      <c r="C1527" s="6" t="s">
        <v>917</v>
      </c>
      <c r="D1527" s="6" t="s">
        <v>1633</v>
      </c>
      <c r="E1527" s="6" t="s">
        <v>1932</v>
      </c>
      <c r="F1527" s="6">
        <v>1.0</v>
      </c>
      <c r="G1527" s="13">
        <v>974.52</v>
      </c>
      <c r="H1527" s="6">
        <v>0.01</v>
      </c>
      <c r="I1527" s="6" t="s">
        <v>1967</v>
      </c>
      <c r="J1527" s="13">
        <v>964.7748</v>
      </c>
      <c r="K1527" s="6" t="str">
        <f t="shared" si="1"/>
        <v>Low Earnings</v>
      </c>
    </row>
    <row r="1528" ht="14.25" customHeight="1">
      <c r="A1528" s="6" t="s">
        <v>3493</v>
      </c>
      <c r="B1528" s="17">
        <v>45249.0</v>
      </c>
      <c r="C1528" s="6" t="s">
        <v>165</v>
      </c>
      <c r="D1528" s="6" t="s">
        <v>1630</v>
      </c>
      <c r="E1528" s="6" t="s">
        <v>1897</v>
      </c>
      <c r="F1528" s="6">
        <v>3.0</v>
      </c>
      <c r="G1528" s="13">
        <v>282.33</v>
      </c>
      <c r="H1528" s="6">
        <v>0.07</v>
      </c>
      <c r="I1528" s="6" t="s">
        <v>1965</v>
      </c>
      <c r="J1528" s="13">
        <v>787.7007</v>
      </c>
      <c r="K1528" s="6" t="str">
        <f t="shared" si="1"/>
        <v>Low Earnings</v>
      </c>
    </row>
    <row r="1529" ht="14.25" customHeight="1">
      <c r="A1529" s="6" t="s">
        <v>3494</v>
      </c>
      <c r="B1529" s="17">
        <v>45726.0</v>
      </c>
      <c r="C1529" s="6" t="s">
        <v>1209</v>
      </c>
      <c r="D1529" s="6" t="s">
        <v>1816</v>
      </c>
      <c r="E1529" s="6" t="s">
        <v>1953</v>
      </c>
      <c r="F1529" s="6">
        <v>4.0</v>
      </c>
      <c r="G1529" s="13">
        <v>158.46</v>
      </c>
      <c r="H1529" s="6">
        <v>0.09</v>
      </c>
      <c r="I1529" s="6" t="s">
        <v>1967</v>
      </c>
      <c r="J1529" s="13">
        <v>576.7944</v>
      </c>
      <c r="K1529" s="6" t="str">
        <f t="shared" si="1"/>
        <v>Low Earnings</v>
      </c>
    </row>
    <row r="1530" ht="14.25" customHeight="1">
      <c r="A1530" s="6" t="s">
        <v>3495</v>
      </c>
      <c r="B1530" s="17">
        <v>45283.0</v>
      </c>
      <c r="C1530" s="6" t="s">
        <v>1092</v>
      </c>
      <c r="D1530" s="6" t="s">
        <v>1752</v>
      </c>
      <c r="E1530" s="6" t="s">
        <v>1919</v>
      </c>
      <c r="F1530" s="6">
        <v>2.0</v>
      </c>
      <c r="G1530" s="13">
        <v>778.56</v>
      </c>
      <c r="H1530" s="6">
        <v>0.11</v>
      </c>
      <c r="I1530" s="6" t="s">
        <v>1973</v>
      </c>
      <c r="J1530" s="13">
        <v>1385.8368</v>
      </c>
      <c r="K1530" s="6" t="str">
        <f t="shared" si="1"/>
        <v>Average Earnings</v>
      </c>
    </row>
    <row r="1531" ht="14.25" customHeight="1">
      <c r="A1531" s="6" t="s">
        <v>3496</v>
      </c>
      <c r="B1531" s="17">
        <v>45353.0</v>
      </c>
      <c r="C1531" s="6" t="s">
        <v>776</v>
      </c>
      <c r="D1531" s="6" t="s">
        <v>1737</v>
      </c>
      <c r="E1531" s="6" t="s">
        <v>1953</v>
      </c>
      <c r="F1531" s="6">
        <v>4.0</v>
      </c>
      <c r="G1531" s="13">
        <v>280.16</v>
      </c>
      <c r="H1531" s="6">
        <v>0.18</v>
      </c>
      <c r="I1531" s="6" t="s">
        <v>1973</v>
      </c>
      <c r="J1531" s="13">
        <v>918.9248000000001</v>
      </c>
      <c r="K1531" s="6" t="str">
        <f t="shared" si="1"/>
        <v>Low Earnings</v>
      </c>
    </row>
    <row r="1532" ht="14.25" customHeight="1">
      <c r="A1532" s="6" t="s">
        <v>3497</v>
      </c>
      <c r="B1532" s="17">
        <v>45592.0</v>
      </c>
      <c r="C1532" s="6" t="s">
        <v>926</v>
      </c>
      <c r="D1532" s="6" t="s">
        <v>1801</v>
      </c>
      <c r="E1532" s="6" t="s">
        <v>1937</v>
      </c>
      <c r="F1532" s="6">
        <v>2.0</v>
      </c>
      <c r="G1532" s="13">
        <v>649.55</v>
      </c>
      <c r="H1532" s="6">
        <v>0.29</v>
      </c>
      <c r="I1532" s="6" t="s">
        <v>1967</v>
      </c>
      <c r="J1532" s="13">
        <v>922.3609999999999</v>
      </c>
      <c r="K1532" s="6" t="str">
        <f t="shared" si="1"/>
        <v>Low Earnings</v>
      </c>
    </row>
    <row r="1533" ht="14.25" customHeight="1">
      <c r="A1533" s="6" t="s">
        <v>3498</v>
      </c>
      <c r="B1533" s="17">
        <v>45360.0</v>
      </c>
      <c r="C1533" s="6" t="s">
        <v>47</v>
      </c>
      <c r="D1533" s="6" t="s">
        <v>1852</v>
      </c>
      <c r="E1533" s="6" t="s">
        <v>1901</v>
      </c>
      <c r="F1533" s="6">
        <v>2.0</v>
      </c>
      <c r="G1533" s="13">
        <v>994.32</v>
      </c>
      <c r="H1533" s="6">
        <v>0.27</v>
      </c>
      <c r="I1533" s="6" t="s">
        <v>1967</v>
      </c>
      <c r="J1533" s="13">
        <v>1451.7072</v>
      </c>
      <c r="K1533" s="6" t="str">
        <f t="shared" si="1"/>
        <v>Average Earnings</v>
      </c>
    </row>
    <row r="1534" ht="14.25" customHeight="1">
      <c r="A1534" s="6" t="s">
        <v>3499</v>
      </c>
      <c r="B1534" s="17">
        <v>45649.0</v>
      </c>
      <c r="C1534" s="6" t="s">
        <v>736</v>
      </c>
      <c r="D1534" s="6" t="s">
        <v>1831</v>
      </c>
      <c r="E1534" s="6" t="s">
        <v>1934</v>
      </c>
      <c r="F1534" s="6">
        <v>1.0</v>
      </c>
      <c r="G1534" s="13">
        <v>64.94</v>
      </c>
      <c r="H1534" s="6">
        <v>0.21</v>
      </c>
      <c r="I1534" s="6" t="s">
        <v>1967</v>
      </c>
      <c r="J1534" s="13">
        <v>51.3026</v>
      </c>
      <c r="K1534" s="6" t="str">
        <f t="shared" si="1"/>
        <v>Low Earnings</v>
      </c>
    </row>
    <row r="1535" ht="14.25" customHeight="1">
      <c r="A1535" s="6" t="s">
        <v>3500</v>
      </c>
      <c r="B1535" s="17">
        <v>45709.0</v>
      </c>
      <c r="C1535" s="6" t="s">
        <v>475</v>
      </c>
      <c r="D1535" s="6" t="s">
        <v>1701</v>
      </c>
      <c r="E1535" s="6" t="s">
        <v>1919</v>
      </c>
      <c r="F1535" s="6">
        <v>2.0</v>
      </c>
      <c r="G1535" s="13">
        <v>507.66</v>
      </c>
      <c r="H1535" s="6">
        <v>0.0</v>
      </c>
      <c r="I1535" s="6" t="s">
        <v>1973</v>
      </c>
      <c r="J1535" s="13">
        <v>1015.32</v>
      </c>
      <c r="K1535" s="6" t="str">
        <f t="shared" si="1"/>
        <v>Average Earnings</v>
      </c>
    </row>
    <row r="1536" ht="14.25" customHeight="1">
      <c r="A1536" s="6" t="s">
        <v>3501</v>
      </c>
      <c r="B1536" s="17">
        <v>45633.0</v>
      </c>
      <c r="C1536" s="6" t="s">
        <v>1273</v>
      </c>
      <c r="D1536" s="6" t="s">
        <v>1622</v>
      </c>
      <c r="E1536" s="6" t="s">
        <v>1919</v>
      </c>
      <c r="F1536" s="6">
        <v>4.0</v>
      </c>
      <c r="G1536" s="13">
        <v>733.42</v>
      </c>
      <c r="H1536" s="6">
        <f>J1536/(F1536*G1536)</f>
        <v>0.87</v>
      </c>
      <c r="I1536" s="6" t="s">
        <v>1967</v>
      </c>
      <c r="J1536" s="13">
        <v>2552.3016</v>
      </c>
      <c r="K1536" s="6" t="str">
        <f t="shared" si="1"/>
        <v>High Earnings</v>
      </c>
    </row>
    <row r="1537" ht="14.25" customHeight="1">
      <c r="A1537" s="6" t="s">
        <v>3502</v>
      </c>
      <c r="B1537" s="17">
        <v>45273.0</v>
      </c>
      <c r="C1537" s="6" t="s">
        <v>791</v>
      </c>
      <c r="D1537" s="6" t="s">
        <v>1831</v>
      </c>
      <c r="E1537" s="6" t="s">
        <v>1909</v>
      </c>
      <c r="F1537" s="6">
        <v>4.0</v>
      </c>
      <c r="G1537" s="13">
        <v>968.27</v>
      </c>
      <c r="H1537" s="6">
        <v>0.03</v>
      </c>
      <c r="I1537" s="6" t="s">
        <v>1967</v>
      </c>
      <c r="J1537" s="13">
        <v>3756.8876</v>
      </c>
      <c r="K1537" s="6" t="str">
        <f t="shared" si="1"/>
        <v>High Earnings</v>
      </c>
    </row>
    <row r="1538" ht="14.25" customHeight="1">
      <c r="A1538" s="6" t="s">
        <v>3503</v>
      </c>
      <c r="B1538" s="17">
        <v>45250.0</v>
      </c>
      <c r="C1538" s="6" t="s">
        <v>85</v>
      </c>
      <c r="D1538" s="6" t="s">
        <v>1852</v>
      </c>
      <c r="E1538" s="6" t="s">
        <v>1913</v>
      </c>
      <c r="F1538" s="6">
        <v>4.0</v>
      </c>
      <c r="G1538" s="13">
        <v>510.33</v>
      </c>
      <c r="H1538" s="6">
        <v>0.2</v>
      </c>
      <c r="I1538" s="6" t="s">
        <v>1967</v>
      </c>
      <c r="J1538" s="13">
        <v>1633.056</v>
      </c>
      <c r="K1538" s="6" t="str">
        <f t="shared" si="1"/>
        <v>Average Earnings</v>
      </c>
    </row>
    <row r="1539" ht="14.25" customHeight="1">
      <c r="A1539" s="6" t="s">
        <v>3504</v>
      </c>
      <c r="B1539" s="17">
        <v>45539.0</v>
      </c>
      <c r="C1539" s="6" t="s">
        <v>62</v>
      </c>
      <c r="D1539" s="6" t="s">
        <v>1717</v>
      </c>
      <c r="E1539" s="6" t="s">
        <v>1953</v>
      </c>
      <c r="F1539" s="6">
        <v>2.0</v>
      </c>
      <c r="G1539" s="13">
        <v>156.73</v>
      </c>
      <c r="H1539" s="6">
        <v>0.18</v>
      </c>
      <c r="I1539" s="6" t="s">
        <v>1973</v>
      </c>
      <c r="J1539" s="13">
        <v>257.0372</v>
      </c>
      <c r="K1539" s="6" t="str">
        <f t="shared" si="1"/>
        <v>Low Earnings</v>
      </c>
    </row>
    <row r="1540" ht="14.25" customHeight="1">
      <c r="A1540" s="6" t="s">
        <v>3505</v>
      </c>
      <c r="B1540" s="17">
        <v>45810.0</v>
      </c>
      <c r="C1540" s="6" t="s">
        <v>492</v>
      </c>
      <c r="D1540" s="6" t="s">
        <v>1885</v>
      </c>
      <c r="E1540" s="6" t="s">
        <v>1929</v>
      </c>
      <c r="F1540" s="6">
        <v>3.0</v>
      </c>
      <c r="G1540" s="13">
        <v>53.83</v>
      </c>
      <c r="H1540" s="6">
        <v>0.24</v>
      </c>
      <c r="I1540" s="6" t="s">
        <v>1965</v>
      </c>
      <c r="J1540" s="13">
        <v>122.7324</v>
      </c>
      <c r="K1540" s="6" t="str">
        <f t="shared" si="1"/>
        <v>Low Earnings</v>
      </c>
    </row>
    <row r="1541" ht="14.25" customHeight="1">
      <c r="A1541" s="6" t="s">
        <v>3506</v>
      </c>
      <c r="B1541" s="17">
        <v>45350.0</v>
      </c>
      <c r="C1541" s="6" t="s">
        <v>1194</v>
      </c>
      <c r="D1541" s="6" t="s">
        <v>1822</v>
      </c>
      <c r="E1541" s="6" t="s">
        <v>1909</v>
      </c>
      <c r="F1541" s="6">
        <v>1.0</v>
      </c>
      <c r="G1541" s="13">
        <v>34.71</v>
      </c>
      <c r="H1541" s="6">
        <v>0.1</v>
      </c>
      <c r="I1541" s="6" t="s">
        <v>1973</v>
      </c>
      <c r="J1541" s="13">
        <v>31.239</v>
      </c>
      <c r="K1541" s="6" t="str">
        <f t="shared" si="1"/>
        <v>Low Earnings</v>
      </c>
    </row>
    <row r="1542" ht="14.25" customHeight="1">
      <c r="A1542" s="6" t="s">
        <v>3507</v>
      </c>
      <c r="B1542" s="17">
        <v>45633.0</v>
      </c>
      <c r="C1542" s="6" t="s">
        <v>752</v>
      </c>
      <c r="D1542" s="6" t="s">
        <v>1819</v>
      </c>
      <c r="E1542" s="6" t="s">
        <v>1897</v>
      </c>
      <c r="F1542" s="6">
        <v>2.0</v>
      </c>
      <c r="G1542" s="13">
        <v>829.15</v>
      </c>
      <c r="H1542" s="6">
        <v>0.11</v>
      </c>
      <c r="I1542" s="6" t="s">
        <v>1967</v>
      </c>
      <c r="J1542" s="13">
        <v>1475.887</v>
      </c>
      <c r="K1542" s="6" t="str">
        <f t="shared" si="1"/>
        <v>Average Earnings</v>
      </c>
    </row>
    <row r="1543" ht="14.25" customHeight="1">
      <c r="A1543" s="6" t="s">
        <v>3508</v>
      </c>
      <c r="B1543" s="17">
        <v>45798.0</v>
      </c>
      <c r="C1543" s="6" t="s">
        <v>857</v>
      </c>
      <c r="D1543" s="6" t="s">
        <v>1882</v>
      </c>
      <c r="E1543" s="6" t="s">
        <v>1906</v>
      </c>
      <c r="F1543" s="6">
        <v>2.0</v>
      </c>
      <c r="G1543" s="13">
        <v>481.86</v>
      </c>
      <c r="H1543" s="6">
        <v>0.1</v>
      </c>
      <c r="I1543" s="6" t="s">
        <v>1973</v>
      </c>
      <c r="J1543" s="13">
        <v>867.3480000000001</v>
      </c>
      <c r="K1543" s="6" t="str">
        <f t="shared" si="1"/>
        <v>Low Earnings</v>
      </c>
    </row>
    <row r="1544" ht="14.25" customHeight="1">
      <c r="A1544" s="6" t="s">
        <v>3509</v>
      </c>
      <c r="B1544" s="17">
        <v>45354.0</v>
      </c>
      <c r="C1544" s="6" t="s">
        <v>507</v>
      </c>
      <c r="D1544" s="6" t="s">
        <v>1743</v>
      </c>
      <c r="E1544" s="6" t="s">
        <v>1919</v>
      </c>
      <c r="F1544" s="6">
        <v>4.0</v>
      </c>
      <c r="G1544" s="13">
        <v>915.17</v>
      </c>
      <c r="H1544" s="6">
        <v>0.19</v>
      </c>
      <c r="I1544" s="6" t="s">
        <v>1973</v>
      </c>
      <c r="J1544" s="13">
        <v>2965.1508</v>
      </c>
      <c r="K1544" s="6" t="str">
        <f t="shared" si="1"/>
        <v>High Earnings</v>
      </c>
    </row>
    <row r="1545" ht="14.25" customHeight="1">
      <c r="A1545" s="6" t="s">
        <v>3510</v>
      </c>
      <c r="B1545" s="17">
        <v>45357.0</v>
      </c>
      <c r="C1545" s="6" t="s">
        <v>708</v>
      </c>
      <c r="D1545" s="6" t="s">
        <v>1801</v>
      </c>
      <c r="E1545" s="6" t="s">
        <v>1950</v>
      </c>
      <c r="F1545" s="6">
        <v>1.0</v>
      </c>
      <c r="G1545" s="13">
        <v>250.95</v>
      </c>
      <c r="H1545" s="6">
        <v>0.03</v>
      </c>
      <c r="I1545" s="6" t="s">
        <v>1967</v>
      </c>
      <c r="J1545" s="13">
        <v>243.4215</v>
      </c>
      <c r="K1545" s="6" t="str">
        <f t="shared" si="1"/>
        <v>Low Earnings</v>
      </c>
    </row>
    <row r="1546" ht="14.25" customHeight="1">
      <c r="A1546" s="6" t="s">
        <v>3511</v>
      </c>
      <c r="B1546" s="17">
        <v>45257.0</v>
      </c>
      <c r="C1546" s="6" t="s">
        <v>1038</v>
      </c>
      <c r="D1546" s="6" t="s">
        <v>1876</v>
      </c>
      <c r="E1546" s="6" t="s">
        <v>1913</v>
      </c>
      <c r="F1546" s="6">
        <v>3.0</v>
      </c>
      <c r="G1546" s="13">
        <v>882.84</v>
      </c>
      <c r="H1546" s="6">
        <v>0.1</v>
      </c>
      <c r="I1546" s="6" t="s">
        <v>1965</v>
      </c>
      <c r="J1546" s="13">
        <v>2383.668</v>
      </c>
      <c r="K1546" s="6" t="str">
        <f t="shared" si="1"/>
        <v>Average Earnings</v>
      </c>
    </row>
    <row r="1547" ht="14.25" customHeight="1">
      <c r="A1547" s="6" t="s">
        <v>3512</v>
      </c>
      <c r="B1547" s="17">
        <v>45257.0</v>
      </c>
      <c r="C1547" s="6" t="s">
        <v>1164</v>
      </c>
      <c r="D1547" s="6" t="s">
        <v>1855</v>
      </c>
      <c r="E1547" s="6" t="s">
        <v>1932</v>
      </c>
      <c r="F1547" s="6">
        <v>1.0</v>
      </c>
      <c r="G1547" s="13">
        <v>996.33</v>
      </c>
      <c r="H1547" s="6">
        <v>0.23</v>
      </c>
      <c r="I1547" s="6" t="s">
        <v>1967</v>
      </c>
      <c r="J1547" s="13">
        <v>767.1741000000001</v>
      </c>
      <c r="K1547" s="6" t="str">
        <f t="shared" si="1"/>
        <v>Low Earnings</v>
      </c>
    </row>
    <row r="1548" ht="14.25" customHeight="1">
      <c r="A1548" s="6" t="s">
        <v>3513</v>
      </c>
      <c r="B1548" s="17">
        <v>45702.0</v>
      </c>
      <c r="C1548" s="6" t="s">
        <v>481</v>
      </c>
      <c r="D1548" s="6" t="s">
        <v>1636</v>
      </c>
      <c r="E1548" s="6" t="s">
        <v>1950</v>
      </c>
      <c r="F1548" s="6">
        <v>4.0</v>
      </c>
      <c r="G1548" s="13">
        <v>573.37</v>
      </c>
      <c r="H1548" s="6">
        <v>0.04</v>
      </c>
      <c r="I1548" s="6" t="s">
        <v>1973</v>
      </c>
      <c r="J1548" s="13">
        <v>2201.7408</v>
      </c>
      <c r="K1548" s="6" t="str">
        <f t="shared" si="1"/>
        <v>Average Earnings</v>
      </c>
    </row>
    <row r="1549" ht="14.25" customHeight="1">
      <c r="A1549" s="6" t="s">
        <v>3514</v>
      </c>
      <c r="B1549" s="17">
        <v>45318.0</v>
      </c>
      <c r="C1549" s="6" t="s">
        <v>226</v>
      </c>
      <c r="D1549" s="6" t="s">
        <v>1679</v>
      </c>
      <c r="E1549" s="6" t="s">
        <v>1934</v>
      </c>
      <c r="F1549" s="6">
        <v>3.0</v>
      </c>
      <c r="G1549" s="13">
        <v>622.72</v>
      </c>
      <c r="H1549" s="6">
        <v>0.04</v>
      </c>
      <c r="I1549" s="6" t="s">
        <v>1965</v>
      </c>
      <c r="J1549" s="13">
        <v>1793.4336</v>
      </c>
      <c r="K1549" s="6" t="str">
        <f t="shared" si="1"/>
        <v>Average Earnings</v>
      </c>
    </row>
    <row r="1550" ht="14.25" customHeight="1">
      <c r="A1550" s="6" t="s">
        <v>3515</v>
      </c>
      <c r="B1550" s="17">
        <v>45943.0</v>
      </c>
      <c r="C1550" s="6" t="s">
        <v>1227</v>
      </c>
      <c r="D1550" s="6" t="s">
        <v>1864</v>
      </c>
      <c r="E1550" s="6" t="s">
        <v>1947</v>
      </c>
      <c r="F1550" s="6">
        <v>3.0</v>
      </c>
      <c r="G1550" s="13">
        <v>259.74</v>
      </c>
      <c r="H1550" s="6">
        <v>0.24</v>
      </c>
      <c r="I1550" s="6" t="s">
        <v>1965</v>
      </c>
      <c r="J1550" s="13">
        <v>592.2072000000001</v>
      </c>
      <c r="K1550" s="6" t="str">
        <f t="shared" si="1"/>
        <v>Low Earnings</v>
      </c>
    </row>
    <row r="1551" ht="14.25" customHeight="1">
      <c r="A1551" s="6" t="s">
        <v>3516</v>
      </c>
      <c r="B1551" s="17">
        <v>45769.0</v>
      </c>
      <c r="C1551" s="6" t="s">
        <v>213</v>
      </c>
      <c r="D1551" s="6" t="s">
        <v>1666</v>
      </c>
      <c r="E1551" s="6" t="s">
        <v>1937</v>
      </c>
      <c r="F1551" s="6">
        <v>4.0</v>
      </c>
      <c r="G1551" s="13">
        <v>951.09</v>
      </c>
      <c r="H1551" s="6">
        <v>0.14</v>
      </c>
      <c r="I1551" s="6" t="s">
        <v>1973</v>
      </c>
      <c r="J1551" s="13">
        <v>3271.7496</v>
      </c>
      <c r="K1551" s="6" t="str">
        <f t="shared" si="1"/>
        <v>High Earnings</v>
      </c>
    </row>
    <row r="1552" ht="14.25" customHeight="1">
      <c r="A1552" s="6" t="s">
        <v>3517</v>
      </c>
      <c r="B1552" s="17">
        <v>45765.0</v>
      </c>
      <c r="C1552" s="6" t="s">
        <v>663</v>
      </c>
      <c r="D1552" s="6" t="s">
        <v>1885</v>
      </c>
      <c r="E1552" s="6" t="s">
        <v>1901</v>
      </c>
      <c r="F1552" s="6">
        <v>1.0</v>
      </c>
      <c r="G1552" s="13">
        <v>71.71</v>
      </c>
      <c r="H1552" s="6">
        <v>0.23</v>
      </c>
      <c r="I1552" s="6" t="s">
        <v>1973</v>
      </c>
      <c r="J1552" s="13">
        <v>55.2167</v>
      </c>
      <c r="K1552" s="6" t="str">
        <f t="shared" si="1"/>
        <v>Low Earnings</v>
      </c>
    </row>
    <row r="1553" ht="14.25" customHeight="1">
      <c r="A1553" s="6" t="s">
        <v>3518</v>
      </c>
      <c r="B1553" s="17">
        <v>45891.0</v>
      </c>
      <c r="C1553" s="6" t="s">
        <v>585</v>
      </c>
      <c r="D1553" s="6" t="s">
        <v>1640</v>
      </c>
      <c r="E1553" s="6" t="s">
        <v>1919</v>
      </c>
      <c r="F1553" s="6">
        <v>4.0</v>
      </c>
      <c r="G1553" s="13">
        <v>894.93</v>
      </c>
      <c r="H1553" s="6">
        <v>0.05</v>
      </c>
      <c r="I1553" s="6" t="s">
        <v>1973</v>
      </c>
      <c r="J1553" s="13">
        <v>3400.733999999999</v>
      </c>
      <c r="K1553" s="6" t="str">
        <f t="shared" si="1"/>
        <v>High Earnings</v>
      </c>
    </row>
    <row r="1554" ht="14.25" customHeight="1">
      <c r="A1554" s="6" t="s">
        <v>3519</v>
      </c>
      <c r="B1554" s="17">
        <v>45842.0</v>
      </c>
      <c r="C1554" s="6" t="s">
        <v>672</v>
      </c>
      <c r="D1554" s="6" t="s">
        <v>1822</v>
      </c>
      <c r="E1554" s="6" t="s">
        <v>1922</v>
      </c>
      <c r="F1554" s="6">
        <v>4.0</v>
      </c>
      <c r="G1554" s="13">
        <v>870.18</v>
      </c>
      <c r="H1554" s="6">
        <v>0.13</v>
      </c>
      <c r="I1554" s="6" t="s">
        <v>1973</v>
      </c>
      <c r="J1554" s="13">
        <v>3028.2264</v>
      </c>
      <c r="K1554" s="6" t="str">
        <f t="shared" si="1"/>
        <v>High Earnings</v>
      </c>
    </row>
    <row r="1555" ht="14.25" customHeight="1">
      <c r="A1555" s="6" t="s">
        <v>3520</v>
      </c>
      <c r="B1555" s="17">
        <v>45382.0</v>
      </c>
      <c r="C1555" s="6" t="s">
        <v>899</v>
      </c>
      <c r="D1555" s="6" t="s">
        <v>1779</v>
      </c>
      <c r="E1555" s="6" t="s">
        <v>1901</v>
      </c>
      <c r="F1555" s="6">
        <v>2.0</v>
      </c>
      <c r="G1555" s="13">
        <v>552.72</v>
      </c>
      <c r="H1555" s="6">
        <v>0.06</v>
      </c>
      <c r="I1555" s="6" t="s">
        <v>1967</v>
      </c>
      <c r="J1555" s="13">
        <v>1039.1136</v>
      </c>
      <c r="K1555" s="6" t="str">
        <f t="shared" si="1"/>
        <v>Average Earnings</v>
      </c>
    </row>
    <row r="1556" ht="14.25" customHeight="1">
      <c r="A1556" s="6" t="s">
        <v>3521</v>
      </c>
      <c r="B1556" s="17">
        <v>45236.0</v>
      </c>
      <c r="C1556" s="6" t="s">
        <v>803</v>
      </c>
      <c r="D1556" s="6" t="s">
        <v>1701</v>
      </c>
      <c r="E1556" s="6" t="s">
        <v>1922</v>
      </c>
      <c r="F1556" s="6">
        <v>3.0</v>
      </c>
      <c r="G1556" s="13">
        <v>700.43</v>
      </c>
      <c r="H1556" s="6">
        <v>0.01</v>
      </c>
      <c r="I1556" s="6" t="s">
        <v>1973</v>
      </c>
      <c r="J1556" s="13">
        <v>2080.2771</v>
      </c>
      <c r="K1556" s="6" t="str">
        <f t="shared" si="1"/>
        <v>Average Earnings</v>
      </c>
    </row>
    <row r="1557" ht="14.25" customHeight="1">
      <c r="A1557" s="6" t="s">
        <v>3522</v>
      </c>
      <c r="B1557" s="17">
        <v>45806.0</v>
      </c>
      <c r="C1557" s="6" t="s">
        <v>1080</v>
      </c>
      <c r="D1557" s="6" t="s">
        <v>1599</v>
      </c>
      <c r="E1557" s="6" t="s">
        <v>1901</v>
      </c>
      <c r="F1557" s="6">
        <v>2.0</v>
      </c>
      <c r="G1557" s="13">
        <v>823.03</v>
      </c>
      <c r="H1557" s="6">
        <v>0.18</v>
      </c>
      <c r="I1557" s="6" t="s">
        <v>1967</v>
      </c>
      <c r="J1557" s="13">
        <v>1349.7692</v>
      </c>
      <c r="K1557" s="6" t="str">
        <f t="shared" si="1"/>
        <v>Average Earnings</v>
      </c>
    </row>
    <row r="1558" ht="14.25" customHeight="1">
      <c r="A1558" s="6" t="s">
        <v>3523</v>
      </c>
      <c r="B1558" s="17">
        <v>45850.0</v>
      </c>
      <c r="C1558" s="6" t="s">
        <v>82</v>
      </c>
      <c r="D1558" s="6" t="s">
        <v>1755</v>
      </c>
      <c r="E1558" s="6" t="s">
        <v>1909</v>
      </c>
      <c r="F1558" s="6">
        <v>2.0</v>
      </c>
      <c r="G1558" s="13">
        <v>785.31</v>
      </c>
      <c r="H1558" s="6">
        <v>0.15</v>
      </c>
      <c r="I1558" s="6" t="s">
        <v>1967</v>
      </c>
      <c r="J1558" s="13">
        <v>1335.027</v>
      </c>
      <c r="K1558" s="6" t="str">
        <f t="shared" si="1"/>
        <v>Average Earnings</v>
      </c>
    </row>
    <row r="1559" ht="14.25" customHeight="1">
      <c r="A1559" s="6" t="s">
        <v>3524</v>
      </c>
      <c r="B1559" s="17">
        <v>45854.0</v>
      </c>
      <c r="C1559" s="6" t="s">
        <v>1285</v>
      </c>
      <c r="D1559" s="6" t="s">
        <v>1675</v>
      </c>
      <c r="E1559" s="6" t="s">
        <v>1929</v>
      </c>
      <c r="F1559" s="6">
        <v>1.0</v>
      </c>
      <c r="G1559" s="13">
        <v>198.83</v>
      </c>
      <c r="H1559" s="6">
        <v>0.09</v>
      </c>
      <c r="I1559" s="6" t="s">
        <v>1973</v>
      </c>
      <c r="J1559" s="13">
        <v>180.9353</v>
      </c>
      <c r="K1559" s="6" t="str">
        <f t="shared" si="1"/>
        <v>Low Earnings</v>
      </c>
    </row>
    <row r="1560" ht="14.25" customHeight="1">
      <c r="A1560" s="6" t="s">
        <v>3525</v>
      </c>
      <c r="B1560" s="17">
        <v>45401.0</v>
      </c>
      <c r="C1560" s="6" t="s">
        <v>830</v>
      </c>
      <c r="D1560" s="6" t="s">
        <v>1864</v>
      </c>
      <c r="E1560" s="6" t="s">
        <v>1916</v>
      </c>
      <c r="F1560" s="6">
        <v>1.0</v>
      </c>
      <c r="G1560" s="13">
        <v>117.37</v>
      </c>
      <c r="H1560" s="6">
        <v>0.21</v>
      </c>
      <c r="I1560" s="6" t="s">
        <v>1965</v>
      </c>
      <c r="J1560" s="13">
        <v>92.7223</v>
      </c>
      <c r="K1560" s="6" t="str">
        <f t="shared" si="1"/>
        <v>Low Earnings</v>
      </c>
    </row>
    <row r="1561" ht="14.25" customHeight="1">
      <c r="A1561" s="6" t="s">
        <v>3526</v>
      </c>
      <c r="B1561" s="17">
        <v>45716.0</v>
      </c>
      <c r="C1561" s="6" t="s">
        <v>377</v>
      </c>
      <c r="D1561" s="6" t="s">
        <v>1755</v>
      </c>
      <c r="E1561" s="6" t="s">
        <v>1897</v>
      </c>
      <c r="F1561" s="6">
        <v>4.0</v>
      </c>
      <c r="G1561" s="13">
        <v>165.37</v>
      </c>
      <c r="H1561" s="6">
        <v>0.29</v>
      </c>
      <c r="I1561" s="6" t="s">
        <v>1965</v>
      </c>
      <c r="J1561" s="13">
        <v>469.6508</v>
      </c>
      <c r="K1561" s="6" t="str">
        <f t="shared" si="1"/>
        <v>Low Earnings</v>
      </c>
    </row>
    <row r="1562" ht="14.25" customHeight="1">
      <c r="A1562" s="6" t="s">
        <v>3527</v>
      </c>
      <c r="B1562" s="17">
        <v>45718.0</v>
      </c>
      <c r="C1562" s="6" t="s">
        <v>1197</v>
      </c>
      <c r="D1562" s="6" t="s">
        <v>1585</v>
      </c>
      <c r="E1562" s="6" t="s">
        <v>1929</v>
      </c>
      <c r="F1562" s="6">
        <v>3.0</v>
      </c>
      <c r="G1562" s="13">
        <v>483.06</v>
      </c>
      <c r="H1562" s="6">
        <v>0.05</v>
      </c>
      <c r="I1562" s="6" t="s">
        <v>1965</v>
      </c>
      <c r="J1562" s="13">
        <v>1376.721</v>
      </c>
      <c r="K1562" s="6" t="str">
        <f t="shared" si="1"/>
        <v>Average Earnings</v>
      </c>
    </row>
    <row r="1563" ht="14.25" customHeight="1">
      <c r="A1563" s="6" t="s">
        <v>3528</v>
      </c>
      <c r="B1563" s="17">
        <v>45379.0</v>
      </c>
      <c r="C1563" s="6" t="s">
        <v>944</v>
      </c>
      <c r="D1563" s="6" t="s">
        <v>1831</v>
      </c>
      <c r="E1563" s="6" t="s">
        <v>1919</v>
      </c>
      <c r="F1563" s="6">
        <v>4.0</v>
      </c>
      <c r="G1563" s="13">
        <v>262.05</v>
      </c>
      <c r="H1563" s="6">
        <v>0.24</v>
      </c>
      <c r="I1563" s="6" t="s">
        <v>1967</v>
      </c>
      <c r="J1563" s="13">
        <v>796.6320000000001</v>
      </c>
      <c r="K1563" s="6" t="str">
        <f t="shared" si="1"/>
        <v>Low Earnings</v>
      </c>
    </row>
    <row r="1564" ht="14.25" customHeight="1">
      <c r="A1564" s="6" t="s">
        <v>3529</v>
      </c>
      <c r="B1564" s="17">
        <v>45635.0</v>
      </c>
      <c r="C1564" s="6" t="s">
        <v>1444</v>
      </c>
      <c r="D1564" s="6" t="s">
        <v>1618</v>
      </c>
      <c r="E1564" s="6" t="s">
        <v>1939</v>
      </c>
      <c r="F1564" s="6">
        <v>3.0</v>
      </c>
      <c r="G1564" s="13">
        <v>970.89</v>
      </c>
      <c r="H1564" s="6">
        <v>0.11</v>
      </c>
      <c r="I1564" s="6" t="s">
        <v>1973</v>
      </c>
      <c r="J1564" s="13">
        <v>2592.2763</v>
      </c>
      <c r="K1564" s="6" t="str">
        <f t="shared" si="1"/>
        <v>High Earnings</v>
      </c>
    </row>
    <row r="1565" ht="14.25" customHeight="1">
      <c r="A1565" s="6" t="s">
        <v>3530</v>
      </c>
      <c r="B1565" s="17">
        <v>45222.0</v>
      </c>
      <c r="C1565" s="6" t="s">
        <v>714</v>
      </c>
      <c r="D1565" s="6" t="s">
        <v>1804</v>
      </c>
      <c r="E1565" s="6" t="s">
        <v>1892</v>
      </c>
      <c r="F1565" s="6">
        <v>1.0</v>
      </c>
      <c r="G1565" s="13">
        <v>61.11</v>
      </c>
      <c r="H1565" s="6">
        <v>0.1</v>
      </c>
      <c r="I1565" s="6" t="s">
        <v>1967</v>
      </c>
      <c r="J1565" s="13">
        <v>54.999</v>
      </c>
      <c r="K1565" s="6" t="str">
        <f t="shared" si="1"/>
        <v>Low Earnings</v>
      </c>
    </row>
    <row r="1566" ht="14.25" customHeight="1">
      <c r="A1566" s="6" t="s">
        <v>3531</v>
      </c>
      <c r="B1566" s="17">
        <v>45555.0</v>
      </c>
      <c r="C1566" s="6" t="s">
        <v>129</v>
      </c>
      <c r="D1566" s="6" t="s">
        <v>1663</v>
      </c>
      <c r="E1566" s="6" t="s">
        <v>1922</v>
      </c>
      <c r="F1566" s="6">
        <v>3.0</v>
      </c>
      <c r="G1566" s="13">
        <v>827.88</v>
      </c>
      <c r="H1566" s="6">
        <v>0.19</v>
      </c>
      <c r="I1566" s="6" t="s">
        <v>1967</v>
      </c>
      <c r="J1566" s="13">
        <v>2011.7484</v>
      </c>
      <c r="K1566" s="6" t="str">
        <f t="shared" si="1"/>
        <v>Average Earnings</v>
      </c>
    </row>
    <row r="1567" ht="14.25" customHeight="1">
      <c r="A1567" s="6" t="s">
        <v>3532</v>
      </c>
      <c r="B1567" s="17">
        <v>45583.0</v>
      </c>
      <c r="C1567" s="6" t="s">
        <v>1350</v>
      </c>
      <c r="D1567" s="6" t="s">
        <v>1849</v>
      </c>
      <c r="E1567" s="6" t="s">
        <v>1937</v>
      </c>
      <c r="F1567" s="6">
        <v>3.0</v>
      </c>
      <c r="G1567" s="13">
        <v>926.85</v>
      </c>
      <c r="H1567" s="6">
        <v>0.18</v>
      </c>
      <c r="I1567" s="6" t="s">
        <v>1973</v>
      </c>
      <c r="J1567" s="13">
        <v>2280.051</v>
      </c>
      <c r="K1567" s="6" t="str">
        <f t="shared" si="1"/>
        <v>Average Earnings</v>
      </c>
    </row>
    <row r="1568" ht="14.25" customHeight="1">
      <c r="A1568" s="6" t="s">
        <v>3533</v>
      </c>
      <c r="B1568" s="17">
        <v>45662.0</v>
      </c>
      <c r="C1568" s="6" t="s">
        <v>1014</v>
      </c>
      <c r="D1568" s="6" t="s">
        <v>1604</v>
      </c>
      <c r="E1568" s="6" t="s">
        <v>1939</v>
      </c>
      <c r="F1568" s="6">
        <v>1.0</v>
      </c>
      <c r="G1568" s="13">
        <v>874.59</v>
      </c>
      <c r="H1568" s="6">
        <v>0.29</v>
      </c>
      <c r="I1568" s="6" t="s">
        <v>1967</v>
      </c>
      <c r="J1568" s="13">
        <v>620.9589</v>
      </c>
      <c r="K1568" s="6" t="str">
        <f t="shared" si="1"/>
        <v>Low Earnings</v>
      </c>
    </row>
    <row r="1569" ht="14.25" customHeight="1">
      <c r="A1569" s="6" t="s">
        <v>3534</v>
      </c>
      <c r="B1569" s="17">
        <v>45921.0</v>
      </c>
      <c r="C1569" s="6" t="s">
        <v>1465</v>
      </c>
      <c r="D1569" s="6" t="s">
        <v>1622</v>
      </c>
      <c r="E1569" s="6" t="s">
        <v>1897</v>
      </c>
      <c r="F1569" s="6">
        <v>4.0</v>
      </c>
      <c r="G1569" s="13">
        <v>479.11</v>
      </c>
      <c r="H1569" s="6">
        <v>0.24</v>
      </c>
      <c r="I1569" s="6" t="s">
        <v>1967</v>
      </c>
      <c r="J1569" s="13">
        <v>1456.4944</v>
      </c>
      <c r="K1569" s="6" t="str">
        <f t="shared" si="1"/>
        <v>Average Earnings</v>
      </c>
    </row>
    <row r="1570" ht="14.25" customHeight="1">
      <c r="A1570" s="6" t="s">
        <v>3535</v>
      </c>
      <c r="B1570" s="17">
        <v>45716.0</v>
      </c>
      <c r="C1570" s="6" t="s">
        <v>782</v>
      </c>
      <c r="D1570" s="6" t="s">
        <v>1636</v>
      </c>
      <c r="E1570" s="6" t="s">
        <v>1919</v>
      </c>
      <c r="F1570" s="6">
        <v>1.0</v>
      </c>
      <c r="G1570" s="13">
        <v>374.92</v>
      </c>
      <c r="H1570" s="6">
        <v>0.18</v>
      </c>
      <c r="I1570" s="6" t="s">
        <v>1967</v>
      </c>
      <c r="J1570" s="13">
        <v>307.4344</v>
      </c>
      <c r="K1570" s="6" t="str">
        <f t="shared" si="1"/>
        <v>Low Earnings</v>
      </c>
    </row>
    <row r="1571" ht="14.25" customHeight="1">
      <c r="A1571" s="6" t="s">
        <v>3536</v>
      </c>
      <c r="B1571" s="17">
        <v>45490.0</v>
      </c>
      <c r="C1571" s="6" t="s">
        <v>705</v>
      </c>
      <c r="D1571" s="6" t="s">
        <v>1679</v>
      </c>
      <c r="E1571" s="6" t="s">
        <v>1947</v>
      </c>
      <c r="F1571" s="6">
        <v>3.0</v>
      </c>
      <c r="G1571" s="13">
        <v>182.91</v>
      </c>
      <c r="H1571" s="6">
        <v>0.29</v>
      </c>
      <c r="I1571" s="6" t="s">
        <v>1965</v>
      </c>
      <c r="J1571" s="13">
        <v>389.5983</v>
      </c>
      <c r="K1571" s="6" t="str">
        <f t="shared" si="1"/>
        <v>Low Earnings</v>
      </c>
    </row>
    <row r="1572" ht="14.25" customHeight="1">
      <c r="A1572" s="6" t="s">
        <v>3537</v>
      </c>
      <c r="B1572" s="17">
        <v>45652.0</v>
      </c>
      <c r="C1572" s="6" t="s">
        <v>881</v>
      </c>
      <c r="D1572" s="6" t="s">
        <v>1685</v>
      </c>
      <c r="E1572" s="6" t="s">
        <v>1913</v>
      </c>
      <c r="F1572" s="6">
        <v>4.0</v>
      </c>
      <c r="G1572" s="13">
        <v>745.51</v>
      </c>
      <c r="H1572" s="6">
        <v>0.05</v>
      </c>
      <c r="I1572" s="6" t="s">
        <v>1965</v>
      </c>
      <c r="J1572" s="13">
        <v>2832.938</v>
      </c>
      <c r="K1572" s="6" t="str">
        <f t="shared" si="1"/>
        <v>High Earnings</v>
      </c>
    </row>
    <row r="1573" ht="14.25" customHeight="1">
      <c r="A1573" s="6" t="s">
        <v>3538</v>
      </c>
      <c r="B1573" s="17">
        <v>45598.0</v>
      </c>
      <c r="C1573" s="6" t="s">
        <v>1497</v>
      </c>
      <c r="D1573" s="6" t="s">
        <v>1852</v>
      </c>
      <c r="E1573" s="6" t="s">
        <v>1941</v>
      </c>
      <c r="F1573" s="6">
        <v>3.0</v>
      </c>
      <c r="G1573" s="13">
        <v>920.61</v>
      </c>
      <c r="H1573" s="6">
        <v>0.04</v>
      </c>
      <c r="I1573" s="6" t="s">
        <v>1965</v>
      </c>
      <c r="J1573" s="13">
        <v>2651.3568</v>
      </c>
      <c r="K1573" s="6" t="str">
        <f t="shared" si="1"/>
        <v>High Earnings</v>
      </c>
    </row>
    <row r="1574" ht="14.25" customHeight="1">
      <c r="A1574" s="6" t="s">
        <v>3539</v>
      </c>
      <c r="B1574" s="17">
        <v>45772.0</v>
      </c>
      <c r="C1574" s="6" t="s">
        <v>1335</v>
      </c>
      <c r="D1574" s="6" t="s">
        <v>1813</v>
      </c>
      <c r="E1574" s="6" t="s">
        <v>1929</v>
      </c>
      <c r="F1574" s="6">
        <v>4.0</v>
      </c>
      <c r="G1574" s="13">
        <v>659.03</v>
      </c>
      <c r="H1574" s="6">
        <v>0.15</v>
      </c>
      <c r="I1574" s="6" t="s">
        <v>1965</v>
      </c>
      <c r="J1574" s="13">
        <v>2240.702</v>
      </c>
      <c r="K1574" s="6" t="str">
        <f t="shared" si="1"/>
        <v>Average Earnings</v>
      </c>
    </row>
    <row r="1575" ht="14.25" customHeight="1">
      <c r="A1575" s="6" t="s">
        <v>3540</v>
      </c>
      <c r="B1575" s="17">
        <v>45338.0</v>
      </c>
      <c r="C1575" s="6" t="s">
        <v>1526</v>
      </c>
      <c r="D1575" s="6" t="s">
        <v>1599</v>
      </c>
      <c r="E1575" s="6" t="s">
        <v>1901</v>
      </c>
      <c r="F1575" s="6">
        <v>1.0</v>
      </c>
      <c r="G1575" s="13">
        <v>312.91</v>
      </c>
      <c r="H1575" s="6">
        <v>0.12</v>
      </c>
      <c r="I1575" s="6" t="s">
        <v>1967</v>
      </c>
      <c r="J1575" s="13">
        <v>275.3608</v>
      </c>
      <c r="K1575" s="6" t="str">
        <f t="shared" si="1"/>
        <v>Low Earnings</v>
      </c>
    </row>
    <row r="1576" ht="14.25" customHeight="1">
      <c r="A1576" s="6" t="s">
        <v>3541</v>
      </c>
      <c r="B1576" s="17">
        <v>45524.0</v>
      </c>
      <c r="C1576" s="6" t="s">
        <v>750</v>
      </c>
      <c r="D1576" s="6" t="s">
        <v>1611</v>
      </c>
      <c r="E1576" s="6" t="s">
        <v>1950</v>
      </c>
      <c r="F1576" s="6">
        <v>4.0</v>
      </c>
      <c r="G1576" s="13">
        <v>705.64</v>
      </c>
      <c r="H1576" s="6">
        <v>0.11</v>
      </c>
      <c r="I1576" s="6" t="s">
        <v>1967</v>
      </c>
      <c r="J1576" s="13">
        <v>2512.0784</v>
      </c>
      <c r="K1576" s="6" t="str">
        <f t="shared" si="1"/>
        <v>High Earnings</v>
      </c>
    </row>
    <row r="1577" ht="14.25" customHeight="1">
      <c r="A1577" s="6" t="s">
        <v>3542</v>
      </c>
      <c r="B1577" s="17">
        <v>45497.0</v>
      </c>
      <c r="C1577" s="6" t="s">
        <v>498</v>
      </c>
      <c r="D1577" s="6" t="s">
        <v>1599</v>
      </c>
      <c r="E1577" s="6" t="s">
        <v>1929</v>
      </c>
      <c r="F1577" s="6">
        <v>4.0</v>
      </c>
      <c r="G1577" s="13">
        <v>386.41</v>
      </c>
      <c r="H1577" s="6">
        <v>0.13</v>
      </c>
      <c r="I1577" s="6" t="s">
        <v>1973</v>
      </c>
      <c r="J1577" s="13">
        <v>1344.7068</v>
      </c>
      <c r="K1577" s="6" t="str">
        <f t="shared" si="1"/>
        <v>Average Earnings</v>
      </c>
    </row>
    <row r="1578" ht="14.25" customHeight="1">
      <c r="A1578" s="6" t="s">
        <v>3543</v>
      </c>
      <c r="B1578" s="17">
        <v>45534.0</v>
      </c>
      <c r="C1578" s="6" t="s">
        <v>129</v>
      </c>
      <c r="D1578" s="6" t="s">
        <v>1870</v>
      </c>
      <c r="E1578" s="6" t="s">
        <v>1932</v>
      </c>
      <c r="F1578" s="6">
        <v>3.0</v>
      </c>
      <c r="G1578" s="13">
        <v>265.89</v>
      </c>
      <c r="H1578" s="6">
        <v>0.08</v>
      </c>
      <c r="I1578" s="6" t="s">
        <v>1973</v>
      </c>
      <c r="J1578" s="13">
        <v>733.8564</v>
      </c>
      <c r="K1578" s="6" t="str">
        <f t="shared" si="1"/>
        <v>Low Earnings</v>
      </c>
    </row>
    <row r="1579" ht="14.25" customHeight="1">
      <c r="A1579" s="6" t="s">
        <v>3544</v>
      </c>
      <c r="B1579" s="17">
        <v>45925.0</v>
      </c>
      <c r="C1579" s="6" t="s">
        <v>283</v>
      </c>
      <c r="D1579" s="6" t="s">
        <v>1672</v>
      </c>
      <c r="E1579" s="6" t="s">
        <v>1944</v>
      </c>
      <c r="F1579" s="6">
        <v>1.0</v>
      </c>
      <c r="G1579" s="13">
        <v>703.16</v>
      </c>
      <c r="H1579" s="6">
        <v>0.29</v>
      </c>
      <c r="I1579" s="6" t="s">
        <v>1965</v>
      </c>
      <c r="J1579" s="13">
        <v>499.2436</v>
      </c>
      <c r="K1579" s="6" t="str">
        <f t="shared" si="1"/>
        <v>Low Earnings</v>
      </c>
    </row>
    <row r="1580" ht="14.25" customHeight="1">
      <c r="A1580" s="6" t="s">
        <v>3545</v>
      </c>
      <c r="B1580" s="17">
        <v>45765.0</v>
      </c>
      <c r="C1580" s="6" t="s">
        <v>1468</v>
      </c>
      <c r="D1580" s="6" t="s">
        <v>1879</v>
      </c>
      <c r="E1580" s="6" t="s">
        <v>1937</v>
      </c>
      <c r="F1580" s="6">
        <v>2.0</v>
      </c>
      <c r="G1580" s="13">
        <v>394.5</v>
      </c>
      <c r="H1580" s="6">
        <v>0.29</v>
      </c>
      <c r="I1580" s="6" t="s">
        <v>1973</v>
      </c>
      <c r="J1580" s="13">
        <v>560.1899999999999</v>
      </c>
      <c r="K1580" s="6" t="str">
        <f t="shared" si="1"/>
        <v>Low Earnings</v>
      </c>
    </row>
    <row r="1581" ht="14.25" customHeight="1">
      <c r="A1581" s="6" t="s">
        <v>3546</v>
      </c>
      <c r="B1581" s="17">
        <v>45515.0</v>
      </c>
      <c r="C1581" s="6" t="s">
        <v>1447</v>
      </c>
      <c r="D1581" s="6" t="s">
        <v>1867</v>
      </c>
      <c r="E1581" s="6" t="s">
        <v>1944</v>
      </c>
      <c r="F1581" s="6">
        <v>1.0</v>
      </c>
      <c r="G1581" s="13">
        <v>468.94</v>
      </c>
      <c r="H1581" s="6">
        <v>0.12</v>
      </c>
      <c r="I1581" s="6" t="s">
        <v>1965</v>
      </c>
      <c r="J1581" s="13">
        <v>412.6672</v>
      </c>
      <c r="K1581" s="6" t="str">
        <f t="shared" si="1"/>
        <v>Low Earnings</v>
      </c>
    </row>
    <row r="1582" ht="14.25" customHeight="1">
      <c r="A1582" s="6" t="s">
        <v>3547</v>
      </c>
      <c r="B1582" s="17">
        <v>45882.0</v>
      </c>
      <c r="C1582" s="6" t="s">
        <v>416</v>
      </c>
      <c r="D1582" s="6" t="s">
        <v>1879</v>
      </c>
      <c r="E1582" s="6" t="s">
        <v>1919</v>
      </c>
      <c r="F1582" s="6">
        <v>3.0</v>
      </c>
      <c r="G1582" s="13">
        <v>411.25</v>
      </c>
      <c r="H1582" s="6">
        <v>0.05</v>
      </c>
      <c r="I1582" s="6" t="s">
        <v>1965</v>
      </c>
      <c r="J1582" s="13">
        <v>1172.0625</v>
      </c>
      <c r="K1582" s="6" t="str">
        <f t="shared" si="1"/>
        <v>Average Earnings</v>
      </c>
    </row>
    <row r="1583" ht="14.25" customHeight="1">
      <c r="A1583" s="6" t="s">
        <v>3548</v>
      </c>
      <c r="B1583" s="17">
        <v>45923.0</v>
      </c>
      <c r="C1583" s="6" t="s">
        <v>1122</v>
      </c>
      <c r="D1583" s="6" t="s">
        <v>1730</v>
      </c>
      <c r="E1583" s="6" t="s">
        <v>1901</v>
      </c>
      <c r="F1583" s="6">
        <v>4.0</v>
      </c>
      <c r="G1583" s="13">
        <v>395.45</v>
      </c>
      <c r="H1583" s="6">
        <v>0.01</v>
      </c>
      <c r="I1583" s="6" t="s">
        <v>1965</v>
      </c>
      <c r="J1583" s="13">
        <v>1565.982</v>
      </c>
      <c r="K1583" s="6" t="str">
        <f t="shared" si="1"/>
        <v>Average Earnings</v>
      </c>
    </row>
    <row r="1584" ht="14.25" customHeight="1">
      <c r="A1584" s="6" t="s">
        <v>3549</v>
      </c>
      <c r="B1584" s="17">
        <v>45421.0</v>
      </c>
      <c r="C1584" s="6" t="s">
        <v>152</v>
      </c>
      <c r="D1584" s="6" t="s">
        <v>1858</v>
      </c>
      <c r="E1584" s="6" t="s">
        <v>1913</v>
      </c>
      <c r="F1584" s="6">
        <v>2.0</v>
      </c>
      <c r="G1584" s="13">
        <v>678.98</v>
      </c>
      <c r="H1584" s="6">
        <v>0.23</v>
      </c>
      <c r="I1584" s="6" t="s">
        <v>1965</v>
      </c>
      <c r="J1584" s="13">
        <v>1045.6292</v>
      </c>
      <c r="K1584" s="6" t="str">
        <f t="shared" si="1"/>
        <v>Average Earnings</v>
      </c>
    </row>
    <row r="1585" ht="14.25" customHeight="1">
      <c r="A1585" s="6" t="s">
        <v>3550</v>
      </c>
      <c r="B1585" s="17">
        <v>45608.0</v>
      </c>
      <c r="C1585" s="6" t="s">
        <v>272</v>
      </c>
      <c r="D1585" s="6" t="s">
        <v>1663</v>
      </c>
      <c r="E1585" s="6" t="s">
        <v>1939</v>
      </c>
      <c r="F1585" s="6">
        <v>4.0</v>
      </c>
      <c r="G1585" s="13">
        <v>757.71</v>
      </c>
      <c r="H1585" s="6">
        <v>0.26</v>
      </c>
      <c r="I1585" s="6" t="s">
        <v>1973</v>
      </c>
      <c r="J1585" s="13">
        <v>2242.8216</v>
      </c>
      <c r="K1585" s="6" t="str">
        <f t="shared" si="1"/>
        <v>Average Earnings</v>
      </c>
    </row>
    <row r="1586" ht="14.25" customHeight="1">
      <c r="A1586" s="6" t="s">
        <v>3551</v>
      </c>
      <c r="B1586" s="17">
        <v>45644.0</v>
      </c>
      <c r="C1586" s="6" t="s">
        <v>229</v>
      </c>
      <c r="D1586" s="6" t="s">
        <v>1870</v>
      </c>
      <c r="E1586" s="6" t="s">
        <v>1909</v>
      </c>
      <c r="F1586" s="6">
        <v>1.0</v>
      </c>
      <c r="G1586" s="13">
        <v>647.86</v>
      </c>
      <c r="H1586" s="6">
        <v>0.05</v>
      </c>
      <c r="I1586" s="6" t="s">
        <v>1973</v>
      </c>
      <c r="J1586" s="13">
        <v>615.467</v>
      </c>
      <c r="K1586" s="6" t="str">
        <f t="shared" si="1"/>
        <v>Low Earnings</v>
      </c>
    </row>
    <row r="1587" ht="14.25" customHeight="1">
      <c r="A1587" s="6" t="s">
        <v>3552</v>
      </c>
      <c r="B1587" s="17">
        <v>45517.0</v>
      </c>
      <c r="C1587" s="6" t="s">
        <v>472</v>
      </c>
      <c r="D1587" s="6" t="s">
        <v>1611</v>
      </c>
      <c r="E1587" s="6" t="s">
        <v>1916</v>
      </c>
      <c r="F1587" s="6">
        <v>2.0</v>
      </c>
      <c r="G1587" s="13">
        <v>179.64</v>
      </c>
      <c r="H1587" s="6">
        <v>0.1</v>
      </c>
      <c r="I1587" s="6" t="s">
        <v>1967</v>
      </c>
      <c r="J1587" s="13">
        <v>323.352</v>
      </c>
      <c r="K1587" s="6" t="str">
        <f t="shared" si="1"/>
        <v>Low Earnings</v>
      </c>
    </row>
    <row r="1588" ht="14.25" customHeight="1">
      <c r="A1588" s="6" t="s">
        <v>3553</v>
      </c>
      <c r="B1588" s="17">
        <v>45545.0</v>
      </c>
      <c r="C1588" s="6" t="s">
        <v>1251</v>
      </c>
      <c r="D1588" s="6" t="s">
        <v>1773</v>
      </c>
      <c r="E1588" s="6" t="s">
        <v>1909</v>
      </c>
      <c r="F1588" s="6">
        <v>3.0</v>
      </c>
      <c r="G1588" s="13">
        <v>392.65</v>
      </c>
      <c r="H1588" s="6">
        <v>0.17</v>
      </c>
      <c r="I1588" s="6" t="s">
        <v>1967</v>
      </c>
      <c r="J1588" s="13">
        <v>977.6984999999999</v>
      </c>
      <c r="K1588" s="6" t="str">
        <f t="shared" si="1"/>
        <v>Low Earnings</v>
      </c>
    </row>
    <row r="1589" ht="14.25" customHeight="1">
      <c r="A1589" s="6" t="s">
        <v>3554</v>
      </c>
      <c r="B1589" s="17">
        <v>45547.0</v>
      </c>
      <c r="C1589" s="6" t="s">
        <v>594</v>
      </c>
      <c r="D1589" s="6" t="s">
        <v>1861</v>
      </c>
      <c r="E1589" s="6" t="s">
        <v>1944</v>
      </c>
      <c r="F1589" s="6">
        <v>4.0</v>
      </c>
      <c r="G1589" s="13">
        <v>969.55</v>
      </c>
      <c r="H1589" s="6">
        <v>0.09</v>
      </c>
      <c r="I1589" s="6" t="s">
        <v>1973</v>
      </c>
      <c r="J1589" s="13">
        <v>3529.162</v>
      </c>
      <c r="K1589" s="6" t="str">
        <f t="shared" si="1"/>
        <v>High Earnings</v>
      </c>
    </row>
    <row r="1590" ht="14.25" customHeight="1">
      <c r="A1590" s="6" t="s">
        <v>3555</v>
      </c>
      <c r="B1590" s="17">
        <v>45433.0</v>
      </c>
      <c r="C1590" s="6" t="s">
        <v>1441</v>
      </c>
      <c r="D1590" s="6" t="s">
        <v>1810</v>
      </c>
      <c r="E1590" s="6" t="s">
        <v>1934</v>
      </c>
      <c r="F1590" s="6">
        <v>3.0</v>
      </c>
      <c r="G1590" s="13">
        <v>322.94</v>
      </c>
      <c r="H1590" s="6">
        <v>0.01</v>
      </c>
      <c r="I1590" s="6" t="s">
        <v>1965</v>
      </c>
      <c r="J1590" s="13">
        <v>959.1317999999999</v>
      </c>
      <c r="K1590" s="6" t="str">
        <f t="shared" si="1"/>
        <v>Low Earnings</v>
      </c>
    </row>
    <row r="1591" ht="14.25" customHeight="1">
      <c r="A1591" s="6" t="s">
        <v>3556</v>
      </c>
      <c r="B1591" s="17">
        <v>45792.0</v>
      </c>
      <c r="C1591" s="6" t="s">
        <v>1149</v>
      </c>
      <c r="D1591" s="6" t="s">
        <v>1837</v>
      </c>
      <c r="E1591" s="6" t="s">
        <v>1892</v>
      </c>
      <c r="F1591" s="6">
        <v>1.0</v>
      </c>
      <c r="G1591" s="13">
        <v>92.83</v>
      </c>
      <c r="H1591" s="6">
        <v>0.26</v>
      </c>
      <c r="I1591" s="6" t="s">
        <v>1967</v>
      </c>
      <c r="J1591" s="13">
        <v>68.6942</v>
      </c>
      <c r="K1591" s="6" t="str">
        <f t="shared" si="1"/>
        <v>Low Earnings</v>
      </c>
    </row>
    <row r="1592" ht="14.25" customHeight="1">
      <c r="A1592" s="6" t="s">
        <v>3557</v>
      </c>
      <c r="B1592" s="17">
        <v>45927.0</v>
      </c>
      <c r="C1592" s="6" t="s">
        <v>444</v>
      </c>
      <c r="D1592" s="6" t="s">
        <v>1855</v>
      </c>
      <c r="E1592" s="6" t="s">
        <v>1934</v>
      </c>
      <c r="F1592" s="6">
        <v>2.0</v>
      </c>
      <c r="G1592" s="13">
        <v>121.37</v>
      </c>
      <c r="H1592" s="6">
        <v>0.05</v>
      </c>
      <c r="I1592" s="6" t="s">
        <v>1965</v>
      </c>
      <c r="J1592" s="13">
        <v>230.603</v>
      </c>
      <c r="K1592" s="6" t="str">
        <f t="shared" si="1"/>
        <v>Low Earnings</v>
      </c>
    </row>
    <row r="1593" ht="14.25" customHeight="1">
      <c r="A1593" s="6" t="s">
        <v>3558</v>
      </c>
      <c r="B1593" s="17">
        <v>45804.0</v>
      </c>
      <c r="C1593" s="6" t="s">
        <v>1320</v>
      </c>
      <c r="D1593" s="6" t="s">
        <v>1595</v>
      </c>
      <c r="E1593" s="6" t="s">
        <v>1906</v>
      </c>
      <c r="F1593" s="6">
        <v>4.0</v>
      </c>
      <c r="G1593" s="13">
        <v>432.29</v>
      </c>
      <c r="H1593" s="6">
        <v>0.16</v>
      </c>
      <c r="I1593" s="6" t="s">
        <v>1973</v>
      </c>
      <c r="J1593" s="13">
        <v>1452.4944</v>
      </c>
      <c r="K1593" s="6" t="str">
        <f t="shared" si="1"/>
        <v>Average Earnings</v>
      </c>
    </row>
    <row r="1594" ht="14.25" customHeight="1">
      <c r="A1594" s="6" t="s">
        <v>3559</v>
      </c>
      <c r="B1594" s="17">
        <v>45311.0</v>
      </c>
      <c r="C1594" s="6" t="s">
        <v>300</v>
      </c>
      <c r="D1594" s="6" t="s">
        <v>1701</v>
      </c>
      <c r="E1594" s="6" t="s">
        <v>1937</v>
      </c>
      <c r="F1594" s="6">
        <v>2.0</v>
      </c>
      <c r="G1594" s="13">
        <v>925.78</v>
      </c>
      <c r="H1594" s="6">
        <v>0.14</v>
      </c>
      <c r="I1594" s="6" t="s">
        <v>1973</v>
      </c>
      <c r="J1594" s="13">
        <v>1592.3416</v>
      </c>
      <c r="K1594" s="6" t="str">
        <f t="shared" si="1"/>
        <v>Average Earnings</v>
      </c>
    </row>
    <row r="1595" ht="14.25" customHeight="1">
      <c r="A1595" s="6" t="s">
        <v>3560</v>
      </c>
      <c r="B1595" s="17">
        <v>45605.0</v>
      </c>
      <c r="C1595" s="6" t="s">
        <v>1485</v>
      </c>
      <c r="D1595" s="6" t="s">
        <v>1657</v>
      </c>
      <c r="E1595" s="6" t="s">
        <v>1932</v>
      </c>
      <c r="F1595" s="6">
        <v>2.0</v>
      </c>
      <c r="G1595" s="13">
        <v>151.47</v>
      </c>
      <c r="H1595" s="6">
        <v>0.21</v>
      </c>
      <c r="I1595" s="6" t="s">
        <v>1967</v>
      </c>
      <c r="J1595" s="13">
        <v>239.3226</v>
      </c>
      <c r="K1595" s="6" t="str">
        <f t="shared" si="1"/>
        <v>Low Earnings</v>
      </c>
    </row>
    <row r="1596" ht="14.25" customHeight="1">
      <c r="A1596" s="6" t="s">
        <v>3561</v>
      </c>
      <c r="B1596" s="17">
        <v>45338.0</v>
      </c>
      <c r="C1596" s="6" t="s">
        <v>1405</v>
      </c>
      <c r="D1596" s="6" t="s">
        <v>1837</v>
      </c>
      <c r="E1596" s="6" t="s">
        <v>1929</v>
      </c>
      <c r="F1596" s="6">
        <v>1.0</v>
      </c>
      <c r="G1596" s="13">
        <v>343.05</v>
      </c>
      <c r="H1596" s="6">
        <v>0.28</v>
      </c>
      <c r="I1596" s="6" t="s">
        <v>1967</v>
      </c>
      <c r="J1596" s="13">
        <v>246.996</v>
      </c>
      <c r="K1596" s="6" t="str">
        <f t="shared" si="1"/>
        <v>Low Earnings</v>
      </c>
    </row>
    <row r="1597" ht="14.25" customHeight="1">
      <c r="A1597" s="6" t="s">
        <v>3562</v>
      </c>
      <c r="B1597" s="17">
        <v>45642.0</v>
      </c>
      <c r="C1597" s="6" t="s">
        <v>252</v>
      </c>
      <c r="D1597" s="6" t="s">
        <v>1630</v>
      </c>
      <c r="E1597" s="6" t="s">
        <v>1909</v>
      </c>
      <c r="F1597" s="6">
        <v>1.0</v>
      </c>
      <c r="G1597" s="13">
        <v>373.06</v>
      </c>
      <c r="H1597" s="6">
        <v>0.11</v>
      </c>
      <c r="I1597" s="6" t="s">
        <v>1967</v>
      </c>
      <c r="J1597" s="13">
        <v>332.0234</v>
      </c>
      <c r="K1597" s="6" t="str">
        <f t="shared" si="1"/>
        <v>Low Earnings</v>
      </c>
    </row>
    <row r="1598" ht="14.25" customHeight="1">
      <c r="A1598" s="6" t="s">
        <v>3563</v>
      </c>
      <c r="B1598" s="17">
        <v>45693.0</v>
      </c>
      <c r="C1598" s="6" t="s">
        <v>1294</v>
      </c>
      <c r="D1598" s="6" t="s">
        <v>1633</v>
      </c>
      <c r="E1598" s="6" t="s">
        <v>1941</v>
      </c>
      <c r="F1598" s="6">
        <v>1.0</v>
      </c>
      <c r="G1598" s="13">
        <v>124.98</v>
      </c>
      <c r="H1598" s="6">
        <v>0.07</v>
      </c>
      <c r="I1598" s="6" t="s">
        <v>1973</v>
      </c>
      <c r="J1598" s="13">
        <v>116.2314</v>
      </c>
      <c r="K1598" s="6" t="str">
        <f t="shared" si="1"/>
        <v>Low Earnings</v>
      </c>
    </row>
    <row r="1599" ht="14.25" customHeight="1">
      <c r="A1599" s="6" t="s">
        <v>3564</v>
      </c>
      <c r="B1599" s="17">
        <v>45763.0</v>
      </c>
      <c r="C1599" s="6" t="s">
        <v>881</v>
      </c>
      <c r="D1599" s="6" t="s">
        <v>1807</v>
      </c>
      <c r="E1599" s="6" t="s">
        <v>1953</v>
      </c>
      <c r="F1599" s="6">
        <v>4.0</v>
      </c>
      <c r="G1599" s="13">
        <v>221.49</v>
      </c>
      <c r="H1599" s="6">
        <v>0.26</v>
      </c>
      <c r="I1599" s="6" t="s">
        <v>1967</v>
      </c>
      <c r="J1599" s="13">
        <v>655.6104</v>
      </c>
      <c r="K1599" s="6" t="str">
        <f t="shared" si="1"/>
        <v>Low Earnings</v>
      </c>
    </row>
    <row r="1600" ht="14.25" customHeight="1">
      <c r="A1600" s="6" t="s">
        <v>3565</v>
      </c>
      <c r="B1600" s="17">
        <v>45572.0</v>
      </c>
      <c r="C1600" s="6" t="s">
        <v>576</v>
      </c>
      <c r="D1600" s="6" t="s">
        <v>1650</v>
      </c>
      <c r="E1600" s="6" t="s">
        <v>1941</v>
      </c>
      <c r="F1600" s="6">
        <v>1.0</v>
      </c>
      <c r="G1600" s="13">
        <v>563.32</v>
      </c>
      <c r="H1600" s="6">
        <v>0.01</v>
      </c>
      <c r="I1600" s="6" t="s">
        <v>1967</v>
      </c>
      <c r="J1600" s="13">
        <v>557.6868000000001</v>
      </c>
      <c r="K1600" s="6" t="str">
        <f t="shared" si="1"/>
        <v>Low Earnings</v>
      </c>
    </row>
    <row r="1601" ht="14.25" customHeight="1">
      <c r="A1601" s="6" t="s">
        <v>3566</v>
      </c>
      <c r="B1601" s="17">
        <v>45338.0</v>
      </c>
      <c r="C1601" s="6" t="s">
        <v>1233</v>
      </c>
      <c r="D1601" s="6" t="s">
        <v>1608</v>
      </c>
      <c r="E1601" s="6" t="s">
        <v>1892</v>
      </c>
      <c r="F1601" s="6">
        <v>1.0</v>
      </c>
      <c r="G1601" s="13">
        <v>362.93</v>
      </c>
      <c r="H1601" s="6">
        <v>0.27</v>
      </c>
      <c r="I1601" s="6" t="s">
        <v>1965</v>
      </c>
      <c r="J1601" s="13">
        <v>264.9389</v>
      </c>
      <c r="K1601" s="6" t="str">
        <f t="shared" si="1"/>
        <v>Low Earnings</v>
      </c>
    </row>
    <row r="1602" ht="14.25" customHeight="1">
      <c r="A1602" s="6" t="s">
        <v>3567</v>
      </c>
      <c r="B1602" s="17">
        <v>45373.0</v>
      </c>
      <c r="C1602" s="6" t="s">
        <v>1071</v>
      </c>
      <c r="D1602" s="6" t="s">
        <v>1608</v>
      </c>
      <c r="E1602" s="6" t="s">
        <v>1941</v>
      </c>
      <c r="F1602" s="6">
        <v>4.0</v>
      </c>
      <c r="G1602" s="13">
        <v>369.22</v>
      </c>
      <c r="H1602" s="6">
        <v>0.18</v>
      </c>
      <c r="I1602" s="6" t="s">
        <v>1973</v>
      </c>
      <c r="J1602" s="13">
        <v>1211.0416</v>
      </c>
      <c r="K1602" s="6" t="str">
        <f t="shared" si="1"/>
        <v>Average Earnings</v>
      </c>
    </row>
    <row r="1603" ht="14.25" customHeight="1">
      <c r="A1603" s="6" t="s">
        <v>3568</v>
      </c>
      <c r="B1603" s="17">
        <v>45914.0</v>
      </c>
      <c r="C1603" s="6" t="s">
        <v>830</v>
      </c>
      <c r="D1603" s="6" t="s">
        <v>1746</v>
      </c>
      <c r="E1603" s="6" t="s">
        <v>1929</v>
      </c>
      <c r="F1603" s="6">
        <v>3.0</v>
      </c>
      <c r="G1603" s="13">
        <v>480.06</v>
      </c>
      <c r="H1603" s="6">
        <v>0.01</v>
      </c>
      <c r="I1603" s="6" t="s">
        <v>1965</v>
      </c>
      <c r="J1603" s="13">
        <f>F1603*G1603*(1-H1603)</f>
        <v>1425.7782</v>
      </c>
      <c r="K1603" s="6" t="str">
        <f t="shared" si="1"/>
        <v>Average Earnings</v>
      </c>
    </row>
    <row r="1604" ht="14.25" customHeight="1">
      <c r="A1604" s="6" t="s">
        <v>3569</v>
      </c>
      <c r="B1604" s="17">
        <v>45590.0</v>
      </c>
      <c r="C1604" s="6" t="s">
        <v>1291</v>
      </c>
      <c r="D1604" s="6" t="s">
        <v>1876</v>
      </c>
      <c r="E1604" s="6" t="s">
        <v>1939</v>
      </c>
      <c r="F1604" s="6">
        <v>3.0</v>
      </c>
      <c r="G1604" s="13">
        <v>950.83</v>
      </c>
      <c r="H1604" s="6">
        <v>0.06</v>
      </c>
      <c r="I1604" s="6" t="s">
        <v>1967</v>
      </c>
      <c r="J1604" s="13">
        <v>2681.3406</v>
      </c>
      <c r="K1604" s="6" t="str">
        <f t="shared" si="1"/>
        <v>High Earnings</v>
      </c>
    </row>
    <row r="1605" ht="14.25" customHeight="1">
      <c r="A1605" s="6" t="s">
        <v>3570</v>
      </c>
      <c r="B1605" s="17">
        <v>45365.0</v>
      </c>
      <c r="C1605" s="6" t="s">
        <v>495</v>
      </c>
      <c r="D1605" s="6" t="s">
        <v>1694</v>
      </c>
      <c r="E1605" s="6" t="s">
        <v>1937</v>
      </c>
      <c r="F1605" s="6">
        <v>3.0</v>
      </c>
      <c r="G1605" s="13">
        <v>338.79</v>
      </c>
      <c r="H1605" s="6">
        <v>0.01</v>
      </c>
      <c r="I1605" s="6" t="s">
        <v>1965</v>
      </c>
      <c r="J1605" s="13">
        <v>1006.2063</v>
      </c>
      <c r="K1605" s="6" t="str">
        <f t="shared" si="1"/>
        <v>Average Earnings</v>
      </c>
    </row>
    <row r="1606" ht="14.25" customHeight="1">
      <c r="A1606" s="6" t="s">
        <v>3571</v>
      </c>
      <c r="B1606" s="17">
        <v>45711.0</v>
      </c>
      <c r="C1606" s="6" t="s">
        <v>504</v>
      </c>
      <c r="D1606" s="6" t="s">
        <v>1858</v>
      </c>
      <c r="E1606" s="6" t="s">
        <v>1897</v>
      </c>
      <c r="F1606" s="6">
        <v>3.0</v>
      </c>
      <c r="G1606" s="13">
        <v>853.32</v>
      </c>
      <c r="H1606" s="6">
        <v>0.07</v>
      </c>
      <c r="I1606" s="6" t="s">
        <v>1973</v>
      </c>
      <c r="J1606" s="13">
        <v>2380.7628</v>
      </c>
      <c r="K1606" s="6" t="str">
        <f t="shared" si="1"/>
        <v>Average Earnings</v>
      </c>
    </row>
    <row r="1607" ht="14.25" customHeight="1">
      <c r="A1607" s="6" t="s">
        <v>3572</v>
      </c>
      <c r="B1607" s="17">
        <v>45586.0</v>
      </c>
      <c r="C1607" s="6" t="s">
        <v>513</v>
      </c>
      <c r="D1607" s="6" t="s">
        <v>1816</v>
      </c>
      <c r="E1607" s="6" t="s">
        <v>1916</v>
      </c>
      <c r="F1607" s="6">
        <v>3.0</v>
      </c>
      <c r="G1607" s="13">
        <v>89.78</v>
      </c>
      <c r="H1607" s="6">
        <v>0.2</v>
      </c>
      <c r="I1607" s="6" t="s">
        <v>1973</v>
      </c>
      <c r="J1607" s="13">
        <v>215.472</v>
      </c>
      <c r="K1607" s="6" t="str">
        <f t="shared" si="1"/>
        <v>Low Earnings</v>
      </c>
    </row>
    <row r="1608" ht="14.25" customHeight="1">
      <c r="A1608" s="6" t="s">
        <v>3573</v>
      </c>
      <c r="B1608" s="17">
        <v>45334.0</v>
      </c>
      <c r="C1608" s="6" t="s">
        <v>640</v>
      </c>
      <c r="D1608" s="6" t="s">
        <v>1752</v>
      </c>
      <c r="E1608" s="6" t="s">
        <v>1897</v>
      </c>
      <c r="F1608" s="6">
        <v>1.0</v>
      </c>
      <c r="G1608" s="13">
        <v>172.04</v>
      </c>
      <c r="H1608" s="6">
        <v>0.04</v>
      </c>
      <c r="I1608" s="6" t="s">
        <v>1967</v>
      </c>
      <c r="J1608" s="13">
        <v>165.1584</v>
      </c>
      <c r="K1608" s="6" t="str">
        <f t="shared" si="1"/>
        <v>Low Earnings</v>
      </c>
    </row>
    <row r="1609" ht="14.25" customHeight="1">
      <c r="A1609" s="6" t="s">
        <v>3574</v>
      </c>
      <c r="B1609" s="17">
        <v>45333.0</v>
      </c>
      <c r="C1609" s="6" t="s">
        <v>1456</v>
      </c>
      <c r="D1609" s="6" t="s">
        <v>1749</v>
      </c>
      <c r="E1609" s="6" t="s">
        <v>1897</v>
      </c>
      <c r="F1609" s="6">
        <v>1.0</v>
      </c>
      <c r="G1609" s="13">
        <v>389.2</v>
      </c>
      <c r="H1609" s="6">
        <v>0.05</v>
      </c>
      <c r="I1609" s="6" t="s">
        <v>1965</v>
      </c>
      <c r="J1609" s="13">
        <v>369.74</v>
      </c>
      <c r="K1609" s="6" t="str">
        <f t="shared" si="1"/>
        <v>Low Earnings</v>
      </c>
    </row>
    <row r="1610" ht="14.25" customHeight="1">
      <c r="A1610" s="6" t="s">
        <v>3575</v>
      </c>
      <c r="B1610" s="17">
        <v>45778.0</v>
      </c>
      <c r="C1610" s="6" t="s">
        <v>1438</v>
      </c>
      <c r="D1610" s="6" t="s">
        <v>1819</v>
      </c>
      <c r="E1610" s="6" t="s">
        <v>1937</v>
      </c>
      <c r="F1610" s="6">
        <v>3.0</v>
      </c>
      <c r="G1610" s="13">
        <v>865.96</v>
      </c>
      <c r="H1610" s="6">
        <v>0.12</v>
      </c>
      <c r="I1610" s="6" t="s">
        <v>1967</v>
      </c>
      <c r="J1610" s="13">
        <v>2286.1344</v>
      </c>
      <c r="K1610" s="6" t="str">
        <f t="shared" si="1"/>
        <v>Average Earnings</v>
      </c>
    </row>
    <row r="1611" ht="14.25" customHeight="1">
      <c r="A1611" s="6" t="s">
        <v>3576</v>
      </c>
      <c r="B1611" s="17">
        <v>45592.0</v>
      </c>
      <c r="C1611" s="6" t="s">
        <v>573</v>
      </c>
      <c r="D1611" s="6" t="s">
        <v>1636</v>
      </c>
      <c r="E1611" s="6" t="s">
        <v>1897</v>
      </c>
      <c r="F1611" s="6">
        <v>3.0</v>
      </c>
      <c r="G1611" s="13">
        <v>79.95</v>
      </c>
      <c r="H1611" s="6">
        <v>0.2</v>
      </c>
      <c r="I1611" s="6" t="s">
        <v>1973</v>
      </c>
      <c r="J1611" s="13">
        <v>191.88</v>
      </c>
      <c r="K1611" s="6" t="str">
        <f t="shared" si="1"/>
        <v>Low Earnings</v>
      </c>
    </row>
    <row r="1612" ht="14.25" customHeight="1">
      <c r="A1612" s="6" t="s">
        <v>3577</v>
      </c>
      <c r="B1612" s="17">
        <v>45259.0</v>
      </c>
      <c r="C1612" s="6" t="s">
        <v>1206</v>
      </c>
      <c r="D1612" s="6" t="s">
        <v>1660</v>
      </c>
      <c r="E1612" s="6" t="s">
        <v>1919</v>
      </c>
      <c r="F1612" s="6">
        <v>1.0</v>
      </c>
      <c r="G1612" s="13">
        <v>566.5</v>
      </c>
      <c r="H1612" s="6">
        <v>0.25</v>
      </c>
      <c r="I1612" s="6" t="s">
        <v>1973</v>
      </c>
      <c r="J1612" s="13">
        <v>424.875</v>
      </c>
      <c r="K1612" s="6" t="str">
        <f t="shared" si="1"/>
        <v>Low Earnings</v>
      </c>
    </row>
    <row r="1613" ht="14.25" customHeight="1">
      <c r="A1613" s="6" t="s">
        <v>3578</v>
      </c>
      <c r="B1613" s="17">
        <v>45801.0</v>
      </c>
      <c r="C1613" s="6" t="s">
        <v>1268</v>
      </c>
      <c r="D1613" s="6" t="s">
        <v>1643</v>
      </c>
      <c r="E1613" s="6" t="s">
        <v>1892</v>
      </c>
      <c r="F1613" s="6">
        <v>2.0</v>
      </c>
      <c r="G1613" s="13">
        <v>347.95</v>
      </c>
      <c r="H1613" s="6">
        <v>0.13</v>
      </c>
      <c r="I1613" s="6" t="s">
        <v>1973</v>
      </c>
      <c r="J1613" s="13">
        <v>605.433</v>
      </c>
      <c r="K1613" s="6" t="str">
        <f t="shared" si="1"/>
        <v>Low Earnings</v>
      </c>
    </row>
    <row r="1614" ht="14.25" customHeight="1">
      <c r="A1614" s="6" t="s">
        <v>3579</v>
      </c>
      <c r="B1614" s="17">
        <v>45290.0</v>
      </c>
      <c r="C1614" s="6" t="s">
        <v>552</v>
      </c>
      <c r="D1614" s="6" t="s">
        <v>1885</v>
      </c>
      <c r="E1614" s="6" t="s">
        <v>1947</v>
      </c>
      <c r="F1614" s="6">
        <v>2.0</v>
      </c>
      <c r="G1614" s="13">
        <v>856.57</v>
      </c>
      <c r="H1614" s="6">
        <v>0.24</v>
      </c>
      <c r="I1614" s="6" t="s">
        <v>1965</v>
      </c>
      <c r="J1614" s="13">
        <v>1301.9864</v>
      </c>
      <c r="K1614" s="6" t="str">
        <f t="shared" si="1"/>
        <v>Average Earnings</v>
      </c>
    </row>
    <row r="1615" ht="14.25" customHeight="1">
      <c r="A1615" s="6" t="s">
        <v>3580</v>
      </c>
      <c r="B1615" s="17">
        <v>45347.0</v>
      </c>
      <c r="C1615" s="6" t="s">
        <v>693</v>
      </c>
      <c r="D1615" s="6" t="s">
        <v>1761</v>
      </c>
      <c r="E1615" s="6" t="s">
        <v>1906</v>
      </c>
      <c r="F1615" s="6">
        <v>2.0</v>
      </c>
      <c r="G1615" s="13">
        <v>250.83</v>
      </c>
      <c r="H1615" s="6">
        <v>0.15</v>
      </c>
      <c r="I1615" s="6" t="s">
        <v>1967</v>
      </c>
      <c r="J1615" s="13">
        <v>426.411</v>
      </c>
      <c r="K1615" s="6" t="str">
        <f t="shared" si="1"/>
        <v>Low Earnings</v>
      </c>
    </row>
    <row r="1616" ht="14.25" customHeight="1">
      <c r="A1616" s="6" t="s">
        <v>3581</v>
      </c>
      <c r="B1616" s="17">
        <v>45721.0</v>
      </c>
      <c r="C1616" s="6" t="s">
        <v>513</v>
      </c>
      <c r="D1616" s="6" t="s">
        <v>1801</v>
      </c>
      <c r="E1616" s="6" t="s">
        <v>1897</v>
      </c>
      <c r="F1616" s="6">
        <v>1.0</v>
      </c>
      <c r="G1616" s="13">
        <v>888.05</v>
      </c>
      <c r="H1616" s="6">
        <v>0.2</v>
      </c>
      <c r="I1616" s="6" t="s">
        <v>1967</v>
      </c>
      <c r="J1616" s="13">
        <v>710.44</v>
      </c>
      <c r="K1616" s="6" t="str">
        <f t="shared" si="1"/>
        <v>Low Earnings</v>
      </c>
    </row>
    <row r="1617" ht="14.25" customHeight="1">
      <c r="A1617" s="6" t="s">
        <v>3582</v>
      </c>
      <c r="B1617" s="17">
        <v>45531.0</v>
      </c>
      <c r="C1617" s="6" t="s">
        <v>43</v>
      </c>
      <c r="D1617" s="6" t="s">
        <v>1701</v>
      </c>
      <c r="E1617" s="6" t="s">
        <v>1950</v>
      </c>
      <c r="F1617" s="6">
        <v>2.0</v>
      </c>
      <c r="G1617" s="13">
        <v>673.02</v>
      </c>
      <c r="H1617" s="6">
        <v>0.11</v>
      </c>
      <c r="I1617" s="6" t="s">
        <v>1967</v>
      </c>
      <c r="J1617" s="13">
        <v>1197.9756</v>
      </c>
      <c r="K1617" s="6" t="str">
        <f t="shared" si="1"/>
        <v>Average Earnings</v>
      </c>
    </row>
    <row r="1618" ht="14.25" customHeight="1">
      <c r="A1618" s="6" t="s">
        <v>3583</v>
      </c>
      <c r="B1618" s="17">
        <v>45332.0</v>
      </c>
      <c r="C1618" s="6" t="s">
        <v>1378</v>
      </c>
      <c r="D1618" s="6" t="s">
        <v>1779</v>
      </c>
      <c r="E1618" s="6" t="s">
        <v>1906</v>
      </c>
      <c r="F1618" s="6">
        <v>2.0</v>
      </c>
      <c r="G1618" s="13">
        <v>492.62</v>
      </c>
      <c r="H1618" s="6">
        <v>0.26</v>
      </c>
      <c r="I1618" s="6" t="s">
        <v>1973</v>
      </c>
      <c r="J1618" s="13">
        <v>729.0776</v>
      </c>
      <c r="K1618" s="6" t="str">
        <f t="shared" si="1"/>
        <v>Low Earnings</v>
      </c>
    </row>
    <row r="1619" ht="14.25" customHeight="1">
      <c r="A1619" s="6" t="s">
        <v>3584</v>
      </c>
      <c r="B1619" s="17">
        <v>45344.0</v>
      </c>
      <c r="C1619" s="6" t="s">
        <v>1191</v>
      </c>
      <c r="D1619" s="6" t="s">
        <v>1843</v>
      </c>
      <c r="E1619" s="6" t="s">
        <v>1906</v>
      </c>
      <c r="F1619" s="6">
        <v>4.0</v>
      </c>
      <c r="G1619" s="13">
        <v>986.93</v>
      </c>
      <c r="H1619" s="6">
        <v>0.01</v>
      </c>
      <c r="I1619" s="6" t="s">
        <v>1965</v>
      </c>
      <c r="J1619" s="13">
        <v>3908.2428</v>
      </c>
      <c r="K1619" s="6" t="str">
        <f t="shared" si="1"/>
        <v>High Earnings</v>
      </c>
    </row>
    <row r="1620" ht="14.25" customHeight="1">
      <c r="A1620" s="6" t="s">
        <v>3585</v>
      </c>
      <c r="B1620" s="17">
        <v>45388.0</v>
      </c>
      <c r="C1620" s="6" t="s">
        <v>1491</v>
      </c>
      <c r="D1620" s="6" t="s">
        <v>1647</v>
      </c>
      <c r="E1620" s="6" t="s">
        <v>1934</v>
      </c>
      <c r="F1620" s="6">
        <v>4.0</v>
      </c>
      <c r="G1620" s="13">
        <v>411.68</v>
      </c>
      <c r="H1620" s="6">
        <v>0.06</v>
      </c>
      <c r="I1620" s="6" t="s">
        <v>1967</v>
      </c>
      <c r="J1620" s="13">
        <v>1547.9168</v>
      </c>
      <c r="K1620" s="6" t="str">
        <f t="shared" si="1"/>
        <v>Average Earnings</v>
      </c>
    </row>
    <row r="1621" ht="14.25" customHeight="1">
      <c r="A1621" s="6" t="s">
        <v>3586</v>
      </c>
      <c r="B1621" s="17">
        <v>45397.0</v>
      </c>
      <c r="C1621" s="6" t="s">
        <v>723</v>
      </c>
      <c r="D1621" s="6" t="s">
        <v>1691</v>
      </c>
      <c r="E1621" s="6" t="s">
        <v>1947</v>
      </c>
      <c r="F1621" s="6">
        <v>2.0</v>
      </c>
      <c r="G1621" s="13">
        <v>637.56</v>
      </c>
      <c r="H1621" s="6">
        <v>0.05</v>
      </c>
      <c r="I1621" s="6" t="s">
        <v>1973</v>
      </c>
      <c r="J1621" s="13">
        <v>1211.364</v>
      </c>
      <c r="K1621" s="6" t="str">
        <f t="shared" si="1"/>
        <v>Average Earnings</v>
      </c>
    </row>
    <row r="1622" ht="14.25" customHeight="1">
      <c r="A1622" s="6" t="s">
        <v>3587</v>
      </c>
      <c r="B1622" s="17">
        <v>45633.0</v>
      </c>
      <c r="C1622" s="6" t="s">
        <v>74</v>
      </c>
      <c r="D1622" s="6" t="s">
        <v>1615</v>
      </c>
      <c r="E1622" s="6" t="s">
        <v>1906</v>
      </c>
      <c r="F1622" s="6">
        <v>3.0</v>
      </c>
      <c r="G1622" s="13">
        <v>706.87</v>
      </c>
      <c r="H1622" s="6">
        <v>0.27</v>
      </c>
      <c r="I1622" s="6" t="s">
        <v>1965</v>
      </c>
      <c r="J1622" s="13">
        <v>1548.0453</v>
      </c>
      <c r="K1622" s="6" t="str">
        <f t="shared" si="1"/>
        <v>Average Earnings</v>
      </c>
    </row>
    <row r="1623" ht="14.25" customHeight="1">
      <c r="A1623" s="6" t="s">
        <v>3588</v>
      </c>
      <c r="B1623" s="17">
        <v>45629.0</v>
      </c>
      <c r="C1623" s="6" t="s">
        <v>216</v>
      </c>
      <c r="D1623" s="6" t="s">
        <v>1622</v>
      </c>
      <c r="E1623" s="6" t="s">
        <v>1916</v>
      </c>
      <c r="F1623" s="6">
        <v>2.0</v>
      </c>
      <c r="G1623" s="13">
        <v>884.48</v>
      </c>
      <c r="H1623" s="6">
        <v>0.0</v>
      </c>
      <c r="I1623" s="6" t="s">
        <v>1973</v>
      </c>
      <c r="J1623" s="13">
        <v>1768.96</v>
      </c>
      <c r="K1623" s="6" t="str">
        <f t="shared" si="1"/>
        <v>Average Earnings</v>
      </c>
    </row>
    <row r="1624" ht="14.25" customHeight="1">
      <c r="A1624" s="6" t="s">
        <v>3589</v>
      </c>
      <c r="B1624" s="17">
        <v>45291.0</v>
      </c>
      <c r="C1624" s="6" t="s">
        <v>189</v>
      </c>
      <c r="D1624" s="6" t="s">
        <v>1864</v>
      </c>
      <c r="E1624" s="6" t="s">
        <v>1909</v>
      </c>
      <c r="F1624" s="6">
        <v>3.0</v>
      </c>
      <c r="G1624" s="13">
        <v>718.23</v>
      </c>
      <c r="H1624" s="6">
        <v>0.19</v>
      </c>
      <c r="I1624" s="6" t="s">
        <v>1967</v>
      </c>
      <c r="J1624" s="13">
        <v>1745.2989</v>
      </c>
      <c r="K1624" s="6" t="str">
        <f t="shared" si="1"/>
        <v>Average Earnings</v>
      </c>
    </row>
    <row r="1625" ht="14.25" customHeight="1">
      <c r="A1625" s="6" t="s">
        <v>3590</v>
      </c>
      <c r="B1625" s="17">
        <v>45213.0</v>
      </c>
      <c r="C1625" s="6" t="s">
        <v>872</v>
      </c>
      <c r="D1625" s="6" t="s">
        <v>1819</v>
      </c>
      <c r="E1625" s="6" t="s">
        <v>1901</v>
      </c>
      <c r="F1625" s="6">
        <v>4.0</v>
      </c>
      <c r="G1625" s="13">
        <v>814.25</v>
      </c>
      <c r="H1625" s="6">
        <v>0.18</v>
      </c>
      <c r="I1625" s="6" t="s">
        <v>1965</v>
      </c>
      <c r="J1625" s="13">
        <v>2670.74</v>
      </c>
      <c r="K1625" s="6" t="str">
        <f t="shared" si="1"/>
        <v>High Earnings</v>
      </c>
    </row>
    <row r="1626" ht="14.25" customHeight="1">
      <c r="A1626" s="6" t="s">
        <v>3591</v>
      </c>
      <c r="B1626" s="17">
        <v>45914.0</v>
      </c>
      <c r="C1626" s="6" t="s">
        <v>607</v>
      </c>
      <c r="D1626" s="6" t="s">
        <v>1858</v>
      </c>
      <c r="E1626" s="6" t="s">
        <v>1950</v>
      </c>
      <c r="F1626" s="6">
        <v>3.0</v>
      </c>
      <c r="G1626" s="13">
        <v>107.44</v>
      </c>
      <c r="H1626" s="6">
        <v>0.27</v>
      </c>
      <c r="I1626" s="6" t="s">
        <v>1967</v>
      </c>
      <c r="J1626" s="13">
        <v>235.2936</v>
      </c>
      <c r="K1626" s="6" t="str">
        <f t="shared" si="1"/>
        <v>Low Earnings</v>
      </c>
    </row>
    <row r="1627" ht="14.25" customHeight="1">
      <c r="A1627" s="6" t="s">
        <v>3592</v>
      </c>
      <c r="B1627" s="17">
        <v>45673.0</v>
      </c>
      <c r="C1627" s="6" t="s">
        <v>219</v>
      </c>
      <c r="D1627" s="6" t="s">
        <v>1723</v>
      </c>
      <c r="E1627" s="6" t="s">
        <v>1906</v>
      </c>
      <c r="F1627" s="6">
        <v>4.0</v>
      </c>
      <c r="G1627" s="13">
        <v>608.97</v>
      </c>
      <c r="H1627" s="6">
        <v>0.14</v>
      </c>
      <c r="I1627" s="6" t="s">
        <v>1973</v>
      </c>
      <c r="J1627" s="13">
        <v>2094.8568</v>
      </c>
      <c r="K1627" s="6" t="str">
        <f t="shared" si="1"/>
        <v>Average Earnings</v>
      </c>
    </row>
    <row r="1628" ht="14.25" customHeight="1">
      <c r="A1628" s="6" t="s">
        <v>3593</v>
      </c>
      <c r="B1628" s="17">
        <v>45689.0</v>
      </c>
      <c r="C1628" s="6" t="s">
        <v>1125</v>
      </c>
      <c r="D1628" s="6" t="s">
        <v>1770</v>
      </c>
      <c r="E1628" s="6" t="s">
        <v>1916</v>
      </c>
      <c r="F1628" s="6">
        <v>3.0</v>
      </c>
      <c r="G1628" s="13">
        <v>260.46</v>
      </c>
      <c r="H1628" s="6">
        <v>0.09</v>
      </c>
      <c r="I1628" s="6" t="s">
        <v>1965</v>
      </c>
      <c r="J1628" s="13">
        <v>711.0557999999999</v>
      </c>
      <c r="K1628" s="6" t="str">
        <f t="shared" si="1"/>
        <v>Low Earnings</v>
      </c>
    </row>
    <row r="1629" ht="14.25" customHeight="1">
      <c r="A1629" s="6" t="s">
        <v>3594</v>
      </c>
      <c r="B1629" s="17">
        <v>45646.0</v>
      </c>
      <c r="C1629" s="6" t="s">
        <v>434</v>
      </c>
      <c r="D1629" s="6" t="s">
        <v>1647</v>
      </c>
      <c r="E1629" s="6" t="s">
        <v>1916</v>
      </c>
      <c r="F1629" s="6">
        <v>1.0</v>
      </c>
      <c r="G1629" s="13">
        <v>747.03</v>
      </c>
      <c r="H1629" s="6">
        <v>0.01</v>
      </c>
      <c r="I1629" s="6" t="s">
        <v>1965</v>
      </c>
      <c r="J1629" s="13">
        <v>739.5597</v>
      </c>
      <c r="K1629" s="6" t="str">
        <f t="shared" si="1"/>
        <v>Low Earnings</v>
      </c>
    </row>
    <row r="1630" ht="14.25" customHeight="1">
      <c r="A1630" s="6" t="s">
        <v>3595</v>
      </c>
      <c r="B1630" s="17">
        <v>45475.0</v>
      </c>
      <c r="C1630" s="6" t="s">
        <v>1273</v>
      </c>
      <c r="D1630" s="6" t="s">
        <v>1626</v>
      </c>
      <c r="E1630" s="6" t="s">
        <v>1922</v>
      </c>
      <c r="F1630" s="6">
        <v>4.0</v>
      </c>
      <c r="G1630" s="13">
        <v>700.88</v>
      </c>
      <c r="H1630" s="6">
        <v>0.23</v>
      </c>
      <c r="I1630" s="6" t="s">
        <v>1967</v>
      </c>
      <c r="J1630" s="13">
        <v>2158.7104</v>
      </c>
      <c r="K1630" s="6" t="str">
        <f t="shared" si="1"/>
        <v>Average Earnings</v>
      </c>
    </row>
    <row r="1631" ht="14.25" customHeight="1">
      <c r="A1631" s="6" t="s">
        <v>3596</v>
      </c>
      <c r="B1631" s="17">
        <v>45781.0</v>
      </c>
      <c r="C1631" s="6" t="s">
        <v>193</v>
      </c>
      <c r="D1631" s="6" t="s">
        <v>1873</v>
      </c>
      <c r="E1631" s="6" t="s">
        <v>1939</v>
      </c>
      <c r="F1631" s="6">
        <v>4.0</v>
      </c>
      <c r="G1631" s="13">
        <v>20.09</v>
      </c>
      <c r="H1631" s="6">
        <v>0.16</v>
      </c>
      <c r="I1631" s="6" t="s">
        <v>1967</v>
      </c>
      <c r="J1631" s="13">
        <v>67.5024</v>
      </c>
      <c r="K1631" s="6" t="str">
        <f t="shared" si="1"/>
        <v>Low Earnings</v>
      </c>
    </row>
    <row r="1632" ht="14.25" customHeight="1">
      <c r="A1632" s="6" t="s">
        <v>3597</v>
      </c>
      <c r="B1632" s="17">
        <v>45654.0</v>
      </c>
      <c r="C1632" s="6" t="s">
        <v>238</v>
      </c>
      <c r="D1632" s="6" t="s">
        <v>1694</v>
      </c>
      <c r="E1632" s="6" t="s">
        <v>1932</v>
      </c>
      <c r="F1632" s="6">
        <v>3.0</v>
      </c>
      <c r="G1632" s="13">
        <v>917.64</v>
      </c>
      <c r="H1632" s="6">
        <v>0.24</v>
      </c>
      <c r="I1632" s="6" t="s">
        <v>1967</v>
      </c>
      <c r="J1632" s="13">
        <v>2092.2192</v>
      </c>
      <c r="K1632" s="6" t="str">
        <f t="shared" si="1"/>
        <v>Average Earnings</v>
      </c>
    </row>
    <row r="1633" ht="14.25" customHeight="1">
      <c r="A1633" s="6" t="s">
        <v>3598</v>
      </c>
      <c r="B1633" s="17">
        <v>45594.0</v>
      </c>
      <c r="C1633" s="6" t="s">
        <v>203</v>
      </c>
      <c r="D1633" s="6" t="s">
        <v>1643</v>
      </c>
      <c r="E1633" s="6" t="s">
        <v>1892</v>
      </c>
      <c r="F1633" s="6">
        <v>1.0</v>
      </c>
      <c r="G1633" s="13">
        <v>242.08</v>
      </c>
      <c r="H1633" s="6">
        <v>0.18</v>
      </c>
      <c r="I1633" s="6" t="s">
        <v>1967</v>
      </c>
      <c r="J1633" s="13">
        <v>198.5056</v>
      </c>
      <c r="K1633" s="6" t="str">
        <f t="shared" si="1"/>
        <v>Low Earnings</v>
      </c>
    </row>
    <row r="1634" ht="14.25" customHeight="1">
      <c r="A1634" s="6" t="s">
        <v>3599</v>
      </c>
      <c r="B1634" s="17">
        <v>45581.0</v>
      </c>
      <c r="C1634" s="6" t="s">
        <v>222</v>
      </c>
      <c r="D1634" s="6" t="s">
        <v>1776</v>
      </c>
      <c r="E1634" s="6" t="s">
        <v>1919</v>
      </c>
      <c r="F1634" s="6">
        <v>1.0</v>
      </c>
      <c r="G1634" s="13">
        <v>536.68</v>
      </c>
      <c r="H1634" s="6">
        <v>0.27</v>
      </c>
      <c r="I1634" s="6" t="s">
        <v>1965</v>
      </c>
      <c r="J1634" s="13">
        <v>391.7764</v>
      </c>
      <c r="K1634" s="6" t="str">
        <f t="shared" si="1"/>
        <v>Low Earnings</v>
      </c>
    </row>
    <row r="1635" ht="14.25" customHeight="1">
      <c r="A1635" s="6" t="s">
        <v>3600</v>
      </c>
      <c r="B1635" s="17">
        <v>45748.0</v>
      </c>
      <c r="C1635" s="6" t="s">
        <v>346</v>
      </c>
      <c r="D1635" s="6" t="s">
        <v>1669</v>
      </c>
      <c r="E1635" s="6" t="s">
        <v>1909</v>
      </c>
      <c r="F1635" s="6">
        <v>2.0</v>
      </c>
      <c r="G1635" s="13">
        <v>145.18</v>
      </c>
      <c r="H1635" s="6">
        <v>0.26</v>
      </c>
      <c r="I1635" s="6" t="s">
        <v>1967</v>
      </c>
      <c r="J1635" s="13">
        <v>214.8664</v>
      </c>
      <c r="K1635" s="6" t="str">
        <f t="shared" si="1"/>
        <v>Low Earnings</v>
      </c>
    </row>
    <row r="1636" ht="14.25" customHeight="1">
      <c r="A1636" s="6" t="s">
        <v>3601</v>
      </c>
      <c r="B1636" s="17">
        <v>45255.0</v>
      </c>
      <c r="C1636" s="6" t="s">
        <v>1503</v>
      </c>
      <c r="D1636" s="6" t="s">
        <v>1611</v>
      </c>
      <c r="E1636" s="6" t="s">
        <v>1901</v>
      </c>
      <c r="F1636" s="6">
        <v>1.0</v>
      </c>
      <c r="G1636" s="13">
        <v>989.17</v>
      </c>
      <c r="H1636" s="6">
        <v>0.2</v>
      </c>
      <c r="I1636" s="6" t="s">
        <v>1967</v>
      </c>
      <c r="J1636" s="13">
        <v>791.336</v>
      </c>
      <c r="K1636" s="6" t="str">
        <f t="shared" si="1"/>
        <v>Low Earnings</v>
      </c>
    </row>
    <row r="1637" ht="14.25" customHeight="1">
      <c r="A1637" s="6" t="s">
        <v>3602</v>
      </c>
      <c r="B1637" s="17">
        <v>45369.0</v>
      </c>
      <c r="C1637" s="6" t="s">
        <v>730</v>
      </c>
      <c r="D1637" s="6" t="s">
        <v>1788</v>
      </c>
      <c r="E1637" s="6" t="s">
        <v>1909</v>
      </c>
      <c r="F1637" s="6">
        <v>2.0</v>
      </c>
      <c r="G1637" s="13">
        <v>132.77</v>
      </c>
      <c r="H1637" s="6">
        <v>0.13</v>
      </c>
      <c r="I1637" s="6" t="s">
        <v>1973</v>
      </c>
      <c r="J1637" s="13">
        <v>231.0198</v>
      </c>
      <c r="K1637" s="6" t="str">
        <f t="shared" si="1"/>
        <v>Low Earnings</v>
      </c>
    </row>
    <row r="1638" ht="14.25" customHeight="1">
      <c r="A1638" s="6" t="s">
        <v>3603</v>
      </c>
      <c r="B1638" s="17">
        <v>45701.0</v>
      </c>
      <c r="C1638" s="6" t="s">
        <v>70</v>
      </c>
      <c r="D1638" s="6" t="s">
        <v>1708</v>
      </c>
      <c r="E1638" s="6" t="s">
        <v>1926</v>
      </c>
      <c r="F1638" s="6">
        <v>4.0</v>
      </c>
      <c r="G1638" s="13">
        <v>682.11</v>
      </c>
      <c r="H1638" s="6">
        <v>0.14</v>
      </c>
      <c r="I1638" s="6" t="s">
        <v>1965</v>
      </c>
      <c r="J1638" s="13">
        <v>2346.4584</v>
      </c>
      <c r="K1638" s="6" t="str">
        <f t="shared" si="1"/>
        <v>Average Earnings</v>
      </c>
    </row>
    <row r="1639" ht="14.25" customHeight="1">
      <c r="A1639" s="6" t="s">
        <v>3604</v>
      </c>
      <c r="B1639" s="17">
        <v>45510.0</v>
      </c>
      <c r="C1639" s="6" t="s">
        <v>1511</v>
      </c>
      <c r="D1639" s="6" t="s">
        <v>1705</v>
      </c>
      <c r="E1639" s="6" t="s">
        <v>1947</v>
      </c>
      <c r="F1639" s="6">
        <v>4.0</v>
      </c>
      <c r="G1639" s="13">
        <v>502.95</v>
      </c>
      <c r="H1639" s="6">
        <v>0.14</v>
      </c>
      <c r="I1639" s="6" t="s">
        <v>1973</v>
      </c>
      <c r="J1639" s="13">
        <v>1730.148</v>
      </c>
      <c r="K1639" s="6" t="str">
        <f t="shared" si="1"/>
        <v>Average Earnings</v>
      </c>
    </row>
    <row r="1640" ht="14.25" customHeight="1">
      <c r="A1640" s="6" t="s">
        <v>3605</v>
      </c>
      <c r="B1640" s="17">
        <v>45538.0</v>
      </c>
      <c r="C1640" s="6" t="s">
        <v>767</v>
      </c>
      <c r="D1640" s="6" t="s">
        <v>1694</v>
      </c>
      <c r="E1640" s="6" t="s">
        <v>1944</v>
      </c>
      <c r="F1640" s="6">
        <v>2.0</v>
      </c>
      <c r="G1640" s="13">
        <v>472.08</v>
      </c>
      <c r="H1640" s="6">
        <v>0.07</v>
      </c>
      <c r="I1640" s="6" t="s">
        <v>1965</v>
      </c>
      <c r="J1640" s="13">
        <v>878.0687999999999</v>
      </c>
      <c r="K1640" s="6" t="str">
        <f t="shared" si="1"/>
        <v>Low Earnings</v>
      </c>
    </row>
    <row r="1641" ht="14.25" customHeight="1">
      <c r="A1641" s="6" t="s">
        <v>3606</v>
      </c>
      <c r="B1641" s="17">
        <v>45665.0</v>
      </c>
      <c r="C1641" s="6" t="s">
        <v>1474</v>
      </c>
      <c r="D1641" s="6" t="s">
        <v>1758</v>
      </c>
      <c r="E1641" s="6" t="s">
        <v>1947</v>
      </c>
      <c r="F1641" s="6">
        <v>2.0</v>
      </c>
      <c r="G1641" s="13">
        <v>218.11</v>
      </c>
      <c r="H1641" s="6">
        <v>0.02</v>
      </c>
      <c r="I1641" s="6" t="s">
        <v>1973</v>
      </c>
      <c r="J1641" s="13">
        <v>427.4956</v>
      </c>
      <c r="K1641" s="6" t="str">
        <f t="shared" si="1"/>
        <v>Low Earnings</v>
      </c>
    </row>
    <row r="1642" ht="14.25" customHeight="1">
      <c r="A1642" s="6" t="s">
        <v>3607</v>
      </c>
      <c r="B1642" s="17">
        <v>45859.0</v>
      </c>
      <c r="C1642" s="6" t="s">
        <v>222</v>
      </c>
      <c r="D1642" s="6" t="s">
        <v>1565</v>
      </c>
      <c r="E1642" s="6" t="s">
        <v>1916</v>
      </c>
      <c r="F1642" s="6">
        <v>4.0</v>
      </c>
      <c r="G1642" s="13">
        <v>845.58</v>
      </c>
      <c r="H1642" s="6">
        <v>0.06</v>
      </c>
      <c r="I1642" s="6" t="s">
        <v>1967</v>
      </c>
      <c r="J1642" s="13">
        <v>3179.3808</v>
      </c>
      <c r="K1642" s="6" t="str">
        <f t="shared" si="1"/>
        <v>High Earnings</v>
      </c>
    </row>
    <row r="1643" ht="14.25" customHeight="1">
      <c r="A1643" s="6" t="s">
        <v>3608</v>
      </c>
      <c r="B1643" s="17">
        <v>45255.0</v>
      </c>
      <c r="C1643" s="6" t="s">
        <v>450</v>
      </c>
      <c r="D1643" s="6" t="s">
        <v>1828</v>
      </c>
      <c r="E1643" s="6" t="s">
        <v>1901</v>
      </c>
      <c r="F1643" s="6">
        <v>2.0</v>
      </c>
      <c r="G1643" s="13">
        <v>111.28</v>
      </c>
      <c r="H1643" s="6">
        <v>0.14</v>
      </c>
      <c r="I1643" s="6" t="s">
        <v>1965</v>
      </c>
      <c r="J1643" s="13">
        <v>191.4016</v>
      </c>
      <c r="K1643" s="6" t="str">
        <f t="shared" si="1"/>
        <v>Low Earnings</v>
      </c>
    </row>
    <row r="1644" ht="14.25" customHeight="1">
      <c r="A1644" s="6" t="s">
        <v>3609</v>
      </c>
      <c r="B1644" s="17">
        <v>45842.0</v>
      </c>
      <c r="C1644" s="6" t="s">
        <v>597</v>
      </c>
      <c r="D1644" s="6" t="s">
        <v>1764</v>
      </c>
      <c r="E1644" s="6" t="s">
        <v>1939</v>
      </c>
      <c r="F1644" s="6">
        <v>2.0</v>
      </c>
      <c r="G1644" s="13">
        <v>37.21</v>
      </c>
      <c r="H1644" s="6">
        <v>0.19</v>
      </c>
      <c r="I1644" s="6" t="s">
        <v>1965</v>
      </c>
      <c r="J1644" s="13">
        <v>60.28020000000001</v>
      </c>
      <c r="K1644" s="6" t="str">
        <f t="shared" si="1"/>
        <v>Low Earnings</v>
      </c>
    </row>
    <row r="1645" ht="14.25" customHeight="1">
      <c r="A1645" s="6" t="s">
        <v>3610</v>
      </c>
      <c r="B1645" s="17">
        <v>45220.0</v>
      </c>
      <c r="C1645" s="6" t="s">
        <v>1311</v>
      </c>
      <c r="D1645" s="6" t="s">
        <v>1773</v>
      </c>
      <c r="E1645" s="6" t="s">
        <v>1937</v>
      </c>
      <c r="F1645" s="6">
        <v>1.0</v>
      </c>
      <c r="G1645" s="13">
        <v>331.73</v>
      </c>
      <c r="H1645" s="6">
        <v>0.04</v>
      </c>
      <c r="I1645" s="6" t="s">
        <v>1965</v>
      </c>
      <c r="J1645" s="13">
        <v>318.4608</v>
      </c>
      <c r="K1645" s="6" t="str">
        <f t="shared" si="1"/>
        <v>Low Earnings</v>
      </c>
    </row>
    <row r="1646" ht="14.25" customHeight="1">
      <c r="A1646" s="6" t="s">
        <v>3611</v>
      </c>
      <c r="B1646" s="17">
        <v>45273.0</v>
      </c>
      <c r="C1646" s="6" t="s">
        <v>1155</v>
      </c>
      <c r="D1646" s="6" t="s">
        <v>1798</v>
      </c>
      <c r="E1646" s="6" t="s">
        <v>1934</v>
      </c>
      <c r="F1646" s="6">
        <v>3.0</v>
      </c>
      <c r="G1646" s="13">
        <v>306.71</v>
      </c>
      <c r="H1646" s="6">
        <v>0.09</v>
      </c>
      <c r="I1646" s="6" t="s">
        <v>1967</v>
      </c>
      <c r="J1646" s="13">
        <v>837.3182999999999</v>
      </c>
      <c r="K1646" s="6" t="str">
        <f t="shared" si="1"/>
        <v>Low Earnings</v>
      </c>
    </row>
    <row r="1647" ht="14.25" customHeight="1">
      <c r="A1647" s="6" t="s">
        <v>3612</v>
      </c>
      <c r="B1647" s="17">
        <v>45270.0</v>
      </c>
      <c r="C1647" s="6" t="s">
        <v>1179</v>
      </c>
      <c r="D1647" s="6" t="s">
        <v>1804</v>
      </c>
      <c r="E1647" s="6" t="s">
        <v>1929</v>
      </c>
      <c r="F1647" s="6">
        <v>4.0</v>
      </c>
      <c r="G1647" s="13">
        <v>62.48</v>
      </c>
      <c r="H1647" s="6">
        <v>0.18</v>
      </c>
      <c r="I1647" s="6" t="s">
        <v>1965</v>
      </c>
      <c r="J1647" s="13">
        <v>204.9344</v>
      </c>
      <c r="K1647" s="6" t="str">
        <f t="shared" si="1"/>
        <v>Low Earnings</v>
      </c>
    </row>
    <row r="1648" ht="14.25" customHeight="1">
      <c r="A1648" s="6" t="s">
        <v>3613</v>
      </c>
      <c r="B1648" s="17">
        <v>45456.0</v>
      </c>
      <c r="C1648" s="6" t="s">
        <v>875</v>
      </c>
      <c r="D1648" s="6" t="s">
        <v>1657</v>
      </c>
      <c r="E1648" s="6" t="s">
        <v>1916</v>
      </c>
      <c r="F1648" s="6">
        <v>4.0</v>
      </c>
      <c r="G1648" s="13">
        <v>484.92</v>
      </c>
      <c r="H1648" s="6">
        <v>0.28</v>
      </c>
      <c r="I1648" s="6" t="s">
        <v>1967</v>
      </c>
      <c r="J1648" s="13">
        <v>1396.5696</v>
      </c>
      <c r="K1648" s="6" t="str">
        <f t="shared" si="1"/>
        <v>Average Earnings</v>
      </c>
    </row>
    <row r="1649" ht="14.25" customHeight="1">
      <c r="A1649" s="6" t="s">
        <v>3614</v>
      </c>
      <c r="B1649" s="17">
        <v>45292.0</v>
      </c>
      <c r="C1649" s="6" t="s">
        <v>176</v>
      </c>
      <c r="D1649" s="6" t="s">
        <v>1737</v>
      </c>
      <c r="E1649" s="6" t="s">
        <v>1913</v>
      </c>
      <c r="F1649" s="6">
        <v>2.0</v>
      </c>
      <c r="G1649" s="13">
        <v>42.04</v>
      </c>
      <c r="H1649" s="6">
        <v>0.07</v>
      </c>
      <c r="I1649" s="6" t="s">
        <v>1965</v>
      </c>
      <c r="J1649" s="13">
        <v>78.19439999999999</v>
      </c>
      <c r="K1649" s="6" t="str">
        <f t="shared" si="1"/>
        <v>Low Earnings</v>
      </c>
    </row>
    <row r="1650" ht="14.25" customHeight="1">
      <c r="A1650" s="6" t="s">
        <v>3615</v>
      </c>
      <c r="B1650" s="17">
        <v>45278.0</v>
      </c>
      <c r="C1650" s="6" t="s">
        <v>908</v>
      </c>
      <c r="D1650" s="6" t="s">
        <v>1752</v>
      </c>
      <c r="E1650" s="6" t="s">
        <v>1916</v>
      </c>
      <c r="F1650" s="6">
        <v>3.0</v>
      </c>
      <c r="G1650" s="13">
        <v>599.48</v>
      </c>
      <c r="H1650" s="6">
        <v>0.22</v>
      </c>
      <c r="I1650" s="6" t="s">
        <v>1967</v>
      </c>
      <c r="J1650" s="13">
        <v>1402.7832</v>
      </c>
      <c r="K1650" s="6" t="str">
        <f t="shared" si="1"/>
        <v>Average Earnings</v>
      </c>
    </row>
    <row r="1651" ht="14.25" customHeight="1">
      <c r="A1651" s="6" t="s">
        <v>3616</v>
      </c>
      <c r="B1651" s="17">
        <v>45232.0</v>
      </c>
      <c r="C1651" s="6" t="s">
        <v>1134</v>
      </c>
      <c r="D1651" s="6" t="s">
        <v>1630</v>
      </c>
      <c r="E1651" s="6" t="s">
        <v>1897</v>
      </c>
      <c r="F1651" s="6">
        <v>3.0</v>
      </c>
      <c r="G1651" s="13">
        <v>401.42</v>
      </c>
      <c r="H1651" s="6">
        <v>0.01</v>
      </c>
      <c r="I1651" s="6" t="s">
        <v>1973</v>
      </c>
      <c r="J1651" s="13">
        <v>1192.2174</v>
      </c>
      <c r="K1651" s="6" t="str">
        <f t="shared" si="1"/>
        <v>Average Earnings</v>
      </c>
    </row>
    <row r="1652" ht="14.25" customHeight="1">
      <c r="A1652" s="6" t="s">
        <v>3617</v>
      </c>
      <c r="B1652" s="17">
        <v>45907.0</v>
      </c>
      <c r="C1652" s="6" t="s">
        <v>643</v>
      </c>
      <c r="D1652" s="6" t="s">
        <v>1723</v>
      </c>
      <c r="E1652" s="6" t="s">
        <v>1922</v>
      </c>
      <c r="F1652" s="6">
        <v>4.0</v>
      </c>
      <c r="G1652" s="13">
        <v>442.54</v>
      </c>
      <c r="H1652" s="6">
        <v>0.06</v>
      </c>
      <c r="I1652" s="6" t="s">
        <v>1965</v>
      </c>
      <c r="J1652" s="13">
        <v>1663.9504</v>
      </c>
      <c r="K1652" s="6" t="str">
        <f t="shared" si="1"/>
        <v>Average Earnings</v>
      </c>
    </row>
    <row r="1653" ht="14.25" customHeight="1">
      <c r="A1653" s="6" t="s">
        <v>3618</v>
      </c>
      <c r="B1653" s="17">
        <v>45270.0</v>
      </c>
      <c r="C1653" s="6" t="s">
        <v>1424</v>
      </c>
      <c r="D1653" s="6" t="s">
        <v>1852</v>
      </c>
      <c r="E1653" s="6" t="s">
        <v>1937</v>
      </c>
      <c r="F1653" s="6">
        <v>4.0</v>
      </c>
      <c r="G1653" s="13">
        <v>451.41</v>
      </c>
      <c r="H1653" s="6">
        <v>0.06</v>
      </c>
      <c r="I1653" s="6" t="s">
        <v>1967</v>
      </c>
      <c r="J1653" s="13">
        <v>1697.3016</v>
      </c>
      <c r="K1653" s="6" t="str">
        <f t="shared" si="1"/>
        <v>Average Earnings</v>
      </c>
    </row>
    <row r="1654" ht="14.25" customHeight="1">
      <c r="A1654" s="6" t="s">
        <v>3619</v>
      </c>
      <c r="B1654" s="17">
        <v>45942.0</v>
      </c>
      <c r="C1654" s="6" t="s">
        <v>861</v>
      </c>
      <c r="D1654" s="6" t="s">
        <v>1861</v>
      </c>
      <c r="E1654" s="6" t="s">
        <v>1926</v>
      </c>
      <c r="F1654" s="6">
        <v>4.0</v>
      </c>
      <c r="G1654" s="13">
        <v>547.21</v>
      </c>
      <c r="H1654" s="6">
        <v>0.25</v>
      </c>
      <c r="I1654" s="6" t="s">
        <v>1965</v>
      </c>
      <c r="J1654" s="13">
        <v>1641.63</v>
      </c>
      <c r="K1654" s="6" t="str">
        <f t="shared" si="1"/>
        <v>Average Earnings</v>
      </c>
    </row>
    <row r="1655" ht="14.25" customHeight="1">
      <c r="A1655" s="6" t="s">
        <v>3620</v>
      </c>
      <c r="B1655" s="17">
        <v>45750.0</v>
      </c>
      <c r="C1655" s="6" t="s">
        <v>675</v>
      </c>
      <c r="D1655" s="6" t="s">
        <v>1849</v>
      </c>
      <c r="E1655" s="6" t="s">
        <v>1909</v>
      </c>
      <c r="F1655" s="6">
        <v>1.0</v>
      </c>
      <c r="G1655" s="13">
        <v>979.28</v>
      </c>
      <c r="H1655" s="6">
        <v>0.2</v>
      </c>
      <c r="I1655" s="6" t="s">
        <v>1967</v>
      </c>
      <c r="J1655" s="13">
        <v>783.424</v>
      </c>
      <c r="K1655" s="6" t="str">
        <f t="shared" si="1"/>
        <v>Low Earnings</v>
      </c>
    </row>
    <row r="1656" ht="14.25" customHeight="1">
      <c r="A1656" s="6" t="s">
        <v>3621</v>
      </c>
      <c r="B1656" s="17">
        <v>45300.0</v>
      </c>
      <c r="C1656" s="6" t="s">
        <v>1447</v>
      </c>
      <c r="D1656" s="6" t="s">
        <v>1755</v>
      </c>
      <c r="E1656" s="6" t="s">
        <v>1919</v>
      </c>
      <c r="F1656" s="6">
        <v>4.0</v>
      </c>
      <c r="G1656" s="13">
        <v>263.59</v>
      </c>
      <c r="H1656" s="6">
        <v>0.04</v>
      </c>
      <c r="I1656" s="6" t="s">
        <v>1965</v>
      </c>
      <c r="J1656" s="13">
        <v>1012.1856</v>
      </c>
      <c r="K1656" s="6" t="str">
        <f t="shared" si="1"/>
        <v>Average Earnings</v>
      </c>
    </row>
    <row r="1657" ht="14.25" customHeight="1">
      <c r="A1657" s="6" t="s">
        <v>3622</v>
      </c>
      <c r="B1657" s="17">
        <v>45876.0</v>
      </c>
      <c r="C1657" s="6" t="s">
        <v>25</v>
      </c>
      <c r="D1657" s="6" t="s">
        <v>1749</v>
      </c>
      <c r="E1657" s="6" t="s">
        <v>1913</v>
      </c>
      <c r="F1657" s="6">
        <v>1.0</v>
      </c>
      <c r="G1657" s="13">
        <v>692.75</v>
      </c>
      <c r="H1657" s="6">
        <v>0.11</v>
      </c>
      <c r="I1657" s="6" t="s">
        <v>1973</v>
      </c>
      <c r="J1657" s="13">
        <v>616.5475</v>
      </c>
      <c r="K1657" s="6" t="str">
        <f t="shared" si="1"/>
        <v>Low Earnings</v>
      </c>
    </row>
    <row r="1658" ht="14.25" customHeight="1">
      <c r="A1658" s="6" t="s">
        <v>3623</v>
      </c>
      <c r="B1658" s="17">
        <v>45897.0</v>
      </c>
      <c r="C1658" s="6" t="s">
        <v>1329</v>
      </c>
      <c r="D1658" s="6" t="s">
        <v>1615</v>
      </c>
      <c r="E1658" s="6" t="s">
        <v>1944</v>
      </c>
      <c r="F1658" s="6">
        <v>4.0</v>
      </c>
      <c r="G1658" s="13">
        <v>561.24</v>
      </c>
      <c r="H1658" s="6">
        <v>0.24</v>
      </c>
      <c r="I1658" s="6" t="s">
        <v>1965</v>
      </c>
      <c r="J1658" s="13">
        <v>1706.1696</v>
      </c>
      <c r="K1658" s="6" t="str">
        <f t="shared" si="1"/>
        <v>Average Earnings</v>
      </c>
    </row>
    <row r="1659" ht="14.25" customHeight="1">
      <c r="A1659" s="6" t="s">
        <v>3624</v>
      </c>
      <c r="B1659" s="17">
        <v>45301.0</v>
      </c>
      <c r="C1659" s="6" t="s">
        <v>555</v>
      </c>
      <c r="D1659" s="6" t="s">
        <v>1776</v>
      </c>
      <c r="E1659" s="6" t="s">
        <v>1906</v>
      </c>
      <c r="F1659" s="6">
        <v>3.0</v>
      </c>
      <c r="G1659" s="13">
        <v>142.83</v>
      </c>
      <c r="H1659" s="6">
        <v>0.01</v>
      </c>
      <c r="I1659" s="6" t="s">
        <v>1965</v>
      </c>
      <c r="J1659" s="13">
        <v>424.2051</v>
      </c>
      <c r="K1659" s="6" t="str">
        <f t="shared" si="1"/>
        <v>Low Earnings</v>
      </c>
    </row>
    <row r="1660" ht="14.25" customHeight="1">
      <c r="A1660" s="6" t="s">
        <v>3625</v>
      </c>
      <c r="B1660" s="17">
        <v>45857.0</v>
      </c>
      <c r="C1660" s="6" t="s">
        <v>437</v>
      </c>
      <c r="D1660" s="6" t="s">
        <v>1647</v>
      </c>
      <c r="E1660" s="6" t="s">
        <v>1901</v>
      </c>
      <c r="F1660" s="6">
        <v>2.0</v>
      </c>
      <c r="G1660" s="13">
        <v>419.25</v>
      </c>
      <c r="H1660" s="6">
        <v>0.17</v>
      </c>
      <c r="I1660" s="6" t="s">
        <v>1967</v>
      </c>
      <c r="J1660" s="13">
        <v>695.9549999999999</v>
      </c>
      <c r="K1660" s="6" t="str">
        <f t="shared" si="1"/>
        <v>Low Earnings</v>
      </c>
    </row>
    <row r="1661" ht="14.25" customHeight="1">
      <c r="A1661" s="6" t="s">
        <v>3626</v>
      </c>
      <c r="B1661" s="17">
        <v>45650.0</v>
      </c>
      <c r="C1661" s="6" t="s">
        <v>785</v>
      </c>
      <c r="D1661" s="6" t="s">
        <v>1660</v>
      </c>
      <c r="E1661" s="6" t="s">
        <v>1953</v>
      </c>
      <c r="F1661" s="6">
        <v>2.0</v>
      </c>
      <c r="G1661" s="13">
        <v>800.84</v>
      </c>
      <c r="H1661" s="6">
        <v>0.27</v>
      </c>
      <c r="I1661" s="6" t="s">
        <v>1973</v>
      </c>
      <c r="J1661" s="13">
        <v>1169.2264</v>
      </c>
      <c r="K1661" s="6" t="str">
        <f t="shared" si="1"/>
        <v>Average Earnings</v>
      </c>
    </row>
    <row r="1662" ht="14.25" customHeight="1">
      <c r="A1662" s="6" t="s">
        <v>3627</v>
      </c>
      <c r="B1662" s="17">
        <v>45520.0</v>
      </c>
      <c r="C1662" s="6" t="s">
        <v>19</v>
      </c>
      <c r="D1662" s="6" t="s">
        <v>1730</v>
      </c>
      <c r="E1662" s="6" t="s">
        <v>1901</v>
      </c>
      <c r="F1662" s="6">
        <v>1.0</v>
      </c>
      <c r="G1662" s="13">
        <v>301.24</v>
      </c>
      <c r="H1662" s="6">
        <v>0.11</v>
      </c>
      <c r="I1662" s="6" t="s">
        <v>1967</v>
      </c>
      <c r="J1662" s="13">
        <v>268.1036</v>
      </c>
      <c r="K1662" s="6" t="str">
        <f t="shared" si="1"/>
        <v>Low Earnings</v>
      </c>
    </row>
    <row r="1663" ht="14.25" customHeight="1">
      <c r="A1663" s="6" t="s">
        <v>3628</v>
      </c>
      <c r="B1663" s="17">
        <v>45497.0</v>
      </c>
      <c r="C1663" s="6" t="s">
        <v>929</v>
      </c>
      <c r="D1663" s="6" t="s">
        <v>1843</v>
      </c>
      <c r="E1663" s="6" t="s">
        <v>1913</v>
      </c>
      <c r="F1663" s="6">
        <v>2.0</v>
      </c>
      <c r="G1663" s="13">
        <v>701.49</v>
      </c>
      <c r="H1663" s="6">
        <v>0.09</v>
      </c>
      <c r="I1663" s="6" t="s">
        <v>1967</v>
      </c>
      <c r="J1663" s="13">
        <v>1276.7118</v>
      </c>
      <c r="K1663" s="6" t="str">
        <f t="shared" si="1"/>
        <v>Average Earnings</v>
      </c>
    </row>
    <row r="1664" ht="14.25" customHeight="1">
      <c r="A1664" s="6" t="s">
        <v>3629</v>
      </c>
      <c r="B1664" s="17">
        <v>45615.0</v>
      </c>
      <c r="C1664" s="6" t="s">
        <v>1116</v>
      </c>
      <c r="D1664" s="6" t="s">
        <v>1660</v>
      </c>
      <c r="E1664" s="6" t="s">
        <v>1929</v>
      </c>
      <c r="F1664" s="6">
        <v>4.0</v>
      </c>
      <c r="G1664" s="13">
        <v>413.48</v>
      </c>
      <c r="H1664" s="6">
        <v>0.02</v>
      </c>
      <c r="I1664" s="6" t="s">
        <v>1967</v>
      </c>
      <c r="J1664" s="13">
        <v>1620.8416</v>
      </c>
      <c r="K1664" s="6" t="str">
        <f t="shared" si="1"/>
        <v>Average Earnings</v>
      </c>
    </row>
    <row r="1665" ht="14.25" customHeight="1">
      <c r="A1665" s="6" t="s">
        <v>3630</v>
      </c>
      <c r="B1665" s="17">
        <v>45365.0</v>
      </c>
      <c r="C1665" s="6" t="s">
        <v>658</v>
      </c>
      <c r="D1665" s="6" t="s">
        <v>1595</v>
      </c>
      <c r="E1665" s="6" t="s">
        <v>1897</v>
      </c>
      <c r="F1665" s="6">
        <v>4.0</v>
      </c>
      <c r="G1665" s="13">
        <v>167.83</v>
      </c>
      <c r="H1665" s="6">
        <v>0.15</v>
      </c>
      <c r="I1665" s="6" t="s">
        <v>1965</v>
      </c>
      <c r="J1665" s="13">
        <v>570.6220000000001</v>
      </c>
      <c r="K1665" s="6" t="str">
        <f t="shared" si="1"/>
        <v>Low Earnings</v>
      </c>
    </row>
    <row r="1666" ht="14.25" customHeight="1">
      <c r="A1666" s="6" t="s">
        <v>3631</v>
      </c>
      <c r="B1666" s="17">
        <v>45832.0</v>
      </c>
      <c r="C1666" s="6" t="s">
        <v>483</v>
      </c>
      <c r="D1666" s="6" t="s">
        <v>1622</v>
      </c>
      <c r="E1666" s="6" t="s">
        <v>1950</v>
      </c>
      <c r="F1666" s="6">
        <v>2.0</v>
      </c>
      <c r="G1666" s="13">
        <v>669.12</v>
      </c>
      <c r="H1666" s="6">
        <v>0.22</v>
      </c>
      <c r="I1666" s="6" t="s">
        <v>1965</v>
      </c>
      <c r="J1666" s="13">
        <v>1043.8272</v>
      </c>
      <c r="K1666" s="6" t="str">
        <f t="shared" si="1"/>
        <v>Average Earnings</v>
      </c>
    </row>
    <row r="1667" ht="14.25" customHeight="1">
      <c r="A1667" s="6" t="s">
        <v>3632</v>
      </c>
      <c r="B1667" s="17">
        <v>45530.0</v>
      </c>
      <c r="C1667" s="6" t="s">
        <v>161</v>
      </c>
      <c r="D1667" s="6" t="s">
        <v>1694</v>
      </c>
      <c r="E1667" s="6" t="s">
        <v>1919</v>
      </c>
      <c r="F1667" s="6">
        <v>3.0</v>
      </c>
      <c r="G1667" s="13">
        <v>346.77</v>
      </c>
      <c r="H1667" s="6">
        <v>0.18</v>
      </c>
      <c r="I1667" s="6" t="s">
        <v>1967</v>
      </c>
      <c r="J1667" s="13">
        <v>853.0542</v>
      </c>
      <c r="K1667" s="6" t="str">
        <f t="shared" si="1"/>
        <v>Low Earnings</v>
      </c>
    </row>
    <row r="1668" ht="14.25" customHeight="1">
      <c r="A1668" s="6" t="s">
        <v>3633</v>
      </c>
      <c r="B1668" s="17">
        <v>45939.0</v>
      </c>
      <c r="C1668" s="6" t="s">
        <v>229</v>
      </c>
      <c r="D1668" s="6" t="s">
        <v>1650</v>
      </c>
      <c r="E1668" s="6" t="s">
        <v>1953</v>
      </c>
      <c r="F1668" s="6">
        <v>3.0</v>
      </c>
      <c r="G1668" s="13">
        <v>648.33</v>
      </c>
      <c r="H1668" s="6">
        <v>0.2</v>
      </c>
      <c r="I1668" s="6" t="s">
        <v>1973</v>
      </c>
      <c r="J1668" s="13">
        <v>1555.992</v>
      </c>
      <c r="K1668" s="6" t="str">
        <f t="shared" si="1"/>
        <v>Average Earnings</v>
      </c>
    </row>
    <row r="1669" ht="14.25" customHeight="1">
      <c r="A1669" s="6" t="s">
        <v>3634</v>
      </c>
      <c r="B1669" s="17">
        <v>45248.0</v>
      </c>
      <c r="C1669" s="6" t="s">
        <v>522</v>
      </c>
      <c r="D1669" s="6" t="s">
        <v>1798</v>
      </c>
      <c r="E1669" s="6" t="s">
        <v>1922</v>
      </c>
      <c r="F1669" s="6">
        <v>4.0</v>
      </c>
      <c r="G1669" s="13">
        <v>342.39</v>
      </c>
      <c r="H1669" s="6">
        <v>0.23</v>
      </c>
      <c r="I1669" s="6" t="s">
        <v>1967</v>
      </c>
      <c r="J1669" s="13">
        <v>1054.5612</v>
      </c>
      <c r="K1669" s="6" t="str">
        <f t="shared" si="1"/>
        <v>Average Earnings</v>
      </c>
    </row>
    <row r="1670" ht="14.25" customHeight="1">
      <c r="A1670" s="6" t="s">
        <v>3635</v>
      </c>
      <c r="B1670" s="17">
        <v>45849.0</v>
      </c>
      <c r="C1670" s="6" t="s">
        <v>226</v>
      </c>
      <c r="D1670" s="6" t="s">
        <v>1767</v>
      </c>
      <c r="E1670" s="6" t="s">
        <v>1913</v>
      </c>
      <c r="F1670" s="6">
        <v>3.0</v>
      </c>
      <c r="G1670" s="13">
        <v>92.24</v>
      </c>
      <c r="H1670" s="6">
        <v>0.28</v>
      </c>
      <c r="I1670" s="6" t="s">
        <v>1973</v>
      </c>
      <c r="J1670" s="13">
        <f>F1670*G1670*(1-H1670)</f>
        <v>199.2384</v>
      </c>
      <c r="K1670" s="6" t="str">
        <f t="shared" si="1"/>
        <v>Low Earnings</v>
      </c>
    </row>
    <row r="1671" ht="14.25" customHeight="1">
      <c r="A1671" s="6" t="s">
        <v>3636</v>
      </c>
      <c r="B1671" s="17">
        <v>45401.0</v>
      </c>
      <c r="C1671" s="6" t="s">
        <v>920</v>
      </c>
      <c r="D1671" s="6" t="s">
        <v>1585</v>
      </c>
      <c r="E1671" s="6" t="s">
        <v>1901</v>
      </c>
      <c r="F1671" s="6">
        <v>4.0</v>
      </c>
      <c r="G1671" s="13">
        <v>254.94</v>
      </c>
      <c r="H1671" s="6">
        <v>0.06</v>
      </c>
      <c r="I1671" s="6" t="s">
        <v>1967</v>
      </c>
      <c r="J1671" s="13">
        <v>958.5744</v>
      </c>
      <c r="K1671" s="6" t="str">
        <f t="shared" si="1"/>
        <v>Low Earnings</v>
      </c>
    </row>
    <row r="1672" ht="14.25" customHeight="1">
      <c r="A1672" s="6" t="s">
        <v>3637</v>
      </c>
      <c r="B1672" s="17">
        <v>45420.0</v>
      </c>
      <c r="C1672" s="6" t="s">
        <v>1077</v>
      </c>
      <c r="D1672" s="6" t="s">
        <v>1831</v>
      </c>
      <c r="E1672" s="6" t="s">
        <v>1909</v>
      </c>
      <c r="F1672" s="6">
        <v>1.0</v>
      </c>
      <c r="G1672" s="13">
        <v>445.5</v>
      </c>
      <c r="H1672" s="6">
        <v>0.28</v>
      </c>
      <c r="I1672" s="6" t="s">
        <v>1965</v>
      </c>
      <c r="J1672" s="13">
        <v>320.76</v>
      </c>
      <c r="K1672" s="6" t="str">
        <f t="shared" si="1"/>
        <v>Low Earnings</v>
      </c>
    </row>
    <row r="1673" ht="14.25" customHeight="1">
      <c r="A1673" s="6" t="s">
        <v>3638</v>
      </c>
      <c r="B1673" s="17">
        <v>45459.0</v>
      </c>
      <c r="C1673" s="6" t="s">
        <v>730</v>
      </c>
      <c r="D1673" s="6" t="s">
        <v>1858</v>
      </c>
      <c r="E1673" s="6" t="s">
        <v>1909</v>
      </c>
      <c r="F1673" s="6">
        <v>1.0</v>
      </c>
      <c r="G1673" s="13">
        <v>900.94</v>
      </c>
      <c r="H1673" s="6">
        <v>0.1</v>
      </c>
      <c r="I1673" s="6" t="s">
        <v>1965</v>
      </c>
      <c r="J1673" s="13">
        <v>810.8460000000001</v>
      </c>
      <c r="K1673" s="6" t="str">
        <f t="shared" si="1"/>
        <v>Low Earnings</v>
      </c>
    </row>
    <row r="1674" ht="14.25" customHeight="1">
      <c r="A1674" s="6" t="s">
        <v>3639</v>
      </c>
      <c r="B1674" s="17">
        <v>45429.0</v>
      </c>
      <c r="C1674" s="6" t="s">
        <v>655</v>
      </c>
      <c r="D1674" s="6" t="s">
        <v>1622</v>
      </c>
      <c r="E1674" s="6" t="s">
        <v>1944</v>
      </c>
      <c r="F1674" s="6">
        <v>3.0</v>
      </c>
      <c r="G1674" s="13">
        <v>262.69</v>
      </c>
      <c r="H1674" s="6">
        <v>0.04</v>
      </c>
      <c r="I1674" s="6" t="s">
        <v>1967</v>
      </c>
      <c r="J1674" s="13">
        <v>756.5471999999999</v>
      </c>
      <c r="K1674" s="6" t="str">
        <f t="shared" si="1"/>
        <v>Low Earnings</v>
      </c>
    </row>
    <row r="1675" ht="14.25" customHeight="1">
      <c r="A1675" s="6" t="s">
        <v>3640</v>
      </c>
      <c r="B1675" s="17">
        <v>45386.0</v>
      </c>
      <c r="C1675" s="6" t="s">
        <v>1500</v>
      </c>
      <c r="D1675" s="6" t="s">
        <v>1791</v>
      </c>
      <c r="E1675" s="6" t="s">
        <v>1901</v>
      </c>
      <c r="F1675" s="6">
        <v>3.0</v>
      </c>
      <c r="G1675" s="13">
        <v>212.72</v>
      </c>
      <c r="H1675" s="6">
        <v>0.22</v>
      </c>
      <c r="I1675" s="6" t="s">
        <v>1967</v>
      </c>
      <c r="J1675" s="13">
        <v>497.7648</v>
      </c>
      <c r="K1675" s="6" t="str">
        <f t="shared" si="1"/>
        <v>Low Earnings</v>
      </c>
    </row>
    <row r="1676" ht="14.25" customHeight="1">
      <c r="A1676" s="6" t="s">
        <v>3641</v>
      </c>
      <c r="B1676" s="17">
        <v>45803.0</v>
      </c>
      <c r="C1676" s="6" t="s">
        <v>519</v>
      </c>
      <c r="D1676" s="6" t="s">
        <v>1653</v>
      </c>
      <c r="E1676" s="6" t="s">
        <v>1950</v>
      </c>
      <c r="F1676" s="6">
        <v>4.0</v>
      </c>
      <c r="G1676" s="13">
        <v>757.9</v>
      </c>
      <c r="H1676" s="6">
        <v>0.22</v>
      </c>
      <c r="I1676" s="6" t="s">
        <v>1967</v>
      </c>
      <c r="J1676" s="13">
        <v>2364.648</v>
      </c>
      <c r="K1676" s="6" t="str">
        <f t="shared" si="1"/>
        <v>Average Earnings</v>
      </c>
    </row>
    <row r="1677" ht="14.25" customHeight="1">
      <c r="A1677" s="6" t="s">
        <v>3642</v>
      </c>
      <c r="B1677" s="17">
        <v>45346.0</v>
      </c>
      <c r="C1677" s="6" t="s">
        <v>85</v>
      </c>
      <c r="D1677" s="6" t="s">
        <v>1828</v>
      </c>
      <c r="E1677" s="6" t="s">
        <v>1947</v>
      </c>
      <c r="F1677" s="6">
        <v>1.0</v>
      </c>
      <c r="G1677" s="13">
        <v>846.04</v>
      </c>
      <c r="H1677" s="6">
        <v>0.08</v>
      </c>
      <c r="I1677" s="6" t="s">
        <v>1967</v>
      </c>
      <c r="J1677" s="13">
        <v>778.3568</v>
      </c>
      <c r="K1677" s="6" t="str">
        <f t="shared" si="1"/>
        <v>Low Earnings</v>
      </c>
    </row>
    <row r="1678" ht="14.25" customHeight="1">
      <c r="A1678" s="6" t="s">
        <v>3643</v>
      </c>
      <c r="B1678" s="17">
        <v>45267.0</v>
      </c>
      <c r="C1678" s="6" t="s">
        <v>543</v>
      </c>
      <c r="D1678" s="6" t="s">
        <v>1698</v>
      </c>
      <c r="E1678" s="6" t="s">
        <v>1919</v>
      </c>
      <c r="F1678" s="6">
        <v>3.0</v>
      </c>
      <c r="G1678" s="13">
        <v>179.7</v>
      </c>
      <c r="H1678" s="6">
        <v>0.17</v>
      </c>
      <c r="I1678" s="6" t="s">
        <v>1973</v>
      </c>
      <c r="J1678" s="13">
        <v>447.4529999999999</v>
      </c>
      <c r="K1678" s="6" t="str">
        <f t="shared" si="1"/>
        <v>Low Earnings</v>
      </c>
    </row>
    <row r="1679" ht="14.25" customHeight="1">
      <c r="A1679" s="6" t="s">
        <v>3644</v>
      </c>
      <c r="B1679" s="17">
        <v>45572.0</v>
      </c>
      <c r="C1679" s="6" t="s">
        <v>1396</v>
      </c>
      <c r="D1679" s="6" t="s">
        <v>1675</v>
      </c>
      <c r="E1679" s="6" t="s">
        <v>1909</v>
      </c>
      <c r="F1679" s="6">
        <v>4.0</v>
      </c>
      <c r="G1679" s="13">
        <v>681.08</v>
      </c>
      <c r="H1679" s="6">
        <v>0.0</v>
      </c>
      <c r="I1679" s="6" t="s">
        <v>1967</v>
      </c>
      <c r="J1679" s="13">
        <v>2724.32</v>
      </c>
      <c r="K1679" s="6" t="str">
        <f t="shared" si="1"/>
        <v>High Earnings</v>
      </c>
    </row>
    <row r="1680" ht="14.25" customHeight="1">
      <c r="A1680" s="6" t="s">
        <v>3645</v>
      </c>
      <c r="B1680" s="17">
        <v>45252.0</v>
      </c>
      <c r="C1680" s="6" t="s">
        <v>1270</v>
      </c>
      <c r="D1680" s="6" t="s">
        <v>1577</v>
      </c>
      <c r="E1680" s="6" t="s">
        <v>1919</v>
      </c>
      <c r="F1680" s="6">
        <v>4.0</v>
      </c>
      <c r="G1680" s="13">
        <v>723.44</v>
      </c>
      <c r="H1680" s="6">
        <v>0.14</v>
      </c>
      <c r="I1680" s="6" t="s">
        <v>1967</v>
      </c>
      <c r="J1680" s="13">
        <v>2488.6336</v>
      </c>
      <c r="K1680" s="6" t="str">
        <f t="shared" si="1"/>
        <v>Average Earnings</v>
      </c>
    </row>
    <row r="1681" ht="14.25" customHeight="1">
      <c r="A1681" s="6" t="s">
        <v>3646</v>
      </c>
      <c r="B1681" s="17">
        <v>45889.0</v>
      </c>
      <c r="C1681" s="6" t="s">
        <v>570</v>
      </c>
      <c r="D1681" s="6" t="s">
        <v>1804</v>
      </c>
      <c r="E1681" s="6" t="s">
        <v>1897</v>
      </c>
      <c r="F1681" s="6">
        <v>2.0</v>
      </c>
      <c r="G1681" s="13">
        <v>668.3</v>
      </c>
      <c r="H1681" s="6">
        <v>0.07</v>
      </c>
      <c r="I1681" s="6" t="s">
        <v>1965</v>
      </c>
      <c r="J1681" s="13">
        <v>1243.038</v>
      </c>
      <c r="K1681" s="6" t="str">
        <f t="shared" si="1"/>
        <v>Average Earnings</v>
      </c>
    </row>
    <row r="1682" ht="14.25" customHeight="1">
      <c r="A1682" s="6" t="s">
        <v>3647</v>
      </c>
      <c r="B1682" s="17">
        <v>45939.0</v>
      </c>
      <c r="C1682" s="6" t="s">
        <v>444</v>
      </c>
      <c r="D1682" s="6" t="s">
        <v>1675</v>
      </c>
      <c r="E1682" s="6" t="s">
        <v>1939</v>
      </c>
      <c r="F1682" s="6">
        <v>4.0</v>
      </c>
      <c r="G1682" s="13">
        <v>471.89</v>
      </c>
      <c r="H1682" s="6">
        <v>0.12</v>
      </c>
      <c r="I1682" s="6" t="s">
        <v>1973</v>
      </c>
      <c r="J1682" s="13">
        <v>1661.0528</v>
      </c>
      <c r="K1682" s="6" t="str">
        <f t="shared" si="1"/>
        <v>Average Earnings</v>
      </c>
    </row>
    <row r="1683" ht="14.25" customHeight="1">
      <c r="A1683" s="6" t="s">
        <v>3648</v>
      </c>
      <c r="B1683" s="17">
        <v>45559.0</v>
      </c>
      <c r="C1683" s="6" t="s">
        <v>1161</v>
      </c>
      <c r="D1683" s="6" t="s">
        <v>1801</v>
      </c>
      <c r="E1683" s="6" t="s">
        <v>1947</v>
      </c>
      <c r="F1683" s="6">
        <v>1.0</v>
      </c>
      <c r="G1683" s="13">
        <v>613.18</v>
      </c>
      <c r="H1683" s="6">
        <v>0.14</v>
      </c>
      <c r="I1683" s="6" t="s">
        <v>1973</v>
      </c>
      <c r="J1683" s="13">
        <v>527.3348</v>
      </c>
      <c r="K1683" s="6" t="str">
        <f t="shared" si="1"/>
        <v>Low Earnings</v>
      </c>
    </row>
    <row r="1684" ht="14.25" customHeight="1">
      <c r="A1684" s="6" t="s">
        <v>3649</v>
      </c>
      <c r="B1684" s="17">
        <v>45229.0</v>
      </c>
      <c r="C1684" s="6" t="s">
        <v>203</v>
      </c>
      <c r="D1684" s="6" t="s">
        <v>1714</v>
      </c>
      <c r="E1684" s="6" t="s">
        <v>1909</v>
      </c>
      <c r="F1684" s="6">
        <v>1.0</v>
      </c>
      <c r="G1684" s="13">
        <v>651.31</v>
      </c>
      <c r="H1684" s="6">
        <v>0.24</v>
      </c>
      <c r="I1684" s="6" t="s">
        <v>1967</v>
      </c>
      <c r="J1684" s="13">
        <v>494.9956</v>
      </c>
      <c r="K1684" s="6" t="str">
        <f t="shared" si="1"/>
        <v>Low Earnings</v>
      </c>
    </row>
    <row r="1685" ht="14.25" customHeight="1">
      <c r="A1685" s="6" t="s">
        <v>3650</v>
      </c>
      <c r="B1685" s="17">
        <v>45333.0</v>
      </c>
      <c r="C1685" s="6" t="s">
        <v>111</v>
      </c>
      <c r="D1685" s="6" t="s">
        <v>1574</v>
      </c>
      <c r="E1685" s="6" t="s">
        <v>1916</v>
      </c>
      <c r="F1685" s="6">
        <v>2.0</v>
      </c>
      <c r="G1685" s="13">
        <v>635.14</v>
      </c>
      <c r="H1685" s="6">
        <v>0.1</v>
      </c>
      <c r="I1685" s="6" t="s">
        <v>1973</v>
      </c>
      <c r="J1685" s="13">
        <v>1143.252</v>
      </c>
      <c r="K1685" s="6" t="str">
        <f t="shared" si="1"/>
        <v>Average Earnings</v>
      </c>
    </row>
    <row r="1686" ht="14.25" customHeight="1">
      <c r="A1686" s="6" t="s">
        <v>3651</v>
      </c>
      <c r="B1686" s="17">
        <v>45752.0</v>
      </c>
      <c r="C1686" s="6" t="s">
        <v>1203</v>
      </c>
      <c r="D1686" s="6" t="s">
        <v>1882</v>
      </c>
      <c r="E1686" s="6" t="s">
        <v>1939</v>
      </c>
      <c r="F1686" s="6">
        <v>4.0</v>
      </c>
      <c r="G1686" s="13">
        <v>912.61</v>
      </c>
      <c r="H1686" s="6">
        <v>0.14</v>
      </c>
      <c r="I1686" s="6" t="s">
        <v>1965</v>
      </c>
      <c r="J1686" s="13">
        <v>3139.3784</v>
      </c>
      <c r="K1686" s="6" t="str">
        <f t="shared" si="1"/>
        <v>High Earnings</v>
      </c>
    </row>
    <row r="1687" ht="14.25" customHeight="1">
      <c r="A1687" s="6" t="s">
        <v>3652</v>
      </c>
      <c r="B1687" s="17">
        <v>45795.0</v>
      </c>
      <c r="C1687" s="6" t="s">
        <v>887</v>
      </c>
      <c r="D1687" s="6" t="s">
        <v>1726</v>
      </c>
      <c r="E1687" s="6" t="s">
        <v>1919</v>
      </c>
      <c r="F1687" s="6">
        <v>3.0</v>
      </c>
      <c r="G1687" s="13">
        <v>79.77</v>
      </c>
      <c r="H1687" s="6">
        <v>0.09</v>
      </c>
      <c r="I1687" s="6" t="s">
        <v>1965</v>
      </c>
      <c r="J1687" s="13">
        <v>217.7721</v>
      </c>
      <c r="K1687" s="6" t="str">
        <f t="shared" si="1"/>
        <v>Low Earnings</v>
      </c>
    </row>
    <row r="1688" ht="14.25" customHeight="1">
      <c r="A1688" s="6" t="s">
        <v>3653</v>
      </c>
      <c r="B1688" s="17">
        <v>45755.0</v>
      </c>
      <c r="C1688" s="6" t="s">
        <v>896</v>
      </c>
      <c r="D1688" s="6" t="s">
        <v>1870</v>
      </c>
      <c r="E1688" s="6" t="s">
        <v>1941</v>
      </c>
      <c r="F1688" s="6">
        <v>4.0</v>
      </c>
      <c r="G1688" s="13">
        <v>603.52</v>
      </c>
      <c r="H1688" s="6">
        <v>0.25</v>
      </c>
      <c r="I1688" s="6" t="s">
        <v>1965</v>
      </c>
      <c r="J1688" s="13">
        <v>1810.56</v>
      </c>
      <c r="K1688" s="6" t="str">
        <f t="shared" si="1"/>
        <v>Average Earnings</v>
      </c>
    </row>
    <row r="1689" ht="14.25" customHeight="1">
      <c r="A1689" s="6" t="s">
        <v>3654</v>
      </c>
      <c r="B1689" s="17">
        <v>45625.0</v>
      </c>
      <c r="C1689" s="6" t="s">
        <v>289</v>
      </c>
      <c r="D1689" s="6" t="s">
        <v>1819</v>
      </c>
      <c r="E1689" s="6" t="s">
        <v>1934</v>
      </c>
      <c r="F1689" s="6">
        <v>4.0</v>
      </c>
      <c r="G1689" s="13">
        <v>453.12</v>
      </c>
      <c r="H1689" s="6">
        <v>0.23</v>
      </c>
      <c r="I1689" s="6" t="s">
        <v>1973</v>
      </c>
      <c r="J1689" s="13">
        <v>1395.6096</v>
      </c>
      <c r="K1689" s="6" t="str">
        <f t="shared" si="1"/>
        <v>Average Earnings</v>
      </c>
    </row>
    <row r="1690" ht="14.25" customHeight="1">
      <c r="A1690" s="6" t="s">
        <v>3655</v>
      </c>
      <c r="B1690" s="17">
        <v>45656.0</v>
      </c>
      <c r="C1690" s="6" t="s">
        <v>1543</v>
      </c>
      <c r="D1690" s="6" t="s">
        <v>1682</v>
      </c>
      <c r="E1690" s="6" t="s">
        <v>1926</v>
      </c>
      <c r="F1690" s="6">
        <v>2.0</v>
      </c>
      <c r="G1690" s="13">
        <v>974.35</v>
      </c>
      <c r="H1690" s="6">
        <v>0.15</v>
      </c>
      <c r="I1690" s="6" t="s">
        <v>1965</v>
      </c>
      <c r="J1690" s="13">
        <v>1656.395</v>
      </c>
      <c r="K1690" s="6" t="str">
        <f t="shared" si="1"/>
        <v>Average Earnings</v>
      </c>
    </row>
    <row r="1691" ht="14.25" customHeight="1">
      <c r="A1691" s="6" t="s">
        <v>3656</v>
      </c>
      <c r="B1691" s="17">
        <v>45824.0</v>
      </c>
      <c r="C1691" s="6" t="s">
        <v>1482</v>
      </c>
      <c r="D1691" s="6" t="s">
        <v>1873</v>
      </c>
      <c r="E1691" s="6" t="s">
        <v>1947</v>
      </c>
      <c r="F1691" s="6">
        <v>4.0</v>
      </c>
      <c r="G1691" s="13">
        <v>52.35</v>
      </c>
      <c r="H1691" s="6">
        <v>0.23</v>
      </c>
      <c r="I1691" s="6" t="s">
        <v>1973</v>
      </c>
      <c r="J1691" s="13">
        <v>161.238</v>
      </c>
      <c r="K1691" s="6" t="str">
        <f t="shared" si="1"/>
        <v>Low Earnings</v>
      </c>
    </row>
    <row r="1692" ht="14.25" customHeight="1">
      <c r="A1692" s="6" t="s">
        <v>3657</v>
      </c>
      <c r="B1692" s="17">
        <v>45533.0</v>
      </c>
      <c r="C1692" s="6" t="s">
        <v>1288</v>
      </c>
      <c r="D1692" s="6" t="s">
        <v>1698</v>
      </c>
      <c r="E1692" s="6" t="s">
        <v>1913</v>
      </c>
      <c r="F1692" s="6">
        <v>1.0</v>
      </c>
      <c r="G1692" s="13">
        <v>553.82</v>
      </c>
      <c r="H1692" s="6">
        <v>0.09</v>
      </c>
      <c r="I1692" s="6" t="s">
        <v>1965</v>
      </c>
      <c r="J1692" s="13">
        <v>503.9762000000001</v>
      </c>
      <c r="K1692" s="6" t="str">
        <f t="shared" si="1"/>
        <v>Low Earnings</v>
      </c>
    </row>
    <row r="1693" ht="14.25" customHeight="1">
      <c r="A1693" s="6" t="s">
        <v>3658</v>
      </c>
      <c r="B1693" s="17">
        <v>45824.0</v>
      </c>
      <c r="C1693" s="6" t="s">
        <v>1173</v>
      </c>
      <c r="D1693" s="6" t="s">
        <v>1782</v>
      </c>
      <c r="E1693" s="6" t="s">
        <v>1947</v>
      </c>
      <c r="F1693" s="6">
        <v>3.0</v>
      </c>
      <c r="G1693" s="13">
        <v>681.58</v>
      </c>
      <c r="H1693" s="6">
        <v>0.23</v>
      </c>
      <c r="I1693" s="6" t="s">
        <v>1965</v>
      </c>
      <c r="J1693" s="13">
        <v>1574.4498</v>
      </c>
      <c r="K1693" s="6" t="str">
        <f t="shared" si="1"/>
        <v>Average Earnings</v>
      </c>
    </row>
    <row r="1694" ht="14.25" customHeight="1">
      <c r="A1694" s="6" t="s">
        <v>3659</v>
      </c>
      <c r="B1694" s="17">
        <v>45384.0</v>
      </c>
      <c r="C1694" s="6" t="s">
        <v>597</v>
      </c>
      <c r="D1694" s="6" t="s">
        <v>1837</v>
      </c>
      <c r="E1694" s="6" t="s">
        <v>1941</v>
      </c>
      <c r="F1694" s="6">
        <v>3.0</v>
      </c>
      <c r="G1694" s="13">
        <v>71.23</v>
      </c>
      <c r="H1694" s="6">
        <v>0.03</v>
      </c>
      <c r="I1694" s="6" t="s">
        <v>1965</v>
      </c>
      <c r="J1694" s="13">
        <v>207.2793</v>
      </c>
      <c r="K1694" s="6" t="str">
        <f t="shared" si="1"/>
        <v>Low Earnings</v>
      </c>
    </row>
    <row r="1695" ht="14.25" customHeight="1">
      <c r="A1695" s="6" t="s">
        <v>3660</v>
      </c>
      <c r="B1695" s="17">
        <v>45379.0</v>
      </c>
      <c r="C1695" s="6" t="s">
        <v>788</v>
      </c>
      <c r="D1695" s="6" t="s">
        <v>1622</v>
      </c>
      <c r="E1695" s="6" t="s">
        <v>1939</v>
      </c>
      <c r="F1695" s="6">
        <v>1.0</v>
      </c>
      <c r="G1695" s="13">
        <v>31.36</v>
      </c>
      <c r="H1695" s="6">
        <v>0.21</v>
      </c>
      <c r="I1695" s="6" t="s">
        <v>1973</v>
      </c>
      <c r="J1695" s="13">
        <v>24.7744</v>
      </c>
      <c r="K1695" s="6" t="str">
        <f t="shared" si="1"/>
        <v>Low Earnings</v>
      </c>
    </row>
    <row r="1696" ht="14.25" customHeight="1">
      <c r="A1696" s="6" t="s">
        <v>3661</v>
      </c>
      <c r="B1696" s="17">
        <v>45674.0</v>
      </c>
      <c r="C1696" s="6" t="s">
        <v>1086</v>
      </c>
      <c r="D1696" s="6" t="s">
        <v>1708</v>
      </c>
      <c r="E1696" s="6" t="s">
        <v>1937</v>
      </c>
      <c r="F1696" s="6">
        <v>2.0</v>
      </c>
      <c r="G1696" s="13">
        <v>555.55</v>
      </c>
      <c r="H1696" s="6">
        <v>0.14</v>
      </c>
      <c r="I1696" s="6" t="s">
        <v>1965</v>
      </c>
      <c r="J1696" s="13">
        <v>955.5459999999999</v>
      </c>
      <c r="K1696" s="6" t="str">
        <f t="shared" si="1"/>
        <v>Low Earnings</v>
      </c>
    </row>
    <row r="1697" ht="14.25" customHeight="1">
      <c r="A1697" s="6" t="s">
        <v>3662</v>
      </c>
      <c r="B1697" s="17">
        <v>45760.0</v>
      </c>
      <c r="C1697" s="6" t="s">
        <v>818</v>
      </c>
      <c r="D1697" s="6" t="s">
        <v>1785</v>
      </c>
      <c r="E1697" s="6" t="s">
        <v>1944</v>
      </c>
      <c r="F1697" s="6">
        <v>4.0</v>
      </c>
      <c r="G1697" s="13">
        <v>805.99</v>
      </c>
      <c r="H1697" s="6">
        <v>0.06</v>
      </c>
      <c r="I1697" s="6" t="s">
        <v>1965</v>
      </c>
      <c r="J1697" s="13">
        <v>3030.5224</v>
      </c>
      <c r="K1697" s="6" t="str">
        <f t="shared" si="1"/>
        <v>High Earnings</v>
      </c>
    </row>
    <row r="1698" ht="14.25" customHeight="1">
      <c r="A1698" s="6" t="s">
        <v>3663</v>
      </c>
      <c r="B1698" s="17">
        <v>45474.0</v>
      </c>
      <c r="C1698" s="6" t="s">
        <v>1227</v>
      </c>
      <c r="D1698" s="6" t="s">
        <v>1801</v>
      </c>
      <c r="E1698" s="6" t="s">
        <v>1897</v>
      </c>
      <c r="F1698" s="6">
        <v>1.0</v>
      </c>
      <c r="G1698" s="13">
        <v>506.55</v>
      </c>
      <c r="H1698" s="6">
        <v>0.28</v>
      </c>
      <c r="I1698" s="6" t="s">
        <v>1965</v>
      </c>
      <c r="J1698" s="13">
        <v>364.716</v>
      </c>
      <c r="K1698" s="6" t="str">
        <f t="shared" si="1"/>
        <v>Low Earnings</v>
      </c>
    </row>
    <row r="1699" ht="14.25" customHeight="1">
      <c r="A1699" s="6" t="s">
        <v>3664</v>
      </c>
      <c r="B1699" s="17">
        <v>45640.0</v>
      </c>
      <c r="C1699" s="6" t="s">
        <v>456</v>
      </c>
      <c r="D1699" s="6" t="s">
        <v>1708</v>
      </c>
      <c r="E1699" s="6" t="s">
        <v>1932</v>
      </c>
      <c r="F1699" s="6">
        <v>3.0</v>
      </c>
      <c r="G1699" s="13">
        <v>28.69</v>
      </c>
      <c r="H1699" s="6">
        <v>0.02</v>
      </c>
      <c r="I1699" s="6" t="s">
        <v>1965</v>
      </c>
      <c r="J1699" s="13">
        <v>84.3486</v>
      </c>
      <c r="K1699" s="6" t="str">
        <f t="shared" si="1"/>
        <v>Low Earnings</v>
      </c>
    </row>
    <row r="1700" ht="14.25" customHeight="1">
      <c r="A1700" s="6" t="s">
        <v>3665</v>
      </c>
      <c r="B1700" s="17">
        <v>45253.0</v>
      </c>
      <c r="C1700" s="6" t="s">
        <v>1224</v>
      </c>
      <c r="D1700" s="6" t="s">
        <v>1816</v>
      </c>
      <c r="E1700" s="6" t="s">
        <v>1909</v>
      </c>
      <c r="F1700" s="6">
        <v>1.0</v>
      </c>
      <c r="G1700" s="13">
        <v>106.07</v>
      </c>
      <c r="H1700" s="6">
        <v>0.23</v>
      </c>
      <c r="I1700" s="6" t="s">
        <v>1973</v>
      </c>
      <c r="J1700" s="13">
        <v>81.6739</v>
      </c>
      <c r="K1700" s="6" t="str">
        <f t="shared" si="1"/>
        <v>Low Earnings</v>
      </c>
    </row>
    <row r="1701" ht="14.25" customHeight="1">
      <c r="A1701" s="6" t="s">
        <v>3666</v>
      </c>
      <c r="B1701" s="17">
        <v>45225.0</v>
      </c>
      <c r="C1701" s="6" t="s">
        <v>845</v>
      </c>
      <c r="D1701" s="6" t="s">
        <v>1861</v>
      </c>
      <c r="E1701" s="6" t="s">
        <v>1892</v>
      </c>
      <c r="F1701" s="6">
        <v>4.0</v>
      </c>
      <c r="G1701" s="13">
        <v>289.77</v>
      </c>
      <c r="H1701" s="6">
        <v>0.06</v>
      </c>
      <c r="I1701" s="6" t="s">
        <v>1967</v>
      </c>
      <c r="J1701" s="13">
        <v>1089.5352</v>
      </c>
      <c r="K1701" s="6" t="str">
        <f t="shared" si="1"/>
        <v>Average Earnings</v>
      </c>
    </row>
    <row r="1702" ht="14.25" customHeight="1">
      <c r="A1702" s="6" t="s">
        <v>3667</v>
      </c>
      <c r="B1702" s="17">
        <v>45263.0</v>
      </c>
      <c r="C1702" s="6" t="s">
        <v>534</v>
      </c>
      <c r="D1702" s="6" t="s">
        <v>1837</v>
      </c>
      <c r="E1702" s="6" t="s">
        <v>1950</v>
      </c>
      <c r="F1702" s="6">
        <v>2.0</v>
      </c>
      <c r="G1702" s="13">
        <v>354.26</v>
      </c>
      <c r="H1702" s="6">
        <v>0.01</v>
      </c>
      <c r="I1702" s="6" t="s">
        <v>1973</v>
      </c>
      <c r="J1702" s="13">
        <v>701.4348</v>
      </c>
      <c r="K1702" s="6" t="str">
        <f t="shared" si="1"/>
        <v>Low Earnings</v>
      </c>
    </row>
    <row r="1703" ht="14.25" customHeight="1">
      <c r="A1703" s="6" t="s">
        <v>3668</v>
      </c>
      <c r="B1703" s="17">
        <v>45626.0</v>
      </c>
      <c r="C1703" s="6" t="s">
        <v>155</v>
      </c>
      <c r="D1703" s="6" t="s">
        <v>1720</v>
      </c>
      <c r="E1703" s="6" t="s">
        <v>1932</v>
      </c>
      <c r="F1703" s="6">
        <v>2.0</v>
      </c>
      <c r="G1703" s="13">
        <v>556.43</v>
      </c>
      <c r="H1703" s="6">
        <v>0.13</v>
      </c>
      <c r="I1703" s="6" t="s">
        <v>1965</v>
      </c>
      <c r="J1703" s="13">
        <v>968.1881999999999</v>
      </c>
      <c r="K1703" s="6" t="str">
        <f t="shared" si="1"/>
        <v>Low Earnings</v>
      </c>
    </row>
    <row r="1704" ht="14.25" customHeight="1">
      <c r="A1704" s="6" t="s">
        <v>3669</v>
      </c>
      <c r="B1704" s="17">
        <v>45554.0</v>
      </c>
      <c r="C1704" s="6" t="s">
        <v>1218</v>
      </c>
      <c r="D1704" s="6" t="s">
        <v>1791</v>
      </c>
      <c r="E1704" s="6" t="s">
        <v>1939</v>
      </c>
      <c r="F1704" s="6">
        <v>1.0</v>
      </c>
      <c r="G1704" s="13">
        <v>522.72</v>
      </c>
      <c r="H1704" s="6">
        <v>0.25</v>
      </c>
      <c r="I1704" s="6" t="s">
        <v>1967</v>
      </c>
      <c r="J1704" s="13">
        <v>392.04</v>
      </c>
      <c r="K1704" s="6" t="str">
        <f t="shared" si="1"/>
        <v>Low Earnings</v>
      </c>
    </row>
    <row r="1705" ht="14.25" customHeight="1">
      <c r="A1705" s="6" t="s">
        <v>3670</v>
      </c>
      <c r="B1705" s="17">
        <v>45569.0</v>
      </c>
      <c r="C1705" s="6" t="s">
        <v>222</v>
      </c>
      <c r="D1705" s="6" t="s">
        <v>1581</v>
      </c>
      <c r="E1705" s="6" t="s">
        <v>1926</v>
      </c>
      <c r="F1705" s="6">
        <v>3.0</v>
      </c>
      <c r="G1705" s="13">
        <v>966.02</v>
      </c>
      <c r="H1705" s="6">
        <v>0.03</v>
      </c>
      <c r="I1705" s="6" t="s">
        <v>1973</v>
      </c>
      <c r="J1705" s="13">
        <v>2811.1182</v>
      </c>
      <c r="K1705" s="6" t="str">
        <f t="shared" si="1"/>
        <v>High Earnings</v>
      </c>
    </row>
    <row r="1706" ht="14.25" customHeight="1">
      <c r="A1706" s="6" t="s">
        <v>3671</v>
      </c>
      <c r="B1706" s="17">
        <v>45217.0</v>
      </c>
      <c r="C1706" s="6" t="s">
        <v>739</v>
      </c>
      <c r="D1706" s="6" t="s">
        <v>1737</v>
      </c>
      <c r="E1706" s="6" t="s">
        <v>1947</v>
      </c>
      <c r="F1706" s="6">
        <v>1.0</v>
      </c>
      <c r="G1706" s="13">
        <v>498.61</v>
      </c>
      <c r="H1706" s="6">
        <v>0.04</v>
      </c>
      <c r="I1706" s="6" t="s">
        <v>1967</v>
      </c>
      <c r="J1706" s="13">
        <v>478.6656</v>
      </c>
      <c r="K1706" s="6" t="str">
        <f t="shared" si="1"/>
        <v>Low Earnings</v>
      </c>
    </row>
    <row r="1707" ht="14.25" customHeight="1">
      <c r="A1707" s="6" t="s">
        <v>3672</v>
      </c>
      <c r="B1707" s="17">
        <v>45783.0</v>
      </c>
      <c r="C1707" s="6" t="s">
        <v>1053</v>
      </c>
      <c r="D1707" s="6" t="s">
        <v>1711</v>
      </c>
      <c r="E1707" s="6" t="s">
        <v>1916</v>
      </c>
      <c r="F1707" s="6">
        <v>4.0</v>
      </c>
      <c r="G1707" s="13">
        <v>758.27</v>
      </c>
      <c r="H1707" s="6">
        <v>0.05</v>
      </c>
      <c r="I1707" s="6" t="s">
        <v>1967</v>
      </c>
      <c r="J1707" s="13">
        <v>2881.426</v>
      </c>
      <c r="K1707" s="6" t="str">
        <f t="shared" si="1"/>
        <v>High Earnings</v>
      </c>
    </row>
    <row r="1708" ht="14.25" customHeight="1">
      <c r="A1708" s="6" t="s">
        <v>3673</v>
      </c>
      <c r="B1708" s="17">
        <v>45371.0</v>
      </c>
      <c r="C1708" s="6" t="s">
        <v>660</v>
      </c>
      <c r="D1708" s="6" t="s">
        <v>1574</v>
      </c>
      <c r="E1708" s="6" t="s">
        <v>1901</v>
      </c>
      <c r="F1708" s="6">
        <v>2.0</v>
      </c>
      <c r="G1708" s="13">
        <v>371.03</v>
      </c>
      <c r="H1708" s="6">
        <v>0.23</v>
      </c>
      <c r="I1708" s="6" t="s">
        <v>1967</v>
      </c>
      <c r="J1708" s="13">
        <v>571.3861999999999</v>
      </c>
      <c r="K1708" s="6" t="str">
        <f t="shared" si="1"/>
        <v>Low Earnings</v>
      </c>
    </row>
    <row r="1709" ht="14.25" customHeight="1">
      <c r="A1709" s="6" t="s">
        <v>3674</v>
      </c>
      <c r="B1709" s="17">
        <v>45453.0</v>
      </c>
      <c r="C1709" s="6" t="s">
        <v>1128</v>
      </c>
      <c r="D1709" s="6" t="s">
        <v>1861</v>
      </c>
      <c r="E1709" s="6" t="s">
        <v>1947</v>
      </c>
      <c r="F1709" s="6">
        <v>1.0</v>
      </c>
      <c r="G1709" s="13">
        <v>230.32</v>
      </c>
      <c r="H1709" s="6">
        <v>0.05</v>
      </c>
      <c r="I1709" s="6" t="s">
        <v>1973</v>
      </c>
      <c r="J1709" s="13">
        <v>218.804</v>
      </c>
      <c r="K1709" s="6" t="str">
        <f t="shared" si="1"/>
        <v>Low Earnings</v>
      </c>
    </row>
    <row r="1710" ht="14.25" customHeight="1">
      <c r="A1710" s="6" t="s">
        <v>3675</v>
      </c>
      <c r="B1710" s="17">
        <v>45526.0</v>
      </c>
      <c r="C1710" s="6" t="s">
        <v>1089</v>
      </c>
      <c r="D1710" s="6" t="s">
        <v>1770</v>
      </c>
      <c r="E1710" s="6" t="s">
        <v>1916</v>
      </c>
      <c r="F1710" s="6">
        <v>2.0</v>
      </c>
      <c r="G1710" s="13">
        <v>985.43</v>
      </c>
      <c r="H1710" s="6">
        <v>0.28</v>
      </c>
      <c r="I1710" s="6" t="s">
        <v>1973</v>
      </c>
      <c r="J1710" s="13">
        <v>1419.0192</v>
      </c>
      <c r="K1710" s="6" t="str">
        <f t="shared" si="1"/>
        <v>Average Earnings</v>
      </c>
    </row>
    <row r="1711" ht="14.25" customHeight="1">
      <c r="A1711" s="6" t="s">
        <v>3676</v>
      </c>
      <c r="B1711" s="17">
        <v>45756.0</v>
      </c>
      <c r="C1711" s="6" t="s">
        <v>1326</v>
      </c>
      <c r="D1711" s="6" t="s">
        <v>1599</v>
      </c>
      <c r="E1711" s="6" t="s">
        <v>1909</v>
      </c>
      <c r="F1711" s="6">
        <v>2.0</v>
      </c>
      <c r="G1711" s="13">
        <v>492.5</v>
      </c>
      <c r="H1711" s="6">
        <v>0.3</v>
      </c>
      <c r="I1711" s="6" t="s">
        <v>1967</v>
      </c>
      <c r="J1711" s="13">
        <v>689.5</v>
      </c>
      <c r="K1711" s="6" t="str">
        <f t="shared" si="1"/>
        <v>Low Earnings</v>
      </c>
    </row>
    <row r="1712" ht="14.25" customHeight="1">
      <c r="A1712" s="6" t="s">
        <v>3677</v>
      </c>
      <c r="B1712" s="17">
        <v>45657.0</v>
      </c>
      <c r="C1712" s="6" t="s">
        <v>1155</v>
      </c>
      <c r="D1712" s="6" t="s">
        <v>1723</v>
      </c>
      <c r="E1712" s="6" t="s">
        <v>1932</v>
      </c>
      <c r="F1712" s="6">
        <v>2.0</v>
      </c>
      <c r="G1712" s="13">
        <v>213.69</v>
      </c>
      <c r="H1712" s="6">
        <v>0.28</v>
      </c>
      <c r="I1712" s="6" t="s">
        <v>1967</v>
      </c>
      <c r="J1712" s="13">
        <v>307.7136</v>
      </c>
      <c r="K1712" s="6" t="str">
        <f t="shared" si="1"/>
        <v>Low Earnings</v>
      </c>
    </row>
    <row r="1713" ht="14.25" customHeight="1">
      <c r="A1713" s="6" t="s">
        <v>3678</v>
      </c>
      <c r="B1713" s="17">
        <v>45716.0</v>
      </c>
      <c r="C1713" s="6" t="s">
        <v>249</v>
      </c>
      <c r="D1713" s="6" t="s">
        <v>1640</v>
      </c>
      <c r="E1713" s="6" t="s">
        <v>1922</v>
      </c>
      <c r="F1713" s="6">
        <v>4.0</v>
      </c>
      <c r="G1713" s="13">
        <v>618.83</v>
      </c>
      <c r="H1713" s="6">
        <v>0.08</v>
      </c>
      <c r="I1713" s="6" t="s">
        <v>1967</v>
      </c>
      <c r="J1713" s="13">
        <v>2277.2944</v>
      </c>
      <c r="K1713" s="6" t="str">
        <f t="shared" si="1"/>
        <v>Average Earnings</v>
      </c>
    </row>
    <row r="1714" ht="14.25" customHeight="1">
      <c r="A1714" s="6" t="s">
        <v>3679</v>
      </c>
      <c r="B1714" s="17">
        <v>45942.0</v>
      </c>
      <c r="C1714" s="6" t="s">
        <v>884</v>
      </c>
      <c r="D1714" s="6" t="s">
        <v>1640</v>
      </c>
      <c r="E1714" s="6" t="s">
        <v>1922</v>
      </c>
      <c r="F1714" s="6">
        <v>1.0</v>
      </c>
      <c r="G1714" s="13">
        <v>184.98</v>
      </c>
      <c r="H1714" s="6">
        <v>0.1</v>
      </c>
      <c r="I1714" s="6" t="s">
        <v>1973</v>
      </c>
      <c r="J1714" s="13">
        <v>166.482</v>
      </c>
      <c r="K1714" s="6" t="str">
        <f t="shared" si="1"/>
        <v>Low Earnings</v>
      </c>
    </row>
    <row r="1715" ht="14.25" customHeight="1">
      <c r="A1715" s="6" t="s">
        <v>3680</v>
      </c>
      <c r="B1715" s="17">
        <v>45313.0</v>
      </c>
      <c r="C1715" s="6" t="s">
        <v>343</v>
      </c>
      <c r="D1715" s="6" t="s">
        <v>1764</v>
      </c>
      <c r="E1715" s="6" t="s">
        <v>1932</v>
      </c>
      <c r="F1715" s="6">
        <v>2.0</v>
      </c>
      <c r="G1715" s="13">
        <v>81.16</v>
      </c>
      <c r="H1715" s="6">
        <v>0.16</v>
      </c>
      <c r="I1715" s="6" t="s">
        <v>1967</v>
      </c>
      <c r="J1715" s="13">
        <v>136.3488</v>
      </c>
      <c r="K1715" s="6" t="str">
        <f t="shared" si="1"/>
        <v>Low Earnings</v>
      </c>
    </row>
    <row r="1716" ht="14.25" customHeight="1">
      <c r="A1716" s="6" t="s">
        <v>3681</v>
      </c>
      <c r="B1716" s="17">
        <v>45372.0</v>
      </c>
      <c r="C1716" s="6" t="s">
        <v>25</v>
      </c>
      <c r="D1716" s="6" t="s">
        <v>1846</v>
      </c>
      <c r="E1716" s="6" t="s">
        <v>1926</v>
      </c>
      <c r="F1716" s="6">
        <v>1.0</v>
      </c>
      <c r="G1716" s="13">
        <v>431.69</v>
      </c>
      <c r="H1716" s="6">
        <v>0.09</v>
      </c>
      <c r="I1716" s="6" t="s">
        <v>1965</v>
      </c>
      <c r="J1716" s="13">
        <v>392.8379</v>
      </c>
      <c r="K1716" s="6" t="str">
        <f t="shared" si="1"/>
        <v>Low Earnings</v>
      </c>
    </row>
    <row r="1717" ht="14.25" customHeight="1">
      <c r="A1717" s="6" t="s">
        <v>3682</v>
      </c>
      <c r="B1717" s="17">
        <v>45648.0</v>
      </c>
      <c r="C1717" s="6" t="s">
        <v>1276</v>
      </c>
      <c r="D1717" s="6" t="s">
        <v>1633</v>
      </c>
      <c r="E1717" s="6" t="s">
        <v>1913</v>
      </c>
      <c r="F1717" s="6">
        <v>3.0</v>
      </c>
      <c r="G1717" s="13">
        <v>438.65</v>
      </c>
      <c r="H1717" s="6">
        <v>0.29</v>
      </c>
      <c r="I1717" s="6" t="s">
        <v>1967</v>
      </c>
      <c r="J1717" s="13">
        <v>934.3244999999998</v>
      </c>
      <c r="K1717" s="6" t="str">
        <f t="shared" si="1"/>
        <v>Low Earnings</v>
      </c>
    </row>
    <row r="1718" ht="14.25" customHeight="1">
      <c r="A1718" s="6" t="s">
        <v>3683</v>
      </c>
      <c r="B1718" s="17">
        <v>45384.0</v>
      </c>
      <c r="C1718" s="6" t="s">
        <v>582</v>
      </c>
      <c r="D1718" s="6" t="s">
        <v>1825</v>
      </c>
      <c r="E1718" s="6" t="s">
        <v>1906</v>
      </c>
      <c r="F1718" s="6">
        <v>3.0</v>
      </c>
      <c r="G1718" s="13">
        <v>339.41</v>
      </c>
      <c r="H1718" s="6">
        <v>0.26</v>
      </c>
      <c r="I1718" s="6" t="s">
        <v>1965</v>
      </c>
      <c r="J1718" s="13">
        <v>753.4902</v>
      </c>
      <c r="K1718" s="6" t="str">
        <f t="shared" si="1"/>
        <v>Low Earnings</v>
      </c>
    </row>
    <row r="1719" ht="14.25" customHeight="1">
      <c r="A1719" s="6" t="s">
        <v>3684</v>
      </c>
      <c r="B1719" s="17">
        <v>45687.0</v>
      </c>
      <c r="C1719" s="6" t="s">
        <v>1465</v>
      </c>
      <c r="D1719" s="6" t="s">
        <v>1825</v>
      </c>
      <c r="E1719" s="6" t="s">
        <v>1926</v>
      </c>
      <c r="F1719" s="6">
        <v>4.0</v>
      </c>
      <c r="G1719" s="13">
        <v>848.47</v>
      </c>
      <c r="H1719" s="6">
        <v>0.21</v>
      </c>
      <c r="I1719" s="6" t="s">
        <v>1973</v>
      </c>
      <c r="J1719" s="13">
        <v>2681.1652</v>
      </c>
      <c r="K1719" s="6" t="str">
        <f t="shared" si="1"/>
        <v>High Earnings</v>
      </c>
    </row>
    <row r="1720" ht="14.25" customHeight="1">
      <c r="A1720" s="6" t="s">
        <v>3685</v>
      </c>
      <c r="B1720" s="17">
        <v>45747.0</v>
      </c>
      <c r="C1720" s="6" t="s">
        <v>643</v>
      </c>
      <c r="D1720" s="6" t="s">
        <v>1788</v>
      </c>
      <c r="E1720" s="6" t="s">
        <v>1922</v>
      </c>
      <c r="F1720" s="6">
        <v>1.0</v>
      </c>
      <c r="G1720" s="13">
        <v>664.87</v>
      </c>
      <c r="H1720" s="6">
        <v>0.08</v>
      </c>
      <c r="I1720" s="6" t="s">
        <v>1967</v>
      </c>
      <c r="J1720" s="13">
        <v>611.6804000000001</v>
      </c>
      <c r="K1720" s="6" t="str">
        <f t="shared" si="1"/>
        <v>Low Earnings</v>
      </c>
    </row>
    <row r="1721" ht="14.25" customHeight="1">
      <c r="A1721" s="6" t="s">
        <v>3686</v>
      </c>
      <c r="B1721" s="17">
        <v>45687.0</v>
      </c>
      <c r="C1721" s="6" t="s">
        <v>361</v>
      </c>
      <c r="D1721" s="6" t="s">
        <v>1653</v>
      </c>
      <c r="E1721" s="6" t="s">
        <v>1919</v>
      </c>
      <c r="F1721" s="6">
        <v>1.0</v>
      </c>
      <c r="G1721" s="13">
        <v>412.11</v>
      </c>
      <c r="H1721" s="6">
        <v>0.23</v>
      </c>
      <c r="I1721" s="6" t="s">
        <v>1967</v>
      </c>
      <c r="J1721" s="13">
        <v>317.3247</v>
      </c>
      <c r="K1721" s="6" t="str">
        <f t="shared" si="1"/>
        <v>Low Earnings</v>
      </c>
    </row>
    <row r="1722" ht="14.25" customHeight="1">
      <c r="A1722" s="6" t="s">
        <v>3687</v>
      </c>
      <c r="B1722" s="17">
        <v>45916.0</v>
      </c>
      <c r="C1722" s="6" t="s">
        <v>431</v>
      </c>
      <c r="D1722" s="6" t="s">
        <v>1870</v>
      </c>
      <c r="E1722" s="6" t="s">
        <v>1897</v>
      </c>
      <c r="F1722" s="6">
        <v>1.0</v>
      </c>
      <c r="G1722" s="13">
        <v>126.09</v>
      </c>
      <c r="H1722" s="6">
        <v>0.05</v>
      </c>
      <c r="I1722" s="6" t="s">
        <v>1973</v>
      </c>
      <c r="J1722" s="13">
        <v>119.7855</v>
      </c>
      <c r="K1722" s="6" t="str">
        <f t="shared" si="1"/>
        <v>Low Earnings</v>
      </c>
    </row>
    <row r="1723" ht="14.25" customHeight="1">
      <c r="A1723" s="6" t="s">
        <v>3688</v>
      </c>
      <c r="B1723" s="17">
        <v>45917.0</v>
      </c>
      <c r="C1723" s="6" t="s">
        <v>660</v>
      </c>
      <c r="D1723" s="6" t="s">
        <v>1788</v>
      </c>
      <c r="E1723" s="6" t="s">
        <v>1929</v>
      </c>
      <c r="F1723" s="6">
        <v>4.0</v>
      </c>
      <c r="G1723" s="13">
        <v>602.39</v>
      </c>
      <c r="H1723" s="6">
        <v>0.19</v>
      </c>
      <c r="I1723" s="6" t="s">
        <v>1973</v>
      </c>
      <c r="J1723" s="13">
        <v>1951.7436</v>
      </c>
      <c r="K1723" s="6" t="str">
        <f t="shared" si="1"/>
        <v>Average Earnings</v>
      </c>
    </row>
    <row r="1724" ht="14.25" customHeight="1">
      <c r="A1724" s="6" t="s">
        <v>3689</v>
      </c>
      <c r="B1724" s="17">
        <v>45941.0</v>
      </c>
      <c r="C1724" s="6" t="s">
        <v>1038</v>
      </c>
      <c r="D1724" s="6" t="s">
        <v>1834</v>
      </c>
      <c r="E1724" s="6" t="s">
        <v>1906</v>
      </c>
      <c r="F1724" s="6">
        <v>3.0</v>
      </c>
      <c r="G1724" s="13">
        <v>447.69</v>
      </c>
      <c r="H1724" s="6">
        <v>0.02</v>
      </c>
      <c r="I1724" s="6" t="s">
        <v>1973</v>
      </c>
      <c r="J1724" s="13">
        <v>1316.2086</v>
      </c>
      <c r="K1724" s="6" t="str">
        <f t="shared" si="1"/>
        <v>Average Earnings</v>
      </c>
    </row>
    <row r="1725" ht="14.25" customHeight="1">
      <c r="A1725" s="6" t="s">
        <v>3690</v>
      </c>
      <c r="B1725" s="17">
        <v>45500.0</v>
      </c>
      <c r="C1725" s="6" t="s">
        <v>149</v>
      </c>
      <c r="D1725" s="6" t="s">
        <v>1879</v>
      </c>
      <c r="E1725" s="6" t="s">
        <v>1934</v>
      </c>
      <c r="F1725" s="6">
        <v>4.0</v>
      </c>
      <c r="G1725" s="13">
        <v>700.18</v>
      </c>
      <c r="H1725" s="6">
        <v>0.23</v>
      </c>
      <c r="I1725" s="6" t="s">
        <v>1965</v>
      </c>
      <c r="J1725" s="13">
        <v>2156.5544</v>
      </c>
      <c r="K1725" s="6" t="str">
        <f t="shared" si="1"/>
        <v>Average Earnings</v>
      </c>
    </row>
    <row r="1726" ht="14.25" customHeight="1">
      <c r="A1726" s="6" t="s">
        <v>3691</v>
      </c>
      <c r="B1726" s="17">
        <v>45778.0</v>
      </c>
      <c r="C1726" s="6" t="s">
        <v>809</v>
      </c>
      <c r="D1726" s="6" t="s">
        <v>1685</v>
      </c>
      <c r="E1726" s="6" t="s">
        <v>1906</v>
      </c>
      <c r="F1726" s="6">
        <v>3.0</v>
      </c>
      <c r="G1726" s="13">
        <v>35.16</v>
      </c>
      <c r="H1726" s="6">
        <v>0.04</v>
      </c>
      <c r="I1726" s="6" t="s">
        <v>1973</v>
      </c>
      <c r="J1726" s="13">
        <v>101.2608</v>
      </c>
      <c r="K1726" s="6" t="str">
        <f t="shared" si="1"/>
        <v>Low Earnings</v>
      </c>
    </row>
    <row r="1727" ht="14.25" customHeight="1">
      <c r="A1727" s="6" t="s">
        <v>3692</v>
      </c>
      <c r="B1727" s="17">
        <v>45740.0</v>
      </c>
      <c r="C1727" s="6" t="s">
        <v>1053</v>
      </c>
      <c r="D1727" s="6" t="s">
        <v>1804</v>
      </c>
      <c r="E1727" s="6" t="s">
        <v>1932</v>
      </c>
      <c r="F1727" s="6">
        <v>2.0</v>
      </c>
      <c r="G1727" s="13">
        <v>838.59</v>
      </c>
      <c r="H1727" s="6">
        <v>0.18</v>
      </c>
      <c r="I1727" s="6" t="s">
        <v>1973</v>
      </c>
      <c r="J1727" s="13">
        <v>1375.2876</v>
      </c>
      <c r="K1727" s="6" t="str">
        <f t="shared" si="1"/>
        <v>Average Earnings</v>
      </c>
    </row>
    <row r="1728" ht="14.25" customHeight="1">
      <c r="A1728" s="6" t="s">
        <v>3693</v>
      </c>
      <c r="B1728" s="17">
        <v>45598.0</v>
      </c>
      <c r="C1728" s="6" t="s">
        <v>329</v>
      </c>
      <c r="D1728" s="6" t="s">
        <v>1764</v>
      </c>
      <c r="E1728" s="6" t="s">
        <v>1916</v>
      </c>
      <c r="F1728" s="6">
        <v>4.0</v>
      </c>
      <c r="G1728" s="13">
        <v>867.94</v>
      </c>
      <c r="H1728" s="6">
        <v>0.26</v>
      </c>
      <c r="I1728" s="6" t="s">
        <v>1967</v>
      </c>
      <c r="J1728" s="13">
        <v>2569.1024</v>
      </c>
      <c r="K1728" s="6" t="str">
        <f t="shared" si="1"/>
        <v>High Earnings</v>
      </c>
    </row>
    <row r="1729" ht="14.25" customHeight="1">
      <c r="A1729" s="6" t="s">
        <v>3694</v>
      </c>
      <c r="B1729" s="17">
        <v>45591.0</v>
      </c>
      <c r="C1729" s="6" t="s">
        <v>655</v>
      </c>
      <c r="D1729" s="6" t="s">
        <v>1701</v>
      </c>
      <c r="E1729" s="6" t="s">
        <v>1947</v>
      </c>
      <c r="F1729" s="6">
        <v>1.0</v>
      </c>
      <c r="G1729" s="13">
        <v>623.88</v>
      </c>
      <c r="H1729" s="6">
        <v>0.25</v>
      </c>
      <c r="I1729" s="6" t="s">
        <v>1965</v>
      </c>
      <c r="J1729" s="13">
        <v>467.91</v>
      </c>
      <c r="K1729" s="6" t="str">
        <f t="shared" si="1"/>
        <v>Low Earnings</v>
      </c>
    </row>
    <row r="1730" ht="14.25" customHeight="1">
      <c r="A1730" s="6" t="s">
        <v>3695</v>
      </c>
      <c r="B1730" s="17">
        <v>45546.0</v>
      </c>
      <c r="C1730" s="6" t="s">
        <v>597</v>
      </c>
      <c r="D1730" s="6" t="s">
        <v>1711</v>
      </c>
      <c r="E1730" s="6" t="s">
        <v>1939</v>
      </c>
      <c r="F1730" s="6">
        <v>2.0</v>
      </c>
      <c r="G1730" s="13">
        <v>567.95</v>
      </c>
      <c r="H1730" s="6">
        <v>0.12</v>
      </c>
      <c r="I1730" s="6" t="s">
        <v>1967</v>
      </c>
      <c r="J1730" s="13">
        <v>999.5920000000001</v>
      </c>
      <c r="K1730" s="6" t="str">
        <f t="shared" si="1"/>
        <v>Low Earnings</v>
      </c>
    </row>
    <row r="1731" ht="14.25" customHeight="1">
      <c r="A1731" s="6" t="s">
        <v>3696</v>
      </c>
      <c r="B1731" s="17">
        <v>45483.0</v>
      </c>
      <c r="C1731" s="6" t="s">
        <v>1032</v>
      </c>
      <c r="D1731" s="6" t="s">
        <v>1675</v>
      </c>
      <c r="E1731" s="6" t="s">
        <v>1950</v>
      </c>
      <c r="F1731" s="6">
        <v>2.0</v>
      </c>
      <c r="G1731" s="13">
        <v>671.69</v>
      </c>
      <c r="H1731" s="6">
        <v>0.19</v>
      </c>
      <c r="I1731" s="6" t="s">
        <v>1965</v>
      </c>
      <c r="J1731" s="13">
        <v>1088.1378</v>
      </c>
      <c r="K1731" s="6" t="str">
        <f t="shared" si="1"/>
        <v>Average Earnings</v>
      </c>
    </row>
    <row r="1732" ht="14.25" customHeight="1">
      <c r="A1732" s="6" t="s">
        <v>3697</v>
      </c>
      <c r="B1732" s="17">
        <v>45786.0</v>
      </c>
      <c r="C1732" s="6" t="s">
        <v>684</v>
      </c>
      <c r="D1732" s="6" t="s">
        <v>1585</v>
      </c>
      <c r="E1732" s="6" t="s">
        <v>1919</v>
      </c>
      <c r="F1732" s="6">
        <v>2.0</v>
      </c>
      <c r="G1732" s="13">
        <v>257.96</v>
      </c>
      <c r="H1732" s="6">
        <v>0.21</v>
      </c>
      <c r="I1732" s="6" t="s">
        <v>1967</v>
      </c>
      <c r="J1732" s="13">
        <v>407.5768</v>
      </c>
      <c r="K1732" s="6" t="str">
        <f t="shared" si="1"/>
        <v>Low Earnings</v>
      </c>
    </row>
    <row r="1733" ht="14.25" customHeight="1">
      <c r="A1733" s="6" t="s">
        <v>3698</v>
      </c>
      <c r="B1733" s="17">
        <v>45475.0</v>
      </c>
      <c r="C1733" s="6" t="s">
        <v>678</v>
      </c>
      <c r="D1733" s="6" t="s">
        <v>1882</v>
      </c>
      <c r="E1733" s="6" t="s">
        <v>1953</v>
      </c>
      <c r="F1733" s="6">
        <v>4.0</v>
      </c>
      <c r="G1733" s="13">
        <v>281.48</v>
      </c>
      <c r="H1733" s="6">
        <v>0.27</v>
      </c>
      <c r="I1733" s="6" t="s">
        <v>1967</v>
      </c>
      <c r="J1733" s="13">
        <v>821.9216</v>
      </c>
      <c r="K1733" s="6" t="str">
        <f t="shared" si="1"/>
        <v>Low Earnings</v>
      </c>
    </row>
    <row r="1734" ht="14.25" customHeight="1">
      <c r="A1734" s="6" t="s">
        <v>3699</v>
      </c>
      <c r="B1734" s="17">
        <v>45470.0</v>
      </c>
      <c r="C1734" s="6" t="s">
        <v>1011</v>
      </c>
      <c r="D1734" s="6" t="s">
        <v>1640</v>
      </c>
      <c r="E1734" s="6" t="s">
        <v>1932</v>
      </c>
      <c r="F1734" s="6">
        <v>1.0</v>
      </c>
      <c r="G1734" s="13">
        <v>202.13</v>
      </c>
      <c r="H1734" s="6">
        <v>0.13</v>
      </c>
      <c r="I1734" s="6" t="s">
        <v>1973</v>
      </c>
      <c r="J1734" s="13">
        <v>175.8531</v>
      </c>
      <c r="K1734" s="6" t="str">
        <f t="shared" si="1"/>
        <v>Low Earnings</v>
      </c>
    </row>
    <row r="1735" ht="14.25" customHeight="1">
      <c r="A1735" s="6" t="s">
        <v>3700</v>
      </c>
      <c r="B1735" s="17">
        <v>45243.0</v>
      </c>
      <c r="C1735" s="6" t="s">
        <v>878</v>
      </c>
      <c r="D1735" s="6" t="s">
        <v>1810</v>
      </c>
      <c r="E1735" s="6" t="s">
        <v>1913</v>
      </c>
      <c r="F1735" s="6">
        <v>1.0</v>
      </c>
      <c r="G1735" s="13">
        <v>370.66</v>
      </c>
      <c r="H1735" s="6">
        <v>0.01</v>
      </c>
      <c r="I1735" s="6" t="s">
        <v>1967</v>
      </c>
      <c r="J1735" s="13">
        <v>366.9534</v>
      </c>
      <c r="K1735" s="6" t="str">
        <f t="shared" si="1"/>
        <v>Low Earnings</v>
      </c>
    </row>
    <row r="1736" ht="14.25" customHeight="1">
      <c r="A1736" s="6" t="s">
        <v>3701</v>
      </c>
      <c r="B1736" s="17">
        <v>45285.0</v>
      </c>
      <c r="C1736" s="6" t="s">
        <v>92</v>
      </c>
      <c r="D1736" s="6" t="s">
        <v>1816</v>
      </c>
      <c r="E1736" s="6" t="s">
        <v>1929</v>
      </c>
      <c r="F1736" s="6">
        <v>2.0</v>
      </c>
      <c r="G1736" s="13">
        <v>686.31</v>
      </c>
      <c r="H1736" s="6">
        <v>0.25</v>
      </c>
      <c r="I1736" s="6" t="s">
        <v>1965</v>
      </c>
      <c r="J1736" s="13">
        <v>1029.465</v>
      </c>
      <c r="K1736" s="6" t="str">
        <f t="shared" si="1"/>
        <v>Average Earnings</v>
      </c>
    </row>
    <row r="1737" ht="14.25" customHeight="1">
      <c r="A1737" s="6" t="s">
        <v>3702</v>
      </c>
      <c r="B1737" s="17">
        <v>45341.0</v>
      </c>
      <c r="C1737" s="6" t="s">
        <v>39</v>
      </c>
      <c r="D1737" s="6" t="s">
        <v>1770</v>
      </c>
      <c r="E1737" s="6" t="s">
        <v>1934</v>
      </c>
      <c r="F1737" s="6">
        <v>4.0</v>
      </c>
      <c r="G1737" s="13">
        <v>731.53</v>
      </c>
      <c r="H1737" s="6">
        <v>0.12</v>
      </c>
      <c r="I1737" s="6" t="s">
        <v>1965</v>
      </c>
      <c r="J1737" s="13">
        <v>2574.9856</v>
      </c>
      <c r="K1737" s="6" t="str">
        <f t="shared" si="1"/>
        <v>High Earnings</v>
      </c>
    </row>
    <row r="1738" ht="14.25" customHeight="1">
      <c r="A1738" s="6" t="s">
        <v>3703</v>
      </c>
      <c r="B1738" s="17">
        <v>45371.0</v>
      </c>
      <c r="C1738" s="6" t="s">
        <v>561</v>
      </c>
      <c r="D1738" s="6" t="s">
        <v>1822</v>
      </c>
      <c r="E1738" s="6" t="s">
        <v>1897</v>
      </c>
      <c r="F1738" s="6">
        <v>3.0</v>
      </c>
      <c r="G1738" s="13">
        <v>468.25</v>
      </c>
      <c r="H1738" s="6">
        <v>0.07</v>
      </c>
      <c r="I1738" s="6" t="s">
        <v>1967</v>
      </c>
      <c r="J1738" s="13">
        <v>1306.4175</v>
      </c>
      <c r="K1738" s="6" t="str">
        <f t="shared" si="1"/>
        <v>Average Earnings</v>
      </c>
    </row>
    <row r="1739" ht="14.25" customHeight="1">
      <c r="A1739" s="6" t="s">
        <v>3704</v>
      </c>
      <c r="B1739" s="17">
        <v>45360.0</v>
      </c>
      <c r="C1739" s="6" t="s">
        <v>19</v>
      </c>
      <c r="D1739" s="6" t="s">
        <v>1788</v>
      </c>
      <c r="E1739" s="6" t="s">
        <v>1892</v>
      </c>
      <c r="F1739" s="6">
        <v>1.0</v>
      </c>
      <c r="G1739" s="13">
        <v>928.72</v>
      </c>
      <c r="H1739" s="6">
        <v>0.1</v>
      </c>
      <c r="I1739" s="6" t="s">
        <v>1973</v>
      </c>
      <c r="J1739" s="13">
        <v>835.8480000000001</v>
      </c>
      <c r="K1739" s="6" t="str">
        <f t="shared" si="1"/>
        <v>Low Earnings</v>
      </c>
    </row>
    <row r="1740" ht="14.25" customHeight="1">
      <c r="A1740" s="6" t="s">
        <v>3705</v>
      </c>
      <c r="B1740" s="17">
        <v>45499.0</v>
      </c>
      <c r="C1740" s="6" t="s">
        <v>368</v>
      </c>
      <c r="D1740" s="6" t="s">
        <v>1577</v>
      </c>
      <c r="E1740" s="6" t="s">
        <v>1950</v>
      </c>
      <c r="F1740" s="6">
        <v>3.0</v>
      </c>
      <c r="G1740" s="13">
        <v>217.22</v>
      </c>
      <c r="H1740" s="6">
        <v>0.06</v>
      </c>
      <c r="I1740" s="6" t="s">
        <v>1967</v>
      </c>
      <c r="J1740" s="13">
        <v>612.5604</v>
      </c>
      <c r="K1740" s="6" t="str">
        <f t="shared" si="1"/>
        <v>Low Earnings</v>
      </c>
    </row>
    <row r="1741" ht="14.25" customHeight="1">
      <c r="A1741" s="6" t="s">
        <v>3706</v>
      </c>
      <c r="B1741" s="17">
        <v>45745.0</v>
      </c>
      <c r="C1741" s="6" t="s">
        <v>1276</v>
      </c>
      <c r="D1741" s="6" t="s">
        <v>1653</v>
      </c>
      <c r="E1741" s="6" t="s">
        <v>1906</v>
      </c>
      <c r="F1741" s="6">
        <v>1.0</v>
      </c>
      <c r="G1741" s="13">
        <v>387.99</v>
      </c>
      <c r="H1741" s="6">
        <v>0.3</v>
      </c>
      <c r="I1741" s="6" t="s">
        <v>1965</v>
      </c>
      <c r="J1741" s="13">
        <v>271.593</v>
      </c>
      <c r="K1741" s="6" t="str">
        <f t="shared" si="1"/>
        <v>Low Earnings</v>
      </c>
    </row>
    <row r="1742" ht="14.25" customHeight="1">
      <c r="A1742" s="6" t="s">
        <v>3707</v>
      </c>
      <c r="B1742" s="17">
        <v>45718.0</v>
      </c>
      <c r="C1742" s="6" t="s">
        <v>1482</v>
      </c>
      <c r="D1742" s="6" t="s">
        <v>1633</v>
      </c>
      <c r="E1742" s="6" t="s">
        <v>1916</v>
      </c>
      <c r="F1742" s="6">
        <v>4.0</v>
      </c>
      <c r="G1742" s="13">
        <v>186.24</v>
      </c>
      <c r="H1742" s="6">
        <v>0.23</v>
      </c>
      <c r="I1742" s="6" t="s">
        <v>1965</v>
      </c>
      <c r="J1742" s="13">
        <v>573.6192000000001</v>
      </c>
      <c r="K1742" s="6" t="str">
        <f t="shared" si="1"/>
        <v>Low Earnings</v>
      </c>
    </row>
    <row r="1743" ht="14.25" customHeight="1">
      <c r="A1743" s="6" t="s">
        <v>3708</v>
      </c>
      <c r="B1743" s="17">
        <v>45454.0</v>
      </c>
      <c r="C1743" s="6" t="s">
        <v>952</v>
      </c>
      <c r="D1743" s="6" t="s">
        <v>1705</v>
      </c>
      <c r="E1743" s="6" t="s">
        <v>1922</v>
      </c>
      <c r="F1743" s="6">
        <v>4.0</v>
      </c>
      <c r="G1743" s="13">
        <v>609.06</v>
      </c>
      <c r="H1743" s="6">
        <v>0.22</v>
      </c>
      <c r="I1743" s="6" t="s">
        <v>1973</v>
      </c>
      <c r="J1743" s="13">
        <v>1900.2672</v>
      </c>
      <c r="K1743" s="6" t="str">
        <f t="shared" si="1"/>
        <v>Average Earnings</v>
      </c>
    </row>
    <row r="1744" ht="14.25" customHeight="1">
      <c r="A1744" s="6" t="s">
        <v>3709</v>
      </c>
      <c r="B1744" s="17">
        <v>45434.0</v>
      </c>
      <c r="C1744" s="6" t="s">
        <v>1371</v>
      </c>
      <c r="D1744" s="6" t="s">
        <v>1682</v>
      </c>
      <c r="E1744" s="6" t="s">
        <v>1932</v>
      </c>
      <c r="F1744" s="6">
        <v>1.0</v>
      </c>
      <c r="G1744" s="13">
        <v>827.91</v>
      </c>
      <c r="H1744" s="6">
        <v>0.21</v>
      </c>
      <c r="I1744" s="6" t="s">
        <v>1967</v>
      </c>
      <c r="J1744" s="13">
        <v>654.0489</v>
      </c>
      <c r="K1744" s="6" t="str">
        <f t="shared" si="1"/>
        <v>Low Earnings</v>
      </c>
    </row>
    <row r="1745" ht="14.25" customHeight="1">
      <c r="A1745" s="6" t="s">
        <v>3710</v>
      </c>
      <c r="B1745" s="17">
        <v>45486.0</v>
      </c>
      <c r="C1745" s="6" t="s">
        <v>594</v>
      </c>
      <c r="D1745" s="6" t="s">
        <v>1837</v>
      </c>
      <c r="E1745" s="6" t="s">
        <v>1892</v>
      </c>
      <c r="F1745" s="6">
        <v>1.0</v>
      </c>
      <c r="G1745" s="13">
        <v>303.79</v>
      </c>
      <c r="H1745" s="6">
        <v>0.24</v>
      </c>
      <c r="I1745" s="6" t="s">
        <v>1967</v>
      </c>
      <c r="J1745" s="13">
        <v>230.8804</v>
      </c>
      <c r="K1745" s="6" t="str">
        <f t="shared" si="1"/>
        <v>Low Earnings</v>
      </c>
    </row>
    <row r="1746" ht="14.25" customHeight="1">
      <c r="A1746" s="6" t="s">
        <v>3711</v>
      </c>
      <c r="B1746" s="17">
        <v>45902.0</v>
      </c>
      <c r="C1746" s="6" t="s">
        <v>377</v>
      </c>
      <c r="D1746" s="6" t="s">
        <v>1694</v>
      </c>
      <c r="E1746" s="6" t="s">
        <v>1916</v>
      </c>
      <c r="F1746" s="6">
        <v>2.0</v>
      </c>
      <c r="G1746" s="13">
        <v>365.91</v>
      </c>
      <c r="H1746" s="6">
        <v>0.14</v>
      </c>
      <c r="I1746" s="6" t="s">
        <v>1973</v>
      </c>
      <c r="J1746" s="13">
        <v>629.3652000000001</v>
      </c>
      <c r="K1746" s="6" t="str">
        <f t="shared" si="1"/>
        <v>Low Earnings</v>
      </c>
    </row>
    <row r="1747" ht="14.25" customHeight="1">
      <c r="A1747" s="6" t="s">
        <v>3712</v>
      </c>
      <c r="B1747" s="17">
        <v>45800.0</v>
      </c>
      <c r="C1747" s="6" t="s">
        <v>47</v>
      </c>
      <c r="D1747" s="6" t="s">
        <v>1788</v>
      </c>
      <c r="E1747" s="6" t="s">
        <v>1941</v>
      </c>
      <c r="F1747" s="6">
        <v>1.0</v>
      </c>
      <c r="G1747" s="13">
        <v>687.82</v>
      </c>
      <c r="H1747" s="6">
        <v>0.27</v>
      </c>
      <c r="I1747" s="6" t="s">
        <v>1973</v>
      </c>
      <c r="J1747" s="13">
        <v>502.1086</v>
      </c>
      <c r="K1747" s="6" t="str">
        <f t="shared" si="1"/>
        <v>Low Earnings</v>
      </c>
    </row>
    <row r="1748" ht="14.25" customHeight="1">
      <c r="A1748" s="6" t="s">
        <v>3713</v>
      </c>
      <c r="B1748" s="17">
        <v>45762.0</v>
      </c>
      <c r="C1748" s="6" t="s">
        <v>263</v>
      </c>
      <c r="D1748" s="6" t="s">
        <v>1657</v>
      </c>
      <c r="E1748" s="6" t="s">
        <v>1947</v>
      </c>
      <c r="F1748" s="6">
        <v>3.0</v>
      </c>
      <c r="G1748" s="13">
        <v>852.72</v>
      </c>
      <c r="H1748" s="6">
        <v>0.16</v>
      </c>
      <c r="I1748" s="6" t="s">
        <v>1965</v>
      </c>
      <c r="J1748" s="13">
        <v>2148.8544</v>
      </c>
      <c r="K1748" s="6" t="str">
        <f t="shared" si="1"/>
        <v>Average Earnings</v>
      </c>
    </row>
    <row r="1749" ht="14.25" customHeight="1">
      <c r="A1749" s="6" t="s">
        <v>3714</v>
      </c>
      <c r="B1749" s="17">
        <v>45752.0</v>
      </c>
      <c r="C1749" s="6" t="s">
        <v>806</v>
      </c>
      <c r="D1749" s="6" t="s">
        <v>1604</v>
      </c>
      <c r="E1749" s="6" t="s">
        <v>1909</v>
      </c>
      <c r="F1749" s="6">
        <v>1.0</v>
      </c>
      <c r="G1749" s="13">
        <v>768.25</v>
      </c>
      <c r="H1749" s="6">
        <v>0.18</v>
      </c>
      <c r="I1749" s="6" t="s">
        <v>1965</v>
      </c>
      <c r="J1749" s="13">
        <v>629.965</v>
      </c>
      <c r="K1749" s="6" t="str">
        <f t="shared" si="1"/>
        <v>Low Earnings</v>
      </c>
    </row>
    <row r="1750" ht="14.25" customHeight="1">
      <c r="A1750" s="6" t="s">
        <v>3715</v>
      </c>
      <c r="B1750" s="17">
        <v>45254.0</v>
      </c>
      <c r="C1750" s="6" t="s">
        <v>1113</v>
      </c>
      <c r="D1750" s="6" t="s">
        <v>1864</v>
      </c>
      <c r="E1750" s="6" t="s">
        <v>1953</v>
      </c>
      <c r="F1750" s="6">
        <v>2.0</v>
      </c>
      <c r="G1750" s="13">
        <v>318.62</v>
      </c>
      <c r="H1750" s="6">
        <v>0.02</v>
      </c>
      <c r="I1750" s="6" t="s">
        <v>1973</v>
      </c>
      <c r="J1750" s="13">
        <v>624.4952</v>
      </c>
      <c r="K1750" s="6" t="str">
        <f t="shared" si="1"/>
        <v>Low Earnings</v>
      </c>
    </row>
    <row r="1751" ht="14.25" customHeight="1">
      <c r="A1751" s="6" t="s">
        <v>3716</v>
      </c>
      <c r="B1751" s="17">
        <v>45683.0</v>
      </c>
      <c r="C1751" s="6" t="s">
        <v>196</v>
      </c>
      <c r="D1751" s="6" t="s">
        <v>1816</v>
      </c>
      <c r="E1751" s="6" t="s">
        <v>1901</v>
      </c>
      <c r="F1751" s="6">
        <v>4.0</v>
      </c>
      <c r="G1751" s="13">
        <v>402.11</v>
      </c>
      <c r="H1751" s="6">
        <v>0.14</v>
      </c>
      <c r="I1751" s="6" t="s">
        <v>1967</v>
      </c>
      <c r="J1751" s="13">
        <v>1383.2584</v>
      </c>
      <c r="K1751" s="6" t="str">
        <f t="shared" si="1"/>
        <v>Average Earnings</v>
      </c>
    </row>
    <row r="1752" ht="14.25" customHeight="1">
      <c r="A1752" s="6" t="s">
        <v>3717</v>
      </c>
      <c r="B1752" s="17">
        <v>45804.0</v>
      </c>
      <c r="C1752" s="6" t="s">
        <v>1285</v>
      </c>
      <c r="D1752" s="6" t="s">
        <v>1840</v>
      </c>
      <c r="E1752" s="6" t="s">
        <v>1947</v>
      </c>
      <c r="F1752" s="6">
        <v>3.0</v>
      </c>
      <c r="G1752" s="13">
        <v>846.31</v>
      </c>
      <c r="H1752" s="6">
        <v>0.18</v>
      </c>
      <c r="I1752" s="6" t="s">
        <v>1973</v>
      </c>
      <c r="J1752" s="13">
        <v>2081.9226</v>
      </c>
      <c r="K1752" s="6" t="str">
        <f t="shared" si="1"/>
        <v>Average Earnings</v>
      </c>
    </row>
    <row r="1753" ht="14.25" customHeight="1">
      <c r="A1753" s="6" t="s">
        <v>3718</v>
      </c>
      <c r="B1753" s="17">
        <v>45821.0</v>
      </c>
      <c r="C1753" s="6" t="s">
        <v>570</v>
      </c>
      <c r="D1753" s="6" t="s">
        <v>1870</v>
      </c>
      <c r="E1753" s="6" t="s">
        <v>1939</v>
      </c>
      <c r="F1753" s="6">
        <v>1.0</v>
      </c>
      <c r="G1753" s="13">
        <v>269.94</v>
      </c>
      <c r="H1753" s="6">
        <v>0.07</v>
      </c>
      <c r="I1753" s="6" t="s">
        <v>1973</v>
      </c>
      <c r="J1753" s="13">
        <v>251.0442</v>
      </c>
      <c r="K1753" s="6" t="str">
        <f t="shared" si="1"/>
        <v>Low Earnings</v>
      </c>
    </row>
    <row r="1754" ht="14.25" customHeight="1">
      <c r="A1754" s="6" t="s">
        <v>3719</v>
      </c>
      <c r="B1754" s="17">
        <v>45472.0</v>
      </c>
      <c r="C1754" s="6" t="s">
        <v>788</v>
      </c>
      <c r="D1754" s="6" t="s">
        <v>1640</v>
      </c>
      <c r="E1754" s="6" t="s">
        <v>1909</v>
      </c>
      <c r="F1754" s="6">
        <v>3.0</v>
      </c>
      <c r="G1754" s="13">
        <v>909.25</v>
      </c>
      <c r="H1754" s="6">
        <v>0.29</v>
      </c>
      <c r="I1754" s="6" t="s">
        <v>1973</v>
      </c>
      <c r="J1754" s="13">
        <v>1936.7025</v>
      </c>
      <c r="K1754" s="6" t="str">
        <f t="shared" si="1"/>
        <v>Average Earnings</v>
      </c>
    </row>
    <row r="1755" ht="14.25" customHeight="1">
      <c r="A1755" s="6" t="s">
        <v>3720</v>
      </c>
      <c r="B1755" s="17">
        <v>45331.0</v>
      </c>
      <c r="C1755" s="6" t="s">
        <v>1152</v>
      </c>
      <c r="D1755" s="6" t="s">
        <v>1861</v>
      </c>
      <c r="E1755" s="6" t="s">
        <v>1934</v>
      </c>
      <c r="F1755" s="6">
        <v>2.0</v>
      </c>
      <c r="G1755" s="13">
        <v>229.81</v>
      </c>
      <c r="H1755" s="6">
        <v>0.21</v>
      </c>
      <c r="I1755" s="6" t="s">
        <v>1973</v>
      </c>
      <c r="J1755" s="13">
        <v>363.0998</v>
      </c>
      <c r="K1755" s="6" t="str">
        <f t="shared" si="1"/>
        <v>Low Earnings</v>
      </c>
    </row>
    <row r="1756" ht="14.25" customHeight="1">
      <c r="A1756" s="6" t="s">
        <v>3721</v>
      </c>
      <c r="B1756" s="17">
        <v>45451.0</v>
      </c>
      <c r="C1756" s="6" t="s">
        <v>155</v>
      </c>
      <c r="D1756" s="6" t="s">
        <v>1822</v>
      </c>
      <c r="E1756" s="6" t="s">
        <v>1941</v>
      </c>
      <c r="F1756" s="6">
        <v>3.0</v>
      </c>
      <c r="G1756" s="13">
        <v>442.36</v>
      </c>
      <c r="H1756" s="6">
        <v>0.06</v>
      </c>
      <c r="I1756" s="6" t="s">
        <v>1967</v>
      </c>
      <c r="J1756" s="13">
        <v>1247.4552</v>
      </c>
      <c r="K1756" s="6" t="str">
        <f t="shared" si="1"/>
        <v>Average Earnings</v>
      </c>
    </row>
    <row r="1757" ht="14.25" customHeight="1">
      <c r="A1757" s="6" t="s">
        <v>3722</v>
      </c>
      <c r="B1757" s="17">
        <v>45386.0</v>
      </c>
      <c r="C1757" s="6" t="s">
        <v>782</v>
      </c>
      <c r="D1757" s="6" t="s">
        <v>1846</v>
      </c>
      <c r="E1757" s="6" t="s">
        <v>1906</v>
      </c>
      <c r="F1757" s="6">
        <v>3.0</v>
      </c>
      <c r="G1757" s="13">
        <v>413.74</v>
      </c>
      <c r="H1757" s="6">
        <v>0.01</v>
      </c>
      <c r="I1757" s="6" t="s">
        <v>1965</v>
      </c>
      <c r="J1757" s="13">
        <v>1228.8078</v>
      </c>
      <c r="K1757" s="6" t="str">
        <f t="shared" si="1"/>
        <v>Average Earnings</v>
      </c>
    </row>
    <row r="1758" ht="14.25" customHeight="1">
      <c r="A1758" s="6" t="s">
        <v>3723</v>
      </c>
      <c r="B1758" s="17">
        <v>45609.0</v>
      </c>
      <c r="C1758" s="6" t="s">
        <v>730</v>
      </c>
      <c r="D1758" s="6" t="s">
        <v>1837</v>
      </c>
      <c r="E1758" s="6" t="s">
        <v>1922</v>
      </c>
      <c r="F1758" s="6">
        <v>2.0</v>
      </c>
      <c r="G1758" s="13">
        <v>900.55</v>
      </c>
      <c r="H1758" s="6">
        <v>0.16</v>
      </c>
      <c r="I1758" s="6" t="s">
        <v>1965</v>
      </c>
      <c r="J1758" s="13">
        <v>1512.924</v>
      </c>
      <c r="K1758" s="6" t="str">
        <f t="shared" si="1"/>
        <v>Average Earnings</v>
      </c>
    </row>
    <row r="1759" ht="14.25" customHeight="1">
      <c r="A1759" s="6" t="s">
        <v>3724</v>
      </c>
      <c r="B1759" s="17">
        <v>45477.0</v>
      </c>
      <c r="C1759" s="6" t="s">
        <v>1540</v>
      </c>
      <c r="D1759" s="6" t="s">
        <v>1855</v>
      </c>
      <c r="E1759" s="6" t="s">
        <v>1939</v>
      </c>
      <c r="F1759" s="6">
        <v>4.0</v>
      </c>
      <c r="G1759" s="13">
        <v>79.75</v>
      </c>
      <c r="H1759" s="6">
        <v>0.18</v>
      </c>
      <c r="I1759" s="6" t="s">
        <v>1967</v>
      </c>
      <c r="J1759" s="13">
        <v>261.58</v>
      </c>
      <c r="K1759" s="6" t="str">
        <f t="shared" si="1"/>
        <v>Low Earnings</v>
      </c>
    </row>
    <row r="1760" ht="14.25" customHeight="1">
      <c r="A1760" s="6" t="s">
        <v>3725</v>
      </c>
      <c r="B1760" s="17">
        <v>45433.0</v>
      </c>
      <c r="C1760" s="6" t="s">
        <v>1537</v>
      </c>
      <c r="D1760" s="6" t="s">
        <v>1705</v>
      </c>
      <c r="E1760" s="6" t="s">
        <v>1934</v>
      </c>
      <c r="F1760" s="6">
        <v>4.0</v>
      </c>
      <c r="G1760" s="13">
        <v>95.06</v>
      </c>
      <c r="H1760" s="6">
        <v>0.03</v>
      </c>
      <c r="I1760" s="6" t="s">
        <v>1965</v>
      </c>
      <c r="J1760" s="13">
        <v>368.8328</v>
      </c>
      <c r="K1760" s="6" t="str">
        <f t="shared" si="1"/>
        <v>Low Earnings</v>
      </c>
    </row>
    <row r="1761" ht="14.25" customHeight="1">
      <c r="A1761" s="6" t="s">
        <v>3726</v>
      </c>
      <c r="B1761" s="17">
        <v>45759.0</v>
      </c>
      <c r="C1761" s="6" t="s">
        <v>1308</v>
      </c>
      <c r="D1761" s="6" t="s">
        <v>1882</v>
      </c>
      <c r="E1761" s="6" t="s">
        <v>1919</v>
      </c>
      <c r="F1761" s="6">
        <v>4.0</v>
      </c>
      <c r="G1761" s="13">
        <v>107.08</v>
      </c>
      <c r="H1761" s="6">
        <v>0.27</v>
      </c>
      <c r="I1761" s="6" t="s">
        <v>1973</v>
      </c>
      <c r="J1761" s="13">
        <v>312.6736</v>
      </c>
      <c r="K1761" s="6" t="str">
        <f t="shared" si="1"/>
        <v>Low Earnings</v>
      </c>
    </row>
    <row r="1762" ht="14.25" customHeight="1">
      <c r="A1762" s="6" t="s">
        <v>3727</v>
      </c>
      <c r="B1762" s="17">
        <v>45794.0</v>
      </c>
      <c r="C1762" s="6" t="s">
        <v>1477</v>
      </c>
      <c r="D1762" s="6" t="s">
        <v>1885</v>
      </c>
      <c r="E1762" s="6" t="s">
        <v>1950</v>
      </c>
      <c r="F1762" s="6">
        <v>1.0</v>
      </c>
      <c r="G1762" s="13">
        <v>873.18</v>
      </c>
      <c r="H1762" s="6">
        <v>0.03</v>
      </c>
      <c r="I1762" s="6" t="s">
        <v>1973</v>
      </c>
      <c r="J1762" s="13">
        <v>846.9845999999999</v>
      </c>
      <c r="K1762" s="6" t="str">
        <f t="shared" si="1"/>
        <v>Low Earnings</v>
      </c>
    </row>
    <row r="1763" ht="14.25" customHeight="1">
      <c r="A1763" s="6" t="s">
        <v>3728</v>
      </c>
      <c r="B1763" s="17">
        <v>45764.0</v>
      </c>
      <c r="C1763" s="6" t="s">
        <v>1194</v>
      </c>
      <c r="D1763" s="6" t="s">
        <v>1798</v>
      </c>
      <c r="E1763" s="6" t="s">
        <v>1950</v>
      </c>
      <c r="F1763" s="6">
        <v>1.0</v>
      </c>
      <c r="G1763" s="13">
        <v>914.75</v>
      </c>
      <c r="H1763" s="6">
        <v>0.1</v>
      </c>
      <c r="I1763" s="6" t="s">
        <v>1973</v>
      </c>
      <c r="J1763" s="13">
        <v>823.275</v>
      </c>
      <c r="K1763" s="6" t="str">
        <f t="shared" si="1"/>
        <v>Low Earnings</v>
      </c>
    </row>
    <row r="1764" ht="14.25" customHeight="1">
      <c r="A1764" s="6" t="s">
        <v>3729</v>
      </c>
      <c r="B1764" s="17">
        <v>45279.0</v>
      </c>
      <c r="C1764" s="6" t="s">
        <v>196</v>
      </c>
      <c r="D1764" s="6" t="s">
        <v>1807</v>
      </c>
      <c r="E1764" s="6" t="s">
        <v>1937</v>
      </c>
      <c r="F1764" s="6">
        <v>4.0</v>
      </c>
      <c r="G1764" s="13">
        <v>457.33</v>
      </c>
      <c r="H1764" s="6">
        <v>0.1</v>
      </c>
      <c r="I1764" s="6" t="s">
        <v>1965</v>
      </c>
      <c r="J1764" s="13">
        <v>1646.388</v>
      </c>
      <c r="K1764" s="6" t="str">
        <f t="shared" si="1"/>
        <v>Average Earnings</v>
      </c>
    </row>
    <row r="1765" ht="14.25" customHeight="1">
      <c r="A1765" s="6" t="s">
        <v>3730</v>
      </c>
      <c r="B1765" s="17">
        <v>45602.0</v>
      </c>
      <c r="C1765" s="6" t="s">
        <v>941</v>
      </c>
      <c r="D1765" s="6" t="s">
        <v>1885</v>
      </c>
      <c r="E1765" s="6" t="s">
        <v>1906</v>
      </c>
      <c r="F1765" s="6">
        <v>3.0</v>
      </c>
      <c r="G1765" s="13">
        <v>761.88</v>
      </c>
      <c r="H1765" s="6">
        <v>0.23</v>
      </c>
      <c r="I1765" s="6" t="s">
        <v>1967</v>
      </c>
      <c r="J1765" s="13">
        <v>1759.9428</v>
      </c>
      <c r="K1765" s="6" t="str">
        <f t="shared" si="1"/>
        <v>Average Earnings</v>
      </c>
    </row>
    <row r="1766" ht="14.25" customHeight="1">
      <c r="A1766" s="6" t="s">
        <v>3731</v>
      </c>
      <c r="B1766" s="17">
        <v>45793.0</v>
      </c>
      <c r="C1766" s="6" t="s">
        <v>597</v>
      </c>
      <c r="D1766" s="6" t="s">
        <v>1694</v>
      </c>
      <c r="E1766" s="6" t="s">
        <v>1953</v>
      </c>
      <c r="F1766" s="6">
        <v>4.0</v>
      </c>
      <c r="G1766" s="13">
        <v>122.87</v>
      </c>
      <c r="H1766" s="6">
        <v>0.13</v>
      </c>
      <c r="I1766" s="6" t="s">
        <v>1965</v>
      </c>
      <c r="J1766" s="13">
        <v>427.5876</v>
      </c>
      <c r="K1766" s="6" t="str">
        <f t="shared" si="1"/>
        <v>Low Earnings</v>
      </c>
    </row>
    <row r="1767" ht="14.25" customHeight="1">
      <c r="A1767" s="6" t="s">
        <v>3732</v>
      </c>
      <c r="B1767" s="17">
        <v>45778.0</v>
      </c>
      <c r="C1767" s="6" t="s">
        <v>1480</v>
      </c>
      <c r="D1767" s="6" t="s">
        <v>1807</v>
      </c>
      <c r="E1767" s="6" t="s">
        <v>1909</v>
      </c>
      <c r="F1767" s="6">
        <v>4.0</v>
      </c>
      <c r="G1767" s="13">
        <v>753.0</v>
      </c>
      <c r="H1767" s="6">
        <v>0.28</v>
      </c>
      <c r="I1767" s="6" t="s">
        <v>1973</v>
      </c>
      <c r="J1767" s="13">
        <v>2168.64</v>
      </c>
      <c r="K1767" s="6" t="str">
        <f t="shared" si="1"/>
        <v>Average Earnings</v>
      </c>
    </row>
    <row r="1768" ht="14.25" customHeight="1">
      <c r="A1768" s="6" t="s">
        <v>3733</v>
      </c>
      <c r="B1768" s="17">
        <v>45325.0</v>
      </c>
      <c r="C1768" s="6" t="s">
        <v>1173</v>
      </c>
      <c r="D1768" s="6" t="s">
        <v>1581</v>
      </c>
      <c r="E1768" s="6" t="s">
        <v>1913</v>
      </c>
      <c r="F1768" s="6">
        <v>2.0</v>
      </c>
      <c r="G1768" s="13">
        <v>788.05</v>
      </c>
      <c r="H1768" s="6">
        <v>0.21</v>
      </c>
      <c r="I1768" s="6" t="s">
        <v>1965</v>
      </c>
      <c r="J1768" s="13">
        <v>1245.119</v>
      </c>
      <c r="K1768" s="6" t="str">
        <f t="shared" si="1"/>
        <v>Average Earnings</v>
      </c>
    </row>
    <row r="1769" ht="14.25" customHeight="1">
      <c r="A1769" s="6" t="s">
        <v>3734</v>
      </c>
      <c r="B1769" s="17">
        <v>45268.0</v>
      </c>
      <c r="C1769" s="6" t="s">
        <v>410</v>
      </c>
      <c r="D1769" s="6" t="s">
        <v>1643</v>
      </c>
      <c r="E1769" s="6" t="s">
        <v>1901</v>
      </c>
      <c r="F1769" s="6">
        <v>1.0</v>
      </c>
      <c r="G1769" s="13">
        <v>341.17</v>
      </c>
      <c r="H1769" s="6">
        <v>0.15</v>
      </c>
      <c r="I1769" s="6" t="s">
        <v>1965</v>
      </c>
      <c r="J1769" s="13">
        <v>289.9945</v>
      </c>
      <c r="K1769" s="6" t="str">
        <f t="shared" si="1"/>
        <v>Low Earnings</v>
      </c>
    </row>
    <row r="1770" ht="14.25" customHeight="1">
      <c r="A1770" s="6" t="s">
        <v>3735</v>
      </c>
      <c r="B1770" s="17">
        <v>45875.0</v>
      </c>
      <c r="C1770" s="6" t="s">
        <v>1441</v>
      </c>
      <c r="D1770" s="6" t="s">
        <v>1834</v>
      </c>
      <c r="E1770" s="6" t="s">
        <v>1929</v>
      </c>
      <c r="F1770" s="6">
        <v>2.0</v>
      </c>
      <c r="G1770" s="13">
        <v>807.1</v>
      </c>
      <c r="H1770" s="6">
        <v>0.29</v>
      </c>
      <c r="I1770" s="6" t="s">
        <v>1965</v>
      </c>
      <c r="J1770" s="13">
        <v>1146.082</v>
      </c>
      <c r="K1770" s="6" t="str">
        <f t="shared" si="1"/>
        <v>Average Earnings</v>
      </c>
    </row>
    <row r="1771" ht="14.25" customHeight="1">
      <c r="A1771" s="6" t="s">
        <v>3736</v>
      </c>
      <c r="B1771" s="17">
        <v>45320.0</v>
      </c>
      <c r="C1771" s="6" t="s">
        <v>469</v>
      </c>
      <c r="D1771" s="6" t="s">
        <v>1595</v>
      </c>
      <c r="E1771" s="6" t="s">
        <v>1897</v>
      </c>
      <c r="F1771" s="6">
        <v>2.0</v>
      </c>
      <c r="G1771" s="13">
        <v>443.09</v>
      </c>
      <c r="H1771" s="6">
        <v>0.02</v>
      </c>
      <c r="I1771" s="6" t="s">
        <v>1967</v>
      </c>
      <c r="J1771" s="13">
        <v>868.4563999999999</v>
      </c>
      <c r="K1771" s="6" t="str">
        <f t="shared" si="1"/>
        <v>Low Earnings</v>
      </c>
    </row>
    <row r="1772" ht="14.25" customHeight="1">
      <c r="A1772" s="6" t="s">
        <v>3737</v>
      </c>
      <c r="B1772" s="17">
        <v>45870.0</v>
      </c>
      <c r="C1772" s="6" t="s">
        <v>1459</v>
      </c>
      <c r="D1772" s="6" t="s">
        <v>1636</v>
      </c>
      <c r="E1772" s="6" t="s">
        <v>1941</v>
      </c>
      <c r="F1772" s="6">
        <v>1.0</v>
      </c>
      <c r="G1772" s="13">
        <v>512.16</v>
      </c>
      <c r="H1772" s="6">
        <v>0.02</v>
      </c>
      <c r="I1772" s="6" t="s">
        <v>1973</v>
      </c>
      <c r="J1772" s="13">
        <v>501.9168</v>
      </c>
      <c r="K1772" s="6" t="str">
        <f t="shared" si="1"/>
        <v>Low Earnings</v>
      </c>
    </row>
    <row r="1773" ht="14.25" customHeight="1">
      <c r="A1773" s="6" t="s">
        <v>3738</v>
      </c>
      <c r="B1773" s="17">
        <v>45577.0</v>
      </c>
      <c r="C1773" s="6" t="s">
        <v>690</v>
      </c>
      <c r="D1773" s="6" t="s">
        <v>1708</v>
      </c>
      <c r="E1773" s="6" t="s">
        <v>1950</v>
      </c>
      <c r="F1773" s="6">
        <v>2.0</v>
      </c>
      <c r="G1773" s="13">
        <v>602.55</v>
      </c>
      <c r="H1773" s="6">
        <v>0.23</v>
      </c>
      <c r="I1773" s="6" t="s">
        <v>1973</v>
      </c>
      <c r="J1773" s="13">
        <v>927.9269999999999</v>
      </c>
      <c r="K1773" s="6" t="str">
        <f t="shared" si="1"/>
        <v>Low Earnings</v>
      </c>
    </row>
    <row r="1774" ht="14.25" customHeight="1">
      <c r="A1774" s="6" t="s">
        <v>3739</v>
      </c>
      <c r="B1774" s="17">
        <v>45745.0</v>
      </c>
      <c r="C1774" s="6" t="s">
        <v>558</v>
      </c>
      <c r="D1774" s="6" t="s">
        <v>1711</v>
      </c>
      <c r="E1774" s="6" t="s">
        <v>1892</v>
      </c>
      <c r="F1774" s="6">
        <v>3.0</v>
      </c>
      <c r="G1774" s="13">
        <v>846.19</v>
      </c>
      <c r="H1774" s="6">
        <v>0.09</v>
      </c>
      <c r="I1774" s="6" t="s">
        <v>1973</v>
      </c>
      <c r="J1774" s="13">
        <v>2310.0987</v>
      </c>
      <c r="K1774" s="6" t="str">
        <f t="shared" si="1"/>
        <v>Average Earnings</v>
      </c>
    </row>
    <row r="1775" ht="14.25" customHeight="1">
      <c r="A1775" s="6" t="s">
        <v>3740</v>
      </c>
      <c r="B1775" s="17">
        <v>45772.0</v>
      </c>
      <c r="C1775" s="6" t="s">
        <v>1041</v>
      </c>
      <c r="D1775" s="6" t="s">
        <v>1795</v>
      </c>
      <c r="E1775" s="6" t="s">
        <v>1922</v>
      </c>
      <c r="F1775" s="6">
        <v>1.0</v>
      </c>
      <c r="G1775" s="13">
        <v>506.73</v>
      </c>
      <c r="H1775" s="6">
        <v>0.29</v>
      </c>
      <c r="I1775" s="6" t="s">
        <v>1965</v>
      </c>
      <c r="J1775" s="13">
        <v>359.7783</v>
      </c>
      <c r="K1775" s="6" t="str">
        <f t="shared" si="1"/>
        <v>Low Earnings</v>
      </c>
    </row>
    <row r="1776" ht="14.25" customHeight="1">
      <c r="A1776" s="6" t="s">
        <v>3741</v>
      </c>
      <c r="B1776" s="17">
        <v>45299.0</v>
      </c>
      <c r="C1776" s="6" t="s">
        <v>206</v>
      </c>
      <c r="D1776" s="6" t="s">
        <v>1740</v>
      </c>
      <c r="E1776" s="6" t="s">
        <v>1944</v>
      </c>
      <c r="F1776" s="6">
        <v>1.0</v>
      </c>
      <c r="G1776" s="13">
        <v>408.66</v>
      </c>
      <c r="H1776" s="6">
        <v>0.13</v>
      </c>
      <c r="I1776" s="6" t="s">
        <v>1973</v>
      </c>
      <c r="J1776" s="13">
        <v>355.5342</v>
      </c>
      <c r="K1776" s="6" t="str">
        <f t="shared" si="1"/>
        <v>Low Earnings</v>
      </c>
    </row>
    <row r="1777" ht="14.25" customHeight="1">
      <c r="A1777" s="6" t="s">
        <v>3742</v>
      </c>
      <c r="B1777" s="17">
        <v>45447.0</v>
      </c>
      <c r="C1777" s="6" t="s">
        <v>395</v>
      </c>
      <c r="D1777" s="6" t="s">
        <v>1595</v>
      </c>
      <c r="E1777" s="6" t="s">
        <v>1947</v>
      </c>
      <c r="F1777" s="6">
        <v>3.0</v>
      </c>
      <c r="G1777" s="13">
        <v>170.48</v>
      </c>
      <c r="H1777" s="6">
        <v>0.06</v>
      </c>
      <c r="I1777" s="6" t="s">
        <v>1973</v>
      </c>
      <c r="J1777" s="13">
        <v>480.7535999999999</v>
      </c>
      <c r="K1777" s="6" t="str">
        <f t="shared" si="1"/>
        <v>Low Earnings</v>
      </c>
    </row>
    <row r="1778" ht="14.25" customHeight="1">
      <c r="A1778" s="6" t="s">
        <v>3743</v>
      </c>
      <c r="B1778" s="17">
        <v>45717.0</v>
      </c>
      <c r="C1778" s="6" t="s">
        <v>355</v>
      </c>
      <c r="D1778" s="6" t="s">
        <v>1633</v>
      </c>
      <c r="E1778" s="6" t="s">
        <v>1926</v>
      </c>
      <c r="F1778" s="6">
        <v>1.0</v>
      </c>
      <c r="G1778" s="13">
        <v>423.48</v>
      </c>
      <c r="H1778" s="6">
        <v>0.18</v>
      </c>
      <c r="I1778" s="6" t="s">
        <v>1967</v>
      </c>
      <c r="J1778" s="13">
        <v>347.2536000000001</v>
      </c>
      <c r="K1778" s="6" t="str">
        <f t="shared" si="1"/>
        <v>Low Earnings</v>
      </c>
    </row>
    <row r="1779" ht="14.25" customHeight="1">
      <c r="A1779" s="6" t="s">
        <v>3744</v>
      </c>
      <c r="B1779" s="17">
        <v>45213.0</v>
      </c>
      <c r="C1779" s="6" t="s">
        <v>770</v>
      </c>
      <c r="D1779" s="6" t="s">
        <v>1864</v>
      </c>
      <c r="E1779" s="6" t="s">
        <v>1932</v>
      </c>
      <c r="F1779" s="6">
        <v>4.0</v>
      </c>
      <c r="G1779" s="13">
        <v>23.57</v>
      </c>
      <c r="H1779" s="6">
        <v>0.1</v>
      </c>
      <c r="I1779" s="6" t="s">
        <v>1965</v>
      </c>
      <c r="J1779" s="13">
        <v>84.852</v>
      </c>
      <c r="K1779" s="6" t="str">
        <f t="shared" si="1"/>
        <v>Low Earnings</v>
      </c>
    </row>
    <row r="1780" ht="14.25" customHeight="1">
      <c r="A1780" s="6" t="s">
        <v>3745</v>
      </c>
      <c r="B1780" s="17">
        <v>45781.0</v>
      </c>
      <c r="C1780" s="6" t="s">
        <v>628</v>
      </c>
      <c r="D1780" s="6" t="s">
        <v>1885</v>
      </c>
      <c r="E1780" s="6" t="s">
        <v>1913</v>
      </c>
      <c r="F1780" s="6">
        <f>J1780/(G1780*(1-H1780))</f>
        <v>3</v>
      </c>
      <c r="G1780" s="13">
        <v>448.25</v>
      </c>
      <c r="H1780" s="6">
        <v>0.07</v>
      </c>
      <c r="I1780" s="6" t="s">
        <v>1967</v>
      </c>
      <c r="J1780" s="13">
        <v>1250.6175</v>
      </c>
      <c r="K1780" s="6" t="str">
        <f t="shared" si="1"/>
        <v>Average Earnings</v>
      </c>
    </row>
    <row r="1781" ht="14.25" customHeight="1">
      <c r="A1781" s="6" t="s">
        <v>3746</v>
      </c>
      <c r="B1781" s="17">
        <v>45885.0</v>
      </c>
      <c r="C1781" s="6" t="s">
        <v>594</v>
      </c>
      <c r="D1781" s="6" t="s">
        <v>1743</v>
      </c>
      <c r="E1781" s="6" t="s">
        <v>1922</v>
      </c>
      <c r="F1781" s="6">
        <v>1.0</v>
      </c>
      <c r="G1781" s="13">
        <v>442.27</v>
      </c>
      <c r="H1781" s="6">
        <v>0.06</v>
      </c>
      <c r="I1781" s="6" t="s">
        <v>1973</v>
      </c>
      <c r="J1781" s="13">
        <v>415.7338</v>
      </c>
      <c r="K1781" s="6" t="str">
        <f t="shared" si="1"/>
        <v>Low Earnings</v>
      </c>
    </row>
    <row r="1782" ht="14.25" customHeight="1">
      <c r="A1782" s="6" t="s">
        <v>3747</v>
      </c>
      <c r="B1782" s="17">
        <v>45837.0</v>
      </c>
      <c r="C1782" s="6" t="s">
        <v>1206</v>
      </c>
      <c r="D1782" s="6" t="s">
        <v>1711</v>
      </c>
      <c r="E1782" s="6" t="s">
        <v>1950</v>
      </c>
      <c r="F1782" s="6">
        <v>2.0</v>
      </c>
      <c r="G1782" s="13">
        <v>953.26</v>
      </c>
      <c r="H1782" s="6">
        <v>0.1</v>
      </c>
      <c r="I1782" s="6" t="s">
        <v>1973</v>
      </c>
      <c r="J1782" s="13">
        <v>1715.868</v>
      </c>
      <c r="K1782" s="6" t="str">
        <f t="shared" si="1"/>
        <v>Average Earnings</v>
      </c>
    </row>
    <row r="1783" ht="14.25" customHeight="1">
      <c r="A1783" s="6" t="s">
        <v>3748</v>
      </c>
      <c r="B1783" s="17">
        <v>45277.0</v>
      </c>
      <c r="C1783" s="6" t="s">
        <v>1104</v>
      </c>
      <c r="D1783" s="6" t="s">
        <v>1807</v>
      </c>
      <c r="E1783" s="6" t="s">
        <v>1919</v>
      </c>
      <c r="F1783" s="6">
        <v>3.0</v>
      </c>
      <c r="G1783" s="13">
        <v>405.13</v>
      </c>
      <c r="H1783" s="6">
        <v>0.14</v>
      </c>
      <c r="I1783" s="6" t="s">
        <v>1973</v>
      </c>
      <c r="J1783" s="13">
        <v>1045.2354</v>
      </c>
      <c r="K1783" s="6" t="str">
        <f t="shared" si="1"/>
        <v>Average Earnings</v>
      </c>
    </row>
    <row r="1784" ht="14.25" customHeight="1">
      <c r="A1784" s="6" t="s">
        <v>3749</v>
      </c>
      <c r="B1784" s="17">
        <v>45248.0</v>
      </c>
      <c r="C1784" s="6" t="s">
        <v>1080</v>
      </c>
      <c r="D1784" s="6" t="s">
        <v>1570</v>
      </c>
      <c r="E1784" s="6" t="s">
        <v>1909</v>
      </c>
      <c r="F1784" s="6">
        <v>2.0</v>
      </c>
      <c r="G1784" s="13">
        <v>333.83</v>
      </c>
      <c r="H1784" s="6">
        <v>0.26</v>
      </c>
      <c r="I1784" s="6" t="s">
        <v>1967</v>
      </c>
      <c r="J1784" s="13">
        <v>494.0684</v>
      </c>
      <c r="K1784" s="6" t="str">
        <f t="shared" si="1"/>
        <v>Low Earnings</v>
      </c>
    </row>
    <row r="1785" ht="14.25" customHeight="1">
      <c r="A1785" s="6" t="s">
        <v>3750</v>
      </c>
      <c r="B1785" s="17">
        <v>45741.0</v>
      </c>
      <c r="C1785" s="6" t="s">
        <v>1062</v>
      </c>
      <c r="D1785" s="6" t="s">
        <v>1861</v>
      </c>
      <c r="E1785" s="6" t="s">
        <v>1906</v>
      </c>
      <c r="F1785" s="6">
        <v>2.0</v>
      </c>
      <c r="G1785" s="13">
        <v>727.18</v>
      </c>
      <c r="H1785" s="6">
        <v>0.22</v>
      </c>
      <c r="I1785" s="6" t="s">
        <v>1967</v>
      </c>
      <c r="J1785" s="13">
        <v>1134.4008</v>
      </c>
      <c r="K1785" s="6" t="str">
        <f t="shared" si="1"/>
        <v>Average Earnings</v>
      </c>
    </row>
    <row r="1786" ht="14.25" customHeight="1">
      <c r="A1786" s="6" t="s">
        <v>3751</v>
      </c>
      <c r="B1786" s="17">
        <v>45778.0</v>
      </c>
      <c r="C1786" s="6" t="s">
        <v>981</v>
      </c>
      <c r="D1786" s="6" t="s">
        <v>1581</v>
      </c>
      <c r="E1786" s="6" t="s">
        <v>1929</v>
      </c>
      <c r="F1786" s="6">
        <v>2.0</v>
      </c>
      <c r="G1786" s="13">
        <v>516.02</v>
      </c>
      <c r="H1786" s="6">
        <v>0.19</v>
      </c>
      <c r="I1786" s="6" t="s">
        <v>1973</v>
      </c>
      <c r="J1786" s="13">
        <v>835.9524</v>
      </c>
      <c r="K1786" s="6" t="str">
        <f t="shared" si="1"/>
        <v>Low Earnings</v>
      </c>
    </row>
    <row r="1787" ht="14.25" customHeight="1">
      <c r="A1787" s="6" t="s">
        <v>3752</v>
      </c>
      <c r="B1787" s="17">
        <v>45361.0</v>
      </c>
      <c r="C1787" s="6" t="s">
        <v>947</v>
      </c>
      <c r="D1787" s="6" t="s">
        <v>1711</v>
      </c>
      <c r="E1787" s="6" t="s">
        <v>1932</v>
      </c>
      <c r="F1787" s="6">
        <v>2.0</v>
      </c>
      <c r="G1787" s="13">
        <v>705.61</v>
      </c>
      <c r="H1787" s="6">
        <v>0.28</v>
      </c>
      <c r="I1787" s="6" t="s">
        <v>1965</v>
      </c>
      <c r="J1787" s="13">
        <v>1016.0784</v>
      </c>
      <c r="K1787" s="6" t="str">
        <f t="shared" si="1"/>
        <v>Average Earnings</v>
      </c>
    </row>
    <row r="1788" ht="14.25" customHeight="1">
      <c r="A1788" s="6" t="s">
        <v>3753</v>
      </c>
      <c r="B1788" s="17">
        <v>45414.0</v>
      </c>
      <c r="C1788" s="6" t="s">
        <v>890</v>
      </c>
      <c r="D1788" s="6" t="s">
        <v>1840</v>
      </c>
      <c r="E1788" s="6" t="s">
        <v>1922</v>
      </c>
      <c r="F1788" s="6">
        <v>3.0</v>
      </c>
      <c r="G1788" s="13">
        <v>654.47</v>
      </c>
      <c r="H1788" s="6">
        <v>0.18</v>
      </c>
      <c r="I1788" s="6" t="s">
        <v>1973</v>
      </c>
      <c r="J1788" s="13">
        <v>1609.9962</v>
      </c>
      <c r="K1788" s="6" t="str">
        <f t="shared" si="1"/>
        <v>Average Earnings</v>
      </c>
    </row>
    <row r="1789" ht="14.25" customHeight="1">
      <c r="A1789" s="6" t="s">
        <v>3754</v>
      </c>
      <c r="B1789" s="17">
        <v>45734.0</v>
      </c>
      <c r="C1789" s="6" t="s">
        <v>579</v>
      </c>
      <c r="D1789" s="6" t="s">
        <v>1852</v>
      </c>
      <c r="E1789" s="6" t="s">
        <v>1941</v>
      </c>
      <c r="F1789" s="6">
        <v>2.0</v>
      </c>
      <c r="G1789" s="13">
        <v>315.27</v>
      </c>
      <c r="H1789" s="6">
        <v>0.23</v>
      </c>
      <c r="I1789" s="6" t="s">
        <v>1965</v>
      </c>
      <c r="J1789" s="13">
        <v>485.5158</v>
      </c>
      <c r="K1789" s="6" t="str">
        <f t="shared" si="1"/>
        <v>Low Earnings</v>
      </c>
    </row>
    <row r="1790" ht="14.25" customHeight="1">
      <c r="A1790" s="6" t="s">
        <v>3755</v>
      </c>
      <c r="B1790" s="17">
        <v>45623.0</v>
      </c>
      <c r="C1790" s="6" t="s">
        <v>733</v>
      </c>
      <c r="D1790" s="6" t="s">
        <v>1666</v>
      </c>
      <c r="E1790" s="6" t="s">
        <v>1901</v>
      </c>
      <c r="F1790" s="6">
        <v>1.0</v>
      </c>
      <c r="G1790" s="13">
        <v>974.47</v>
      </c>
      <c r="H1790" s="6">
        <v>0.05</v>
      </c>
      <c r="I1790" s="6" t="s">
        <v>1965</v>
      </c>
      <c r="J1790" s="13">
        <v>925.7465</v>
      </c>
      <c r="K1790" s="6" t="str">
        <f t="shared" si="1"/>
        <v>Low Earnings</v>
      </c>
    </row>
    <row r="1791" ht="14.25" customHeight="1">
      <c r="A1791" s="6" t="s">
        <v>3756</v>
      </c>
      <c r="B1791" s="17">
        <v>45340.0</v>
      </c>
      <c r="C1791" s="6" t="s">
        <v>255</v>
      </c>
      <c r="D1791" s="6" t="s">
        <v>1570</v>
      </c>
      <c r="E1791" s="6" t="s">
        <v>1909</v>
      </c>
      <c r="F1791" s="6">
        <v>2.0</v>
      </c>
      <c r="G1791" s="13">
        <v>803.3</v>
      </c>
      <c r="H1791" s="6">
        <v>0.17</v>
      </c>
      <c r="I1791" s="6" t="s">
        <v>1965</v>
      </c>
      <c r="J1791" s="13">
        <v>1333.478</v>
      </c>
      <c r="K1791" s="6" t="str">
        <f t="shared" si="1"/>
        <v>Average Earnings</v>
      </c>
    </row>
    <row r="1792" ht="14.25" customHeight="1">
      <c r="A1792" s="6" t="s">
        <v>3757</v>
      </c>
      <c r="B1792" s="17">
        <v>45616.0</v>
      </c>
      <c r="C1792" s="6" t="s">
        <v>824</v>
      </c>
      <c r="D1792" s="6" t="s">
        <v>1801</v>
      </c>
      <c r="E1792" s="6" t="s">
        <v>1926</v>
      </c>
      <c r="F1792" s="6">
        <v>1.0</v>
      </c>
      <c r="G1792" s="13">
        <v>363.73</v>
      </c>
      <c r="H1792" s="6">
        <v>0.25</v>
      </c>
      <c r="I1792" s="6" t="s">
        <v>1967</v>
      </c>
      <c r="J1792" s="13">
        <v>272.7975</v>
      </c>
      <c r="K1792" s="6" t="str">
        <f t="shared" si="1"/>
        <v>Low Earnings</v>
      </c>
    </row>
    <row r="1793" ht="14.25" customHeight="1">
      <c r="A1793" s="6" t="s">
        <v>3758</v>
      </c>
      <c r="B1793" s="17">
        <v>45447.0</v>
      </c>
      <c r="C1793" s="6" t="s">
        <v>70</v>
      </c>
      <c r="D1793" s="6" t="s">
        <v>1570</v>
      </c>
      <c r="E1793" s="6" t="s">
        <v>1929</v>
      </c>
      <c r="F1793" s="6">
        <v>4.0</v>
      </c>
      <c r="G1793" s="13">
        <v>863.87</v>
      </c>
      <c r="H1793" s="6">
        <v>0.21</v>
      </c>
      <c r="I1793" s="6" t="s">
        <v>1973</v>
      </c>
      <c r="J1793" s="13">
        <v>2729.8292</v>
      </c>
      <c r="K1793" s="6" t="str">
        <f t="shared" si="1"/>
        <v>High Earnings</v>
      </c>
    </row>
    <row r="1794" ht="14.25" customHeight="1">
      <c r="A1794" s="6" t="s">
        <v>3759</v>
      </c>
      <c r="B1794" s="17">
        <v>45513.0</v>
      </c>
      <c r="C1794" s="6" t="s">
        <v>1462</v>
      </c>
      <c r="D1794" s="6" t="s">
        <v>1828</v>
      </c>
      <c r="E1794" s="6" t="s">
        <v>1950</v>
      </c>
      <c r="F1794" s="6">
        <v>1.0</v>
      </c>
      <c r="G1794" s="13">
        <v>450.11</v>
      </c>
      <c r="H1794" s="6">
        <v>0.17</v>
      </c>
      <c r="I1794" s="6" t="s">
        <v>1965</v>
      </c>
      <c r="J1794" s="13">
        <v>373.5913</v>
      </c>
      <c r="K1794" s="6" t="str">
        <f t="shared" si="1"/>
        <v>Low Earnings</v>
      </c>
    </row>
    <row r="1795" ht="14.25" customHeight="1">
      <c r="A1795" s="6" t="s">
        <v>3760</v>
      </c>
      <c r="B1795" s="17">
        <v>45486.0</v>
      </c>
      <c r="C1795" s="6" t="s">
        <v>755</v>
      </c>
      <c r="D1795" s="6" t="s">
        <v>1791</v>
      </c>
      <c r="E1795" s="6" t="s">
        <v>1937</v>
      </c>
      <c r="F1795" s="6">
        <v>1.0</v>
      </c>
      <c r="G1795" s="13">
        <v>289.82</v>
      </c>
      <c r="H1795" s="6">
        <v>0.18</v>
      </c>
      <c r="I1795" s="6" t="s">
        <v>1973</v>
      </c>
      <c r="J1795" s="13">
        <v>237.6524</v>
      </c>
      <c r="K1795" s="6" t="str">
        <f t="shared" si="1"/>
        <v>Low Earnings</v>
      </c>
    </row>
    <row r="1796" ht="14.25" customHeight="1">
      <c r="A1796" s="6" t="s">
        <v>3761</v>
      </c>
      <c r="B1796" s="17">
        <v>45890.0</v>
      </c>
      <c r="C1796" s="6" t="s">
        <v>1065</v>
      </c>
      <c r="D1796" s="6" t="s">
        <v>1749</v>
      </c>
      <c r="E1796" s="6" t="s">
        <v>1929</v>
      </c>
      <c r="F1796" s="6">
        <v>4.0</v>
      </c>
      <c r="G1796" s="13">
        <v>250.64</v>
      </c>
      <c r="H1796" s="6">
        <v>0.1</v>
      </c>
      <c r="I1796" s="6" t="s">
        <v>1967</v>
      </c>
      <c r="J1796" s="13">
        <v>902.304</v>
      </c>
      <c r="K1796" s="6" t="str">
        <f t="shared" si="1"/>
        <v>Low Earnings</v>
      </c>
    </row>
    <row r="1797" ht="14.25" customHeight="1">
      <c r="A1797" s="6" t="s">
        <v>3762</v>
      </c>
      <c r="B1797" s="17">
        <v>45876.0</v>
      </c>
      <c r="C1797" s="6" t="s">
        <v>926</v>
      </c>
      <c r="D1797" s="6" t="s">
        <v>1795</v>
      </c>
      <c r="E1797" s="6" t="s">
        <v>1953</v>
      </c>
      <c r="F1797" s="6">
        <v>4.0</v>
      </c>
      <c r="G1797" s="13">
        <v>373.49</v>
      </c>
      <c r="H1797" s="6">
        <v>0.16</v>
      </c>
      <c r="I1797" s="6" t="s">
        <v>1973</v>
      </c>
      <c r="J1797" s="13">
        <v>1254.9264</v>
      </c>
      <c r="K1797" s="6" t="str">
        <f t="shared" si="1"/>
        <v>Average Earnings</v>
      </c>
    </row>
    <row r="1798" ht="14.25" customHeight="1">
      <c r="A1798" s="6" t="s">
        <v>3763</v>
      </c>
      <c r="B1798" s="17">
        <v>45398.0</v>
      </c>
      <c r="C1798" s="6" t="s">
        <v>252</v>
      </c>
      <c r="D1798" s="6" t="s">
        <v>1574</v>
      </c>
      <c r="E1798" s="6" t="s">
        <v>1926</v>
      </c>
      <c r="F1798" s="6">
        <v>4.0</v>
      </c>
      <c r="G1798" s="13">
        <v>348.91</v>
      </c>
      <c r="H1798" s="6">
        <v>0.18</v>
      </c>
      <c r="I1798" s="6" t="s">
        <v>1967</v>
      </c>
      <c r="J1798" s="13">
        <v>1144.4248</v>
      </c>
      <c r="K1798" s="6" t="str">
        <f t="shared" si="1"/>
        <v>Average Earnings</v>
      </c>
    </row>
    <row r="1799" ht="14.25" customHeight="1">
      <c r="A1799" s="6" t="s">
        <v>3764</v>
      </c>
      <c r="B1799" s="17">
        <v>45390.0</v>
      </c>
      <c r="C1799" s="6" t="s">
        <v>395</v>
      </c>
      <c r="D1799" s="6" t="s">
        <v>1870</v>
      </c>
      <c r="E1799" s="6" t="s">
        <v>1947</v>
      </c>
      <c r="F1799" s="6">
        <v>4.0</v>
      </c>
      <c r="G1799" s="13">
        <v>212.96</v>
      </c>
      <c r="H1799" s="6">
        <v>0.17</v>
      </c>
      <c r="I1799" s="6" t="s">
        <v>1965</v>
      </c>
      <c r="J1799" s="13">
        <v>707.0272</v>
      </c>
      <c r="K1799" s="6" t="str">
        <f t="shared" si="1"/>
        <v>Low Earnings</v>
      </c>
    </row>
    <row r="1800" ht="14.25" customHeight="1">
      <c r="A1800" s="6" t="s">
        <v>3765</v>
      </c>
      <c r="B1800" s="17">
        <v>45406.0</v>
      </c>
      <c r="C1800" s="6" t="s">
        <v>637</v>
      </c>
      <c r="D1800" s="6" t="s">
        <v>1663</v>
      </c>
      <c r="E1800" s="6" t="s">
        <v>1953</v>
      </c>
      <c r="F1800" s="6">
        <v>3.0</v>
      </c>
      <c r="G1800" s="13">
        <v>871.34</v>
      </c>
      <c r="H1800" s="6">
        <v>0.11</v>
      </c>
      <c r="I1800" s="6" t="s">
        <v>1973</v>
      </c>
      <c r="J1800" s="13">
        <v>2326.4778</v>
      </c>
      <c r="K1800" s="6" t="str">
        <f t="shared" si="1"/>
        <v>Average Earnings</v>
      </c>
    </row>
    <row r="1801" ht="14.25" customHeight="1">
      <c r="A1801" s="6" t="s">
        <v>3766</v>
      </c>
      <c r="B1801" s="17">
        <v>45844.0</v>
      </c>
      <c r="C1801" s="6" t="s">
        <v>364</v>
      </c>
      <c r="D1801" s="6" t="s">
        <v>1870</v>
      </c>
      <c r="E1801" s="6" t="s">
        <v>1892</v>
      </c>
      <c r="F1801" s="6">
        <v>2.0</v>
      </c>
      <c r="G1801" s="13">
        <v>698.94</v>
      </c>
      <c r="H1801" s="6">
        <v>0.06</v>
      </c>
      <c r="I1801" s="6" t="s">
        <v>1965</v>
      </c>
      <c r="J1801" s="13">
        <v>1314.0072</v>
      </c>
      <c r="K1801" s="6" t="str">
        <f t="shared" si="1"/>
        <v>Average Earnings</v>
      </c>
    </row>
    <row r="1802" ht="14.25" customHeight="1">
      <c r="A1802" s="6" t="s">
        <v>3767</v>
      </c>
      <c r="B1802" s="17">
        <v>45697.0</v>
      </c>
      <c r="C1802" s="6" t="s">
        <v>1011</v>
      </c>
      <c r="D1802" s="6" t="s">
        <v>1810</v>
      </c>
      <c r="E1802" s="6" t="s">
        <v>1892</v>
      </c>
      <c r="F1802" s="6">
        <v>1.0</v>
      </c>
      <c r="G1802" s="13">
        <v>719.94</v>
      </c>
      <c r="H1802" s="6">
        <v>0.23</v>
      </c>
      <c r="I1802" s="6" t="s">
        <v>1973</v>
      </c>
      <c r="J1802" s="13">
        <v>554.3538000000001</v>
      </c>
      <c r="K1802" s="6" t="str">
        <f t="shared" si="1"/>
        <v>Low Earnings</v>
      </c>
    </row>
    <row r="1803" ht="14.25" customHeight="1">
      <c r="A1803" s="6" t="s">
        <v>3768</v>
      </c>
      <c r="B1803" s="17">
        <v>45518.0</v>
      </c>
      <c r="C1803" s="6" t="s">
        <v>1197</v>
      </c>
      <c r="D1803" s="6" t="s">
        <v>1861</v>
      </c>
      <c r="E1803" s="6" t="s">
        <v>1947</v>
      </c>
      <c r="F1803" s="6">
        <v>2.0</v>
      </c>
      <c r="G1803" s="13">
        <v>601.33</v>
      </c>
      <c r="H1803" s="6">
        <v>0.16</v>
      </c>
      <c r="I1803" s="6" t="s">
        <v>1967</v>
      </c>
      <c r="J1803" s="13">
        <v>1010.2344</v>
      </c>
      <c r="K1803" s="6" t="str">
        <f t="shared" si="1"/>
        <v>Average Earnings</v>
      </c>
    </row>
    <row r="1804" ht="14.25" customHeight="1">
      <c r="A1804" s="6" t="s">
        <v>3769</v>
      </c>
      <c r="B1804" s="17">
        <v>45607.0</v>
      </c>
      <c r="C1804" s="6" t="s">
        <v>43</v>
      </c>
      <c r="D1804" s="6" t="s">
        <v>1666</v>
      </c>
      <c r="E1804" s="6" t="s">
        <v>1909</v>
      </c>
      <c r="F1804" s="6">
        <v>2.0</v>
      </c>
      <c r="G1804" s="13">
        <v>278.16</v>
      </c>
      <c r="H1804" s="6">
        <v>0.22</v>
      </c>
      <c r="I1804" s="6" t="s">
        <v>1967</v>
      </c>
      <c r="J1804" s="13">
        <v>433.9296000000001</v>
      </c>
      <c r="K1804" s="6" t="str">
        <f t="shared" si="1"/>
        <v>Low Earnings</v>
      </c>
    </row>
    <row r="1805" ht="14.25" customHeight="1">
      <c r="A1805" s="6" t="s">
        <v>3770</v>
      </c>
      <c r="B1805" s="17">
        <v>45307.0</v>
      </c>
      <c r="C1805" s="6" t="s">
        <v>210</v>
      </c>
      <c r="D1805" s="6" t="s">
        <v>1733</v>
      </c>
      <c r="E1805" s="6" t="s">
        <v>1913</v>
      </c>
      <c r="F1805" s="6">
        <v>1.0</v>
      </c>
      <c r="G1805" s="13">
        <v>678.9</v>
      </c>
      <c r="H1805" s="6">
        <v>0.17</v>
      </c>
      <c r="I1805" s="6" t="s">
        <v>1965</v>
      </c>
      <c r="J1805" s="13">
        <v>563.487</v>
      </c>
      <c r="K1805" s="6" t="str">
        <f t="shared" si="1"/>
        <v>Low Earnings</v>
      </c>
    </row>
    <row r="1806" ht="14.25" customHeight="1">
      <c r="A1806" s="6" t="s">
        <v>3771</v>
      </c>
      <c r="B1806" s="17">
        <v>45520.0</v>
      </c>
      <c r="C1806" s="6" t="s">
        <v>78</v>
      </c>
      <c r="D1806" s="6" t="s">
        <v>1657</v>
      </c>
      <c r="E1806" s="6" t="s">
        <v>1941</v>
      </c>
      <c r="F1806" s="6">
        <v>4.0</v>
      </c>
      <c r="G1806" s="13">
        <v>94.13</v>
      </c>
      <c r="H1806" s="6">
        <v>0.15</v>
      </c>
      <c r="I1806" s="6" t="s">
        <v>1965</v>
      </c>
      <c r="J1806" s="13">
        <v>320.042</v>
      </c>
      <c r="K1806" s="6" t="str">
        <f t="shared" si="1"/>
        <v>Low Earnings</v>
      </c>
    </row>
    <row r="1807" ht="14.25" customHeight="1">
      <c r="A1807" s="6" t="s">
        <v>3772</v>
      </c>
      <c r="B1807" s="17">
        <v>45933.0</v>
      </c>
      <c r="C1807" s="6" t="s">
        <v>1381</v>
      </c>
      <c r="D1807" s="6" t="s">
        <v>1717</v>
      </c>
      <c r="E1807" s="6" t="s">
        <v>1897</v>
      </c>
      <c r="F1807" s="6">
        <v>4.0</v>
      </c>
      <c r="G1807" s="13">
        <v>415.02</v>
      </c>
      <c r="H1807" s="6">
        <v>0.01</v>
      </c>
      <c r="I1807" s="6" t="s">
        <v>1967</v>
      </c>
      <c r="J1807" s="13">
        <v>1643.4792</v>
      </c>
      <c r="K1807" s="6" t="str">
        <f t="shared" si="1"/>
        <v>Average Earnings</v>
      </c>
    </row>
    <row r="1808" ht="14.25" customHeight="1">
      <c r="A1808" s="6" t="s">
        <v>3773</v>
      </c>
      <c r="B1808" s="17">
        <v>45841.0</v>
      </c>
      <c r="C1808" s="6" t="s">
        <v>203</v>
      </c>
      <c r="D1808" s="6" t="s">
        <v>1608</v>
      </c>
      <c r="E1808" s="6" t="s">
        <v>1909</v>
      </c>
      <c r="F1808" s="6">
        <v>4.0</v>
      </c>
      <c r="G1808" s="13">
        <v>780.07</v>
      </c>
      <c r="H1808" s="6">
        <v>0.03</v>
      </c>
      <c r="I1808" s="6" t="s">
        <v>1965</v>
      </c>
      <c r="J1808" s="13">
        <v>3026.6716</v>
      </c>
      <c r="K1808" s="6" t="str">
        <f t="shared" si="1"/>
        <v>High Earnings</v>
      </c>
    </row>
    <row r="1809" ht="14.25" customHeight="1">
      <c r="A1809" s="6" t="s">
        <v>3774</v>
      </c>
      <c r="B1809" s="17">
        <v>45877.0</v>
      </c>
      <c r="C1809" s="6" t="s">
        <v>1344</v>
      </c>
      <c r="D1809" s="6" t="s">
        <v>1694</v>
      </c>
      <c r="E1809" s="6" t="s">
        <v>1941</v>
      </c>
      <c r="F1809" s="6">
        <v>4.0</v>
      </c>
      <c r="G1809" s="13">
        <v>184.57</v>
      </c>
      <c r="H1809" s="6">
        <v>0.28</v>
      </c>
      <c r="I1809" s="6" t="s">
        <v>1965</v>
      </c>
      <c r="J1809" s="13">
        <v>531.5616</v>
      </c>
      <c r="K1809" s="6" t="str">
        <f t="shared" si="1"/>
        <v>Low Earnings</v>
      </c>
    </row>
    <row r="1810" ht="14.25" customHeight="1">
      <c r="A1810" s="6" t="s">
        <v>3775</v>
      </c>
      <c r="B1810" s="17">
        <v>45532.0</v>
      </c>
      <c r="C1810" s="6" t="s">
        <v>926</v>
      </c>
      <c r="D1810" s="6" t="s">
        <v>1782</v>
      </c>
      <c r="E1810" s="6" t="s">
        <v>1909</v>
      </c>
      <c r="F1810" s="6">
        <v>4.0</v>
      </c>
      <c r="G1810" s="13">
        <v>277.58</v>
      </c>
      <c r="H1810" s="6">
        <v>0.22</v>
      </c>
      <c r="I1810" s="6" t="s">
        <v>1967</v>
      </c>
      <c r="J1810" s="13">
        <v>866.0495999999999</v>
      </c>
      <c r="K1810" s="6" t="str">
        <f t="shared" si="1"/>
        <v>Low Earnings</v>
      </c>
    </row>
    <row r="1811" ht="14.25" customHeight="1">
      <c r="A1811" s="6" t="s">
        <v>3776</v>
      </c>
      <c r="B1811" s="17">
        <v>45734.0</v>
      </c>
      <c r="C1811" s="6" t="s">
        <v>377</v>
      </c>
      <c r="D1811" s="6" t="s">
        <v>1675</v>
      </c>
      <c r="E1811" s="6" t="s">
        <v>1906</v>
      </c>
      <c r="F1811" s="6">
        <v>1.0</v>
      </c>
      <c r="G1811" s="13">
        <v>36.8</v>
      </c>
      <c r="H1811" s="6">
        <v>0.18</v>
      </c>
      <c r="I1811" s="6" t="s">
        <v>1965</v>
      </c>
      <c r="J1811" s="13">
        <v>30.176</v>
      </c>
      <c r="K1811" s="6" t="str">
        <f t="shared" si="1"/>
        <v>Low Earnings</v>
      </c>
    </row>
    <row r="1812" ht="14.25" customHeight="1">
      <c r="A1812" s="6" t="s">
        <v>3777</v>
      </c>
      <c r="B1812" s="17">
        <v>45809.0</v>
      </c>
      <c r="C1812" s="6" t="s">
        <v>1131</v>
      </c>
      <c r="D1812" s="6" t="s">
        <v>1852</v>
      </c>
      <c r="E1812" s="6" t="s">
        <v>1916</v>
      </c>
      <c r="F1812" s="6">
        <v>1.0</v>
      </c>
      <c r="G1812" s="13">
        <v>539.37</v>
      </c>
      <c r="H1812" s="6">
        <v>0.14</v>
      </c>
      <c r="I1812" s="6" t="s">
        <v>1965</v>
      </c>
      <c r="J1812" s="13">
        <v>463.8582</v>
      </c>
      <c r="K1812" s="6" t="str">
        <f t="shared" si="1"/>
        <v>Low Earnings</v>
      </c>
    </row>
    <row r="1813" ht="14.25" customHeight="1">
      <c r="A1813" s="6" t="s">
        <v>3778</v>
      </c>
      <c r="B1813" s="17">
        <v>45760.0</v>
      </c>
      <c r="C1813" s="6" t="s">
        <v>329</v>
      </c>
      <c r="D1813" s="6" t="s">
        <v>1640</v>
      </c>
      <c r="E1813" s="6" t="s">
        <v>1950</v>
      </c>
      <c r="F1813" s="6">
        <v>1.0</v>
      </c>
      <c r="G1813" s="13">
        <v>27.83</v>
      </c>
      <c r="H1813" s="6">
        <v>0.3</v>
      </c>
      <c r="I1813" s="6" t="s">
        <v>1967</v>
      </c>
      <c r="J1813" s="13">
        <v>19.481</v>
      </c>
      <c r="K1813" s="6" t="str">
        <f t="shared" si="1"/>
        <v>Low Earnings</v>
      </c>
    </row>
    <row r="1814" ht="14.25" customHeight="1">
      <c r="A1814" s="6" t="s">
        <v>3779</v>
      </c>
      <c r="B1814" s="17">
        <v>45427.0</v>
      </c>
      <c r="C1814" s="6" t="s">
        <v>1270</v>
      </c>
      <c r="D1814" s="6" t="s">
        <v>1630</v>
      </c>
      <c r="E1814" s="6" t="s">
        <v>1950</v>
      </c>
      <c r="F1814" s="6">
        <v>4.0</v>
      </c>
      <c r="G1814" s="13">
        <v>34.39</v>
      </c>
      <c r="H1814" s="6">
        <v>0.03</v>
      </c>
      <c r="I1814" s="6" t="s">
        <v>1967</v>
      </c>
      <c r="J1814" s="13">
        <v>133.4332</v>
      </c>
      <c r="K1814" s="6" t="str">
        <f t="shared" si="1"/>
        <v>Low Earnings</v>
      </c>
    </row>
    <row r="1815" ht="14.25" customHeight="1">
      <c r="A1815" s="6" t="s">
        <v>3780</v>
      </c>
      <c r="B1815" s="17">
        <v>45456.0</v>
      </c>
      <c r="C1815" s="6" t="s">
        <v>914</v>
      </c>
      <c r="D1815" s="6" t="s">
        <v>1798</v>
      </c>
      <c r="E1815" s="6" t="s">
        <v>1909</v>
      </c>
      <c r="F1815" s="6">
        <v>3.0</v>
      </c>
      <c r="G1815" s="13">
        <v>698.72</v>
      </c>
      <c r="H1815" s="6">
        <v>0.28</v>
      </c>
      <c r="I1815" s="6" t="s">
        <v>1973</v>
      </c>
      <c r="J1815" s="13">
        <v>1509.2352</v>
      </c>
      <c r="K1815" s="6" t="str">
        <f t="shared" si="1"/>
        <v>Average Earnings</v>
      </c>
    </row>
    <row r="1816" ht="14.25" customHeight="1">
      <c r="A1816" s="6" t="s">
        <v>3781</v>
      </c>
      <c r="B1816" s="17">
        <v>45698.0</v>
      </c>
      <c r="C1816" s="6" t="s">
        <v>66</v>
      </c>
      <c r="D1816" s="6" t="s">
        <v>1816</v>
      </c>
      <c r="E1816" s="6" t="s">
        <v>1937</v>
      </c>
      <c r="F1816" s="6">
        <v>4.0</v>
      </c>
      <c r="G1816" s="13">
        <v>528.23</v>
      </c>
      <c r="H1816" s="6">
        <v>0.15</v>
      </c>
      <c r="I1816" s="6" t="s">
        <v>1973</v>
      </c>
      <c r="J1816" s="13">
        <v>1795.982</v>
      </c>
      <c r="K1816" s="6" t="str">
        <f t="shared" si="1"/>
        <v>Average Earnings</v>
      </c>
    </row>
    <row r="1817" ht="14.25" customHeight="1">
      <c r="A1817" s="6" t="s">
        <v>3782</v>
      </c>
      <c r="B1817" s="17">
        <v>45548.0</v>
      </c>
      <c r="C1817" s="6" t="s">
        <v>1529</v>
      </c>
      <c r="D1817" s="6" t="s">
        <v>1723</v>
      </c>
      <c r="E1817" s="6" t="s">
        <v>1944</v>
      </c>
      <c r="F1817" s="6">
        <v>2.0</v>
      </c>
      <c r="G1817" s="13">
        <v>780.9</v>
      </c>
      <c r="H1817" s="6">
        <v>0.24</v>
      </c>
      <c r="I1817" s="6" t="s">
        <v>1967</v>
      </c>
      <c r="J1817" s="13">
        <v>1186.968</v>
      </c>
      <c r="K1817" s="6" t="str">
        <f t="shared" si="1"/>
        <v>Average Earnings</v>
      </c>
    </row>
    <row r="1818" ht="14.25" customHeight="1">
      <c r="A1818" s="6" t="s">
        <v>3783</v>
      </c>
      <c r="B1818" s="17">
        <v>45236.0</v>
      </c>
      <c r="C1818" s="6" t="s">
        <v>607</v>
      </c>
      <c r="D1818" s="6" t="s">
        <v>1643</v>
      </c>
      <c r="E1818" s="6" t="s">
        <v>1939</v>
      </c>
      <c r="F1818" s="6">
        <v>1.0</v>
      </c>
      <c r="G1818" s="13">
        <v>977.97</v>
      </c>
      <c r="H1818" s="6">
        <v>0.06</v>
      </c>
      <c r="I1818" s="6" t="s">
        <v>1973</v>
      </c>
      <c r="J1818" s="13">
        <v>919.2918</v>
      </c>
      <c r="K1818" s="6" t="str">
        <f t="shared" si="1"/>
        <v>Low Earnings</v>
      </c>
    </row>
    <row r="1819" ht="14.25" customHeight="1">
      <c r="A1819" s="6" t="s">
        <v>3784</v>
      </c>
      <c r="B1819" s="17">
        <v>45310.0</v>
      </c>
      <c r="C1819" s="6" t="s">
        <v>1170</v>
      </c>
      <c r="D1819" s="6" t="s">
        <v>1837</v>
      </c>
      <c r="E1819" s="6" t="s">
        <v>1934</v>
      </c>
      <c r="F1819" s="6">
        <v>4.0</v>
      </c>
      <c r="G1819" s="13">
        <v>354.65</v>
      </c>
      <c r="H1819" s="6">
        <v>0.19</v>
      </c>
      <c r="I1819" s="6" t="s">
        <v>1965</v>
      </c>
      <c r="J1819" s="13">
        <v>1149.066</v>
      </c>
      <c r="K1819" s="6" t="str">
        <f t="shared" si="1"/>
        <v>Average Earnings</v>
      </c>
    </row>
    <row r="1820" ht="14.25" customHeight="1">
      <c r="A1820" s="6" t="s">
        <v>3785</v>
      </c>
      <c r="B1820" s="17">
        <v>45376.0</v>
      </c>
      <c r="C1820" s="6" t="s">
        <v>914</v>
      </c>
      <c r="D1820" s="6" t="s">
        <v>1791</v>
      </c>
      <c r="E1820" s="6" t="s">
        <v>1953</v>
      </c>
      <c r="F1820" s="6">
        <v>1.0</v>
      </c>
      <c r="G1820" s="13">
        <v>671.62</v>
      </c>
      <c r="H1820" s="6">
        <v>0.09</v>
      </c>
      <c r="I1820" s="6" t="s">
        <v>1973</v>
      </c>
      <c r="J1820" s="13">
        <v>611.1742</v>
      </c>
      <c r="K1820" s="6" t="str">
        <f t="shared" si="1"/>
        <v>Low Earnings</v>
      </c>
    </row>
    <row r="1821" ht="14.25" customHeight="1">
      <c r="A1821" s="6" t="s">
        <v>3786</v>
      </c>
      <c r="B1821" s="17">
        <v>45914.0</v>
      </c>
      <c r="C1821" s="6" t="s">
        <v>1014</v>
      </c>
      <c r="D1821" s="6" t="s">
        <v>1834</v>
      </c>
      <c r="E1821" s="6" t="s">
        <v>1906</v>
      </c>
      <c r="F1821" s="6">
        <v>1.0</v>
      </c>
      <c r="G1821" s="13">
        <v>867.32</v>
      </c>
      <c r="H1821" s="6">
        <v>0.29</v>
      </c>
      <c r="I1821" s="6" t="s">
        <v>1967</v>
      </c>
      <c r="J1821" s="13">
        <v>615.7972</v>
      </c>
      <c r="K1821" s="6" t="str">
        <f t="shared" si="1"/>
        <v>Low Earnings</v>
      </c>
    </row>
    <row r="1822" ht="14.25" customHeight="1">
      <c r="A1822" s="6" t="s">
        <v>3787</v>
      </c>
      <c r="B1822" s="17">
        <v>45336.0</v>
      </c>
      <c r="C1822" s="6" t="s">
        <v>303</v>
      </c>
      <c r="D1822" s="6" t="s">
        <v>1604</v>
      </c>
      <c r="E1822" s="6" t="s">
        <v>1934</v>
      </c>
      <c r="F1822" s="6">
        <v>3.0</v>
      </c>
      <c r="G1822" s="13">
        <v>240.27</v>
      </c>
      <c r="H1822" s="6">
        <v>0.15</v>
      </c>
      <c r="I1822" s="6" t="s">
        <v>1967</v>
      </c>
      <c r="J1822" s="13">
        <v>612.6885000000001</v>
      </c>
      <c r="K1822" s="6" t="str">
        <f t="shared" si="1"/>
        <v>Low Earnings</v>
      </c>
    </row>
    <row r="1823" ht="14.25" customHeight="1">
      <c r="A1823" s="6" t="s">
        <v>3788</v>
      </c>
      <c r="B1823" s="17">
        <v>45728.0</v>
      </c>
      <c r="C1823" s="6" t="s">
        <v>283</v>
      </c>
      <c r="D1823" s="6" t="s">
        <v>1666</v>
      </c>
      <c r="E1823" s="6" t="s">
        <v>1944</v>
      </c>
      <c r="F1823" s="6">
        <v>2.0</v>
      </c>
      <c r="G1823" s="13">
        <v>619.12</v>
      </c>
      <c r="H1823" s="6">
        <v>0.28</v>
      </c>
      <c r="I1823" s="6" t="s">
        <v>1973</v>
      </c>
      <c r="J1823" s="13">
        <v>891.5328</v>
      </c>
      <c r="K1823" s="6" t="str">
        <f t="shared" si="1"/>
        <v>Low Earnings</v>
      </c>
    </row>
    <row r="1824" ht="14.25" customHeight="1">
      <c r="A1824" s="6" t="s">
        <v>3789</v>
      </c>
      <c r="B1824" s="17">
        <v>45755.0</v>
      </c>
      <c r="C1824" s="6" t="s">
        <v>705</v>
      </c>
      <c r="D1824" s="6" t="s">
        <v>1849</v>
      </c>
      <c r="E1824" s="6" t="s">
        <v>1892</v>
      </c>
      <c r="F1824" s="6">
        <v>3.0</v>
      </c>
      <c r="G1824" s="13">
        <v>693.42</v>
      </c>
      <c r="H1824" s="6">
        <v>0.08</v>
      </c>
      <c r="I1824" s="6" t="s">
        <v>1967</v>
      </c>
      <c r="J1824" s="13">
        <v>1913.8392</v>
      </c>
      <c r="K1824" s="6" t="str">
        <f t="shared" si="1"/>
        <v>Average Earnings</v>
      </c>
    </row>
    <row r="1825" ht="14.25" customHeight="1">
      <c r="A1825" s="6" t="s">
        <v>3790</v>
      </c>
      <c r="B1825" s="17">
        <v>45268.0</v>
      </c>
      <c r="C1825" s="6" t="s">
        <v>1329</v>
      </c>
      <c r="D1825" s="6" t="s">
        <v>1723</v>
      </c>
      <c r="E1825" s="6" t="s">
        <v>1947</v>
      </c>
      <c r="F1825" s="6">
        <v>1.0</v>
      </c>
      <c r="G1825" s="13">
        <v>773.57</v>
      </c>
      <c r="H1825" s="6">
        <v>0.05</v>
      </c>
      <c r="I1825" s="6" t="s">
        <v>1973</v>
      </c>
      <c r="J1825" s="13">
        <f>F1825*G1825*(1-H1825)</f>
        <v>734.8915</v>
      </c>
      <c r="K1825" s="6" t="str">
        <f t="shared" si="1"/>
        <v>Low Earnings</v>
      </c>
    </row>
    <row r="1826" ht="14.25" customHeight="1">
      <c r="A1826" s="6" t="s">
        <v>3791</v>
      </c>
      <c r="B1826" s="17">
        <v>45695.0</v>
      </c>
      <c r="C1826" s="6" t="s">
        <v>389</v>
      </c>
      <c r="D1826" s="6" t="s">
        <v>1730</v>
      </c>
      <c r="E1826" s="6" t="s">
        <v>1929</v>
      </c>
      <c r="F1826" s="6">
        <v>4.0</v>
      </c>
      <c r="G1826" s="13">
        <v>751.63</v>
      </c>
      <c r="H1826" s="6">
        <v>0.28</v>
      </c>
      <c r="I1826" s="6" t="s">
        <v>1973</v>
      </c>
      <c r="J1826" s="13">
        <v>2164.6944</v>
      </c>
      <c r="K1826" s="6" t="str">
        <f t="shared" si="1"/>
        <v>Average Earnings</v>
      </c>
    </row>
    <row r="1827" ht="14.25" customHeight="1">
      <c r="A1827" s="6" t="s">
        <v>3792</v>
      </c>
      <c r="B1827" s="17">
        <v>45380.0</v>
      </c>
      <c r="C1827" s="6" t="s">
        <v>395</v>
      </c>
      <c r="D1827" s="6" t="s">
        <v>1675</v>
      </c>
      <c r="E1827" s="6" t="s">
        <v>1941</v>
      </c>
      <c r="F1827" s="6">
        <v>3.0</v>
      </c>
      <c r="G1827" s="13">
        <v>108.14</v>
      </c>
      <c r="H1827" s="6">
        <v>0.19</v>
      </c>
      <c r="I1827" s="6" t="s">
        <v>1973</v>
      </c>
      <c r="J1827" s="13">
        <v>262.7802</v>
      </c>
      <c r="K1827" s="6" t="str">
        <f t="shared" si="1"/>
        <v>Low Earnings</v>
      </c>
    </row>
    <row r="1828" ht="14.25" customHeight="1">
      <c r="A1828" s="6" t="s">
        <v>3793</v>
      </c>
      <c r="B1828" s="17">
        <v>45446.0</v>
      </c>
      <c r="C1828" s="6" t="s">
        <v>833</v>
      </c>
      <c r="D1828" s="6" t="s">
        <v>1663</v>
      </c>
      <c r="E1828" s="6" t="s">
        <v>1909</v>
      </c>
      <c r="F1828" s="6">
        <v>1.0</v>
      </c>
      <c r="G1828" s="13">
        <v>964.11</v>
      </c>
      <c r="H1828" s="6">
        <v>0.17</v>
      </c>
      <c r="I1828" s="6" t="s">
        <v>1973</v>
      </c>
      <c r="J1828" s="13">
        <v>800.2112999999999</v>
      </c>
      <c r="K1828" s="6" t="str">
        <f t="shared" si="1"/>
        <v>Low Earnings</v>
      </c>
    </row>
    <row r="1829" ht="14.25" customHeight="1">
      <c r="A1829" s="6" t="s">
        <v>3794</v>
      </c>
      <c r="B1829" s="17">
        <v>45525.0</v>
      </c>
      <c r="C1829" s="6" t="s">
        <v>460</v>
      </c>
      <c r="D1829" s="6" t="s">
        <v>1636</v>
      </c>
      <c r="E1829" s="6" t="s">
        <v>1892</v>
      </c>
      <c r="F1829" s="6">
        <v>1.0</v>
      </c>
      <c r="G1829" s="13">
        <v>346.2</v>
      </c>
      <c r="H1829" s="6">
        <v>0.29</v>
      </c>
      <c r="I1829" s="6" t="s">
        <v>1965</v>
      </c>
      <c r="J1829" s="13">
        <v>245.802</v>
      </c>
      <c r="K1829" s="6" t="str">
        <f t="shared" si="1"/>
        <v>Low Earnings</v>
      </c>
    </row>
    <row r="1830" ht="14.25" customHeight="1">
      <c r="A1830" s="6" t="s">
        <v>3795</v>
      </c>
      <c r="B1830" s="17">
        <v>45527.0</v>
      </c>
      <c r="C1830" s="6" t="s">
        <v>1427</v>
      </c>
      <c r="D1830" s="6" t="s">
        <v>1714</v>
      </c>
      <c r="E1830" s="6" t="s">
        <v>1941</v>
      </c>
      <c r="F1830" s="6">
        <v>3.0</v>
      </c>
      <c r="G1830" s="13">
        <v>791.75</v>
      </c>
      <c r="H1830" s="6">
        <v>0.29</v>
      </c>
      <c r="I1830" s="6" t="s">
        <v>1965</v>
      </c>
      <c r="J1830" s="13">
        <v>1686.4275</v>
      </c>
      <c r="K1830" s="6" t="str">
        <f t="shared" si="1"/>
        <v>Average Earnings</v>
      </c>
    </row>
    <row r="1831" ht="14.25" customHeight="1">
      <c r="A1831" s="6" t="s">
        <v>3796</v>
      </c>
      <c r="B1831" s="17">
        <v>45265.0</v>
      </c>
      <c r="C1831" s="6" t="s">
        <v>1020</v>
      </c>
      <c r="D1831" s="6" t="s">
        <v>1701</v>
      </c>
      <c r="E1831" s="6" t="s">
        <v>1937</v>
      </c>
      <c r="F1831" s="6">
        <v>1.0</v>
      </c>
      <c r="G1831" s="13">
        <v>529.84</v>
      </c>
      <c r="H1831" s="6">
        <v>0.13</v>
      </c>
      <c r="I1831" s="6" t="s">
        <v>1967</v>
      </c>
      <c r="J1831" s="13">
        <v>460.9608</v>
      </c>
      <c r="K1831" s="6" t="str">
        <f t="shared" si="1"/>
        <v>Low Earnings</v>
      </c>
    </row>
    <row r="1832" ht="14.25" customHeight="1">
      <c r="A1832" s="6" t="s">
        <v>3797</v>
      </c>
      <c r="B1832" s="17">
        <v>45936.0</v>
      </c>
      <c r="C1832" s="6" t="s">
        <v>1468</v>
      </c>
      <c r="D1832" s="6" t="s">
        <v>1749</v>
      </c>
      <c r="E1832" s="6" t="s">
        <v>1906</v>
      </c>
      <c r="F1832" s="6">
        <v>3.0</v>
      </c>
      <c r="G1832" s="13">
        <v>582.57</v>
      </c>
      <c r="H1832" s="6">
        <v>0.11</v>
      </c>
      <c r="I1832" s="6" t="s">
        <v>1967</v>
      </c>
      <c r="J1832" s="13">
        <v>1555.4619</v>
      </c>
      <c r="K1832" s="6" t="str">
        <f t="shared" si="1"/>
        <v>Average Earnings</v>
      </c>
    </row>
    <row r="1833" ht="14.25" customHeight="1">
      <c r="A1833" s="6" t="s">
        <v>3798</v>
      </c>
      <c r="B1833" s="17">
        <v>45242.0</v>
      </c>
      <c r="C1833" s="6" t="s">
        <v>699</v>
      </c>
      <c r="D1833" s="6" t="s">
        <v>1873</v>
      </c>
      <c r="E1833" s="6" t="s">
        <v>1947</v>
      </c>
      <c r="F1833" s="6">
        <v>1.0</v>
      </c>
      <c r="G1833" s="13">
        <v>219.81</v>
      </c>
      <c r="H1833" s="6">
        <v>0.22</v>
      </c>
      <c r="I1833" s="6" t="s">
        <v>1973</v>
      </c>
      <c r="J1833" s="13">
        <v>171.4518</v>
      </c>
      <c r="K1833" s="6" t="str">
        <f t="shared" si="1"/>
        <v>Low Earnings</v>
      </c>
    </row>
    <row r="1834" ht="14.25" customHeight="1">
      <c r="A1834" s="6" t="s">
        <v>3799</v>
      </c>
      <c r="B1834" s="17">
        <v>45437.0</v>
      </c>
      <c r="C1834" s="6" t="s">
        <v>1543</v>
      </c>
      <c r="D1834" s="6" t="s">
        <v>1798</v>
      </c>
      <c r="E1834" s="6" t="s">
        <v>1950</v>
      </c>
      <c r="F1834" s="6">
        <v>4.0</v>
      </c>
      <c r="G1834" s="13">
        <v>883.31</v>
      </c>
      <c r="H1834" s="6">
        <v>0.27</v>
      </c>
      <c r="I1834" s="6" t="s">
        <v>1965</v>
      </c>
      <c r="J1834" s="13">
        <v>2579.2652</v>
      </c>
      <c r="K1834" s="6" t="str">
        <f t="shared" si="1"/>
        <v>High Earnings</v>
      </c>
    </row>
    <row r="1835" ht="14.25" customHeight="1">
      <c r="A1835" s="6" t="s">
        <v>3800</v>
      </c>
      <c r="B1835" s="17">
        <v>45627.0</v>
      </c>
      <c r="C1835" s="6" t="s">
        <v>767</v>
      </c>
      <c r="D1835" s="6" t="s">
        <v>1630</v>
      </c>
      <c r="E1835" s="6" t="s">
        <v>1939</v>
      </c>
      <c r="F1835" s="6">
        <v>4.0</v>
      </c>
      <c r="G1835" s="13">
        <v>329.06</v>
      </c>
      <c r="H1835" s="6">
        <v>0.04</v>
      </c>
      <c r="I1835" s="6" t="s">
        <v>1973</v>
      </c>
      <c r="J1835" s="13">
        <v>1263.5904</v>
      </c>
      <c r="K1835" s="6" t="str">
        <f t="shared" si="1"/>
        <v>Average Earnings</v>
      </c>
    </row>
    <row r="1836" ht="14.25" customHeight="1">
      <c r="A1836" s="6" t="s">
        <v>3801</v>
      </c>
      <c r="B1836" s="17">
        <v>45282.0</v>
      </c>
      <c r="C1836" s="6" t="s">
        <v>213</v>
      </c>
      <c r="D1836" s="6" t="s">
        <v>1852</v>
      </c>
      <c r="E1836" s="6" t="s">
        <v>1919</v>
      </c>
      <c r="F1836" s="6">
        <v>4.0</v>
      </c>
      <c r="G1836" s="13">
        <v>127.1</v>
      </c>
      <c r="H1836" s="6">
        <v>0.24</v>
      </c>
      <c r="I1836" s="6" t="s">
        <v>1973</v>
      </c>
      <c r="J1836" s="13">
        <v>386.384</v>
      </c>
      <c r="K1836" s="6" t="str">
        <f t="shared" si="1"/>
        <v>Low Earnings</v>
      </c>
    </row>
    <row r="1837" ht="14.25" customHeight="1">
      <c r="A1837" s="6" t="s">
        <v>3802</v>
      </c>
      <c r="B1837" s="17">
        <v>45678.0</v>
      </c>
      <c r="C1837" s="6" t="s">
        <v>380</v>
      </c>
      <c r="D1837" s="6" t="s">
        <v>1791</v>
      </c>
      <c r="E1837" s="6" t="s">
        <v>1932</v>
      </c>
      <c r="F1837" s="6">
        <v>1.0</v>
      </c>
      <c r="G1837" s="13">
        <v>935.78</v>
      </c>
      <c r="H1837" s="6">
        <v>0.03</v>
      </c>
      <c r="I1837" s="6" t="s">
        <v>1967</v>
      </c>
      <c r="J1837" s="13">
        <v>907.7066</v>
      </c>
      <c r="K1837" s="6" t="str">
        <f t="shared" si="1"/>
        <v>Low Earnings</v>
      </c>
    </row>
    <row r="1838" ht="14.25" customHeight="1">
      <c r="A1838" s="6" t="s">
        <v>3803</v>
      </c>
      <c r="B1838" s="17">
        <v>45484.0</v>
      </c>
      <c r="C1838" s="6" t="s">
        <v>1023</v>
      </c>
      <c r="D1838" s="6" t="s">
        <v>1767</v>
      </c>
      <c r="E1838" s="6" t="s">
        <v>1929</v>
      </c>
      <c r="F1838" s="6">
        <v>4.0</v>
      </c>
      <c r="G1838" s="13">
        <v>597.8</v>
      </c>
      <c r="H1838" s="6">
        <v>0.2</v>
      </c>
      <c r="I1838" s="6" t="s">
        <v>1965</v>
      </c>
      <c r="J1838" s="13">
        <v>1912.96</v>
      </c>
      <c r="K1838" s="6" t="str">
        <f t="shared" si="1"/>
        <v>Average Earnings</v>
      </c>
    </row>
    <row r="1839" ht="14.25" customHeight="1">
      <c r="A1839" s="6" t="s">
        <v>3804</v>
      </c>
      <c r="B1839" s="17">
        <v>45700.0</v>
      </c>
      <c r="C1839" s="6" t="s">
        <v>842</v>
      </c>
      <c r="D1839" s="6" t="s">
        <v>1615</v>
      </c>
      <c r="E1839" s="6" t="s">
        <v>1950</v>
      </c>
      <c r="F1839" s="6">
        <v>4.0</v>
      </c>
      <c r="G1839" s="13">
        <v>266.98</v>
      </c>
      <c r="H1839" s="6">
        <v>0.16</v>
      </c>
      <c r="I1839" s="6" t="s">
        <v>1965</v>
      </c>
      <c r="J1839" s="13">
        <v>897.0528</v>
      </c>
      <c r="K1839" s="6" t="str">
        <f t="shared" si="1"/>
        <v>Low Earnings</v>
      </c>
    </row>
    <row r="1840" ht="14.25" customHeight="1">
      <c r="A1840" s="6" t="s">
        <v>3805</v>
      </c>
      <c r="B1840" s="17">
        <v>45873.0</v>
      </c>
      <c r="C1840" s="6" t="s">
        <v>1282</v>
      </c>
      <c r="D1840" s="6" t="s">
        <v>1798</v>
      </c>
      <c r="E1840" s="6" t="s">
        <v>1941</v>
      </c>
      <c r="F1840" s="6">
        <v>3.0</v>
      </c>
      <c r="G1840" s="13">
        <v>360.18</v>
      </c>
      <c r="H1840" s="6">
        <v>0.03</v>
      </c>
      <c r="I1840" s="6" t="s">
        <v>1965</v>
      </c>
      <c r="J1840" s="13">
        <v>1048.1238</v>
      </c>
      <c r="K1840" s="6" t="str">
        <f t="shared" si="1"/>
        <v>Average Earnings</v>
      </c>
    </row>
    <row r="1841" ht="14.25" customHeight="1">
      <c r="A1841" s="6" t="s">
        <v>3806</v>
      </c>
      <c r="B1841" s="17">
        <v>45860.0</v>
      </c>
      <c r="C1841" s="6" t="s">
        <v>1152</v>
      </c>
      <c r="D1841" s="6" t="s">
        <v>1755</v>
      </c>
      <c r="E1841" s="6" t="s">
        <v>1892</v>
      </c>
      <c r="F1841" s="6">
        <v>3.0</v>
      </c>
      <c r="G1841" s="13">
        <v>247.41</v>
      </c>
      <c r="H1841" s="6">
        <v>0.05</v>
      </c>
      <c r="I1841" s="6" t="s">
        <v>1973</v>
      </c>
      <c r="J1841" s="13">
        <v>705.1185</v>
      </c>
      <c r="K1841" s="6" t="str">
        <f t="shared" si="1"/>
        <v>Low Earnings</v>
      </c>
    </row>
    <row r="1842" ht="14.25" customHeight="1">
      <c r="A1842" s="6" t="s">
        <v>3807</v>
      </c>
      <c r="B1842" s="17">
        <v>45235.0</v>
      </c>
      <c r="C1842" s="6" t="s">
        <v>292</v>
      </c>
      <c r="D1842" s="6" t="s">
        <v>1720</v>
      </c>
      <c r="E1842" s="6" t="s">
        <v>1941</v>
      </c>
      <c r="F1842" s="6">
        <v>3.0</v>
      </c>
      <c r="G1842" s="13">
        <v>674.66</v>
      </c>
      <c r="H1842" s="6">
        <v>0.23</v>
      </c>
      <c r="I1842" s="6" t="s">
        <v>1965</v>
      </c>
      <c r="J1842" s="13">
        <v>1558.4646</v>
      </c>
      <c r="K1842" s="6" t="str">
        <f t="shared" si="1"/>
        <v>Average Earnings</v>
      </c>
    </row>
    <row r="1843" ht="14.25" customHeight="1">
      <c r="A1843" s="6" t="s">
        <v>3808</v>
      </c>
      <c r="B1843" s="17">
        <v>45874.0</v>
      </c>
      <c r="C1843" s="6" t="s">
        <v>1305</v>
      </c>
      <c r="D1843" s="6" t="s">
        <v>1711</v>
      </c>
      <c r="E1843" s="6" t="s">
        <v>1909</v>
      </c>
      <c r="F1843" s="6">
        <v>1.0</v>
      </c>
      <c r="G1843" s="13">
        <v>913.98</v>
      </c>
      <c r="H1843" s="6">
        <v>0.27</v>
      </c>
      <c r="I1843" s="6" t="s">
        <v>1967</v>
      </c>
      <c r="J1843" s="13">
        <v>667.2053999999999</v>
      </c>
      <c r="K1843" s="6" t="str">
        <f t="shared" si="1"/>
        <v>Low Earnings</v>
      </c>
    </row>
    <row r="1844" ht="14.25" customHeight="1">
      <c r="A1844" s="6" t="s">
        <v>3809</v>
      </c>
      <c r="B1844" s="17">
        <v>45769.0</v>
      </c>
      <c r="C1844" s="6" t="s">
        <v>1005</v>
      </c>
      <c r="D1844" s="6" t="s">
        <v>1867</v>
      </c>
      <c r="E1844" s="6" t="s">
        <v>1929</v>
      </c>
      <c r="F1844" s="6">
        <v>4.0</v>
      </c>
      <c r="G1844" s="13">
        <v>370.5</v>
      </c>
      <c r="H1844" s="6">
        <v>0.13</v>
      </c>
      <c r="I1844" s="6" t="s">
        <v>1967</v>
      </c>
      <c r="J1844" s="13">
        <v>1289.34</v>
      </c>
      <c r="K1844" s="6" t="str">
        <f t="shared" si="1"/>
        <v>Average Earnings</v>
      </c>
    </row>
    <row r="1845" ht="14.25" customHeight="1">
      <c r="A1845" s="6" t="s">
        <v>3810</v>
      </c>
      <c r="B1845" s="17">
        <v>45619.0</v>
      </c>
      <c r="C1845" s="6" t="s">
        <v>1137</v>
      </c>
      <c r="D1845" s="6" t="s">
        <v>1804</v>
      </c>
      <c r="E1845" s="6" t="s">
        <v>1937</v>
      </c>
      <c r="F1845" s="6">
        <v>1.0</v>
      </c>
      <c r="G1845" s="13">
        <v>735.1</v>
      </c>
      <c r="H1845" s="6">
        <v>0.1</v>
      </c>
      <c r="I1845" s="6" t="s">
        <v>1967</v>
      </c>
      <c r="J1845" s="13">
        <v>661.59</v>
      </c>
      <c r="K1845" s="6" t="str">
        <f t="shared" si="1"/>
        <v>Low Earnings</v>
      </c>
    </row>
    <row r="1846" ht="14.25" customHeight="1">
      <c r="A1846" s="6" t="s">
        <v>3811</v>
      </c>
      <c r="B1846" s="17">
        <v>45614.0</v>
      </c>
      <c r="C1846" s="6" t="s">
        <v>472</v>
      </c>
      <c r="D1846" s="6" t="s">
        <v>1825</v>
      </c>
      <c r="E1846" s="6" t="s">
        <v>1901</v>
      </c>
      <c r="F1846" s="6">
        <v>3.0</v>
      </c>
      <c r="G1846" s="13">
        <v>448.55</v>
      </c>
      <c r="H1846" s="6">
        <v>0.05</v>
      </c>
      <c r="I1846" s="6" t="s">
        <v>1965</v>
      </c>
      <c r="J1846" s="13">
        <v>1278.3675</v>
      </c>
      <c r="K1846" s="6" t="str">
        <f t="shared" si="1"/>
        <v>Average Earnings</v>
      </c>
    </row>
    <row r="1847" ht="14.25" customHeight="1">
      <c r="A1847" s="6" t="s">
        <v>3812</v>
      </c>
      <c r="B1847" s="17">
        <v>45545.0</v>
      </c>
      <c r="C1847" s="6" t="s">
        <v>972</v>
      </c>
      <c r="D1847" s="6" t="s">
        <v>1640</v>
      </c>
      <c r="E1847" s="6" t="s">
        <v>1906</v>
      </c>
      <c r="F1847" s="6">
        <v>3.0</v>
      </c>
      <c r="G1847" s="13">
        <v>899.58</v>
      </c>
      <c r="H1847" s="6">
        <v>0.28</v>
      </c>
      <c r="I1847" s="6" t="s">
        <v>1967</v>
      </c>
      <c r="J1847" s="13">
        <v>1943.0928</v>
      </c>
      <c r="K1847" s="6" t="str">
        <f t="shared" si="1"/>
        <v>Average Earnings</v>
      </c>
    </row>
    <row r="1848" ht="14.25" customHeight="1">
      <c r="A1848" s="6" t="s">
        <v>3813</v>
      </c>
      <c r="B1848" s="17">
        <v>45691.0</v>
      </c>
      <c r="C1848" s="6" t="s">
        <v>229</v>
      </c>
      <c r="D1848" s="6" t="s">
        <v>1840</v>
      </c>
      <c r="E1848" s="6" t="s">
        <v>1937</v>
      </c>
      <c r="F1848" s="6">
        <v>3.0</v>
      </c>
      <c r="G1848" s="13">
        <v>904.96</v>
      </c>
      <c r="H1848" s="6">
        <v>0.07</v>
      </c>
      <c r="I1848" s="6" t="s">
        <v>1973</v>
      </c>
      <c r="J1848" s="13">
        <v>2524.8384</v>
      </c>
      <c r="K1848" s="6" t="str">
        <f t="shared" si="1"/>
        <v>High Earnings</v>
      </c>
    </row>
    <row r="1849" ht="14.25" customHeight="1">
      <c r="A1849" s="6" t="s">
        <v>3814</v>
      </c>
      <c r="B1849" s="17">
        <v>45608.0</v>
      </c>
      <c r="C1849" s="6" t="s">
        <v>1203</v>
      </c>
      <c r="D1849" s="6" t="s">
        <v>1791</v>
      </c>
      <c r="E1849" s="6" t="s">
        <v>1937</v>
      </c>
      <c r="F1849" s="6">
        <v>4.0</v>
      </c>
      <c r="G1849" s="13">
        <v>408.72</v>
      </c>
      <c r="H1849" s="6">
        <v>0.16</v>
      </c>
      <c r="I1849" s="6" t="s">
        <v>1973</v>
      </c>
      <c r="J1849" s="13">
        <v>1373.2992</v>
      </c>
      <c r="K1849" s="6" t="str">
        <f t="shared" si="1"/>
        <v>Average Earnings</v>
      </c>
    </row>
    <row r="1850" ht="14.25" customHeight="1">
      <c r="A1850" s="6" t="s">
        <v>3815</v>
      </c>
      <c r="B1850" s="17">
        <v>45412.0</v>
      </c>
      <c r="C1850" s="6" t="s">
        <v>911</v>
      </c>
      <c r="D1850" s="6" t="s">
        <v>1801</v>
      </c>
      <c r="E1850" s="6" t="s">
        <v>1906</v>
      </c>
      <c r="F1850" s="6">
        <v>4.0</v>
      </c>
      <c r="G1850" s="13">
        <v>770.65</v>
      </c>
      <c r="H1850" s="6">
        <v>0.27</v>
      </c>
      <c r="I1850" s="6" t="s">
        <v>1965</v>
      </c>
      <c r="J1850" s="13">
        <v>2250.298</v>
      </c>
      <c r="K1850" s="6" t="str">
        <f t="shared" si="1"/>
        <v>Average Earnings</v>
      </c>
    </row>
    <row r="1851" ht="14.25" customHeight="1">
      <c r="A1851" s="6" t="s">
        <v>3816</v>
      </c>
      <c r="B1851" s="17">
        <v>45767.0</v>
      </c>
      <c r="C1851" s="6" t="s">
        <v>675</v>
      </c>
      <c r="D1851" s="6" t="s">
        <v>1672</v>
      </c>
      <c r="E1851" s="6" t="s">
        <v>1916</v>
      </c>
      <c r="F1851" s="6">
        <v>1.0</v>
      </c>
      <c r="G1851" s="13">
        <v>649.22</v>
      </c>
      <c r="H1851" s="6">
        <v>0.03</v>
      </c>
      <c r="I1851" s="6" t="s">
        <v>1973</v>
      </c>
      <c r="J1851" s="13">
        <v>629.7434000000001</v>
      </c>
      <c r="K1851" s="6" t="str">
        <f t="shared" si="1"/>
        <v>Low Earnings</v>
      </c>
    </row>
    <row r="1852" ht="14.25" customHeight="1">
      <c r="A1852" s="6" t="s">
        <v>3817</v>
      </c>
      <c r="B1852" s="17">
        <v>45428.0</v>
      </c>
      <c r="C1852" s="6" t="s">
        <v>1107</v>
      </c>
      <c r="D1852" s="6" t="s">
        <v>1682</v>
      </c>
      <c r="E1852" s="6" t="s">
        <v>1929</v>
      </c>
      <c r="F1852" s="6">
        <v>2.0</v>
      </c>
      <c r="G1852" s="13">
        <v>379.78</v>
      </c>
      <c r="H1852" s="6">
        <v>0.2</v>
      </c>
      <c r="I1852" s="6" t="s">
        <v>1965</v>
      </c>
      <c r="J1852" s="13">
        <v>607.648</v>
      </c>
      <c r="K1852" s="6" t="str">
        <f t="shared" si="1"/>
        <v>Low Earnings</v>
      </c>
    </row>
    <row r="1853" ht="14.25" customHeight="1">
      <c r="A1853" s="6" t="s">
        <v>3818</v>
      </c>
      <c r="B1853" s="17">
        <v>45770.0</v>
      </c>
      <c r="C1853" s="6" t="s">
        <v>809</v>
      </c>
      <c r="D1853" s="6" t="s">
        <v>1714</v>
      </c>
      <c r="E1853" s="6" t="s">
        <v>1922</v>
      </c>
      <c r="F1853" s="6">
        <v>3.0</v>
      </c>
      <c r="G1853" s="13">
        <v>924.15</v>
      </c>
      <c r="H1853" s="6">
        <v>0.1</v>
      </c>
      <c r="I1853" s="6" t="s">
        <v>1967</v>
      </c>
      <c r="J1853" s="13">
        <v>2495.205</v>
      </c>
      <c r="K1853" s="6" t="str">
        <f t="shared" si="1"/>
        <v>Average Earnings</v>
      </c>
    </row>
    <row r="1854" ht="14.25" customHeight="1">
      <c r="A1854" s="6" t="s">
        <v>3819</v>
      </c>
      <c r="B1854" s="17">
        <v>45571.0</v>
      </c>
      <c r="C1854" s="6" t="s">
        <v>1462</v>
      </c>
      <c r="D1854" s="6" t="s">
        <v>1720</v>
      </c>
      <c r="E1854" s="6" t="s">
        <v>1947</v>
      </c>
      <c r="F1854" s="6">
        <v>3.0</v>
      </c>
      <c r="G1854" s="13">
        <v>144.67</v>
      </c>
      <c r="H1854" s="6">
        <v>0.29</v>
      </c>
      <c r="I1854" s="6" t="s">
        <v>1973</v>
      </c>
      <c r="J1854" s="13">
        <v>308.1471</v>
      </c>
      <c r="K1854" s="6" t="str">
        <f t="shared" si="1"/>
        <v>Low Earnings</v>
      </c>
    </row>
    <row r="1855" ht="14.25" customHeight="1">
      <c r="A1855" s="6" t="s">
        <v>3820</v>
      </c>
      <c r="B1855" s="17">
        <v>45700.0</v>
      </c>
      <c r="C1855" s="6" t="s">
        <v>428</v>
      </c>
      <c r="D1855" s="6" t="s">
        <v>1682</v>
      </c>
      <c r="E1855" s="6" t="s">
        <v>1941</v>
      </c>
      <c r="F1855" s="6">
        <v>2.0</v>
      </c>
      <c r="G1855" s="13">
        <v>667.17</v>
      </c>
      <c r="H1855" s="6">
        <v>0.1</v>
      </c>
      <c r="I1855" s="6" t="s">
        <v>1967</v>
      </c>
      <c r="J1855" s="13">
        <v>1200.906</v>
      </c>
      <c r="K1855" s="6" t="str">
        <f t="shared" si="1"/>
        <v>Average Earnings</v>
      </c>
    </row>
    <row r="1856" ht="14.25" customHeight="1">
      <c r="A1856" s="6" t="s">
        <v>3821</v>
      </c>
      <c r="B1856" s="17">
        <v>45382.0</v>
      </c>
      <c r="C1856" s="6" t="s">
        <v>1268</v>
      </c>
      <c r="D1856" s="6" t="s">
        <v>1785</v>
      </c>
      <c r="E1856" s="6" t="s">
        <v>1906</v>
      </c>
      <c r="F1856" s="6">
        <v>1.0</v>
      </c>
      <c r="G1856" s="13">
        <v>984.6</v>
      </c>
      <c r="H1856" s="6">
        <v>0.22</v>
      </c>
      <c r="I1856" s="6" t="s">
        <v>1965</v>
      </c>
      <c r="J1856" s="13">
        <v>767.988</v>
      </c>
      <c r="K1856" s="6" t="str">
        <f t="shared" si="1"/>
        <v>Low Earnings</v>
      </c>
    </row>
    <row r="1857" ht="14.25" customHeight="1">
      <c r="A1857" s="6" t="s">
        <v>3822</v>
      </c>
      <c r="B1857" s="17">
        <v>45260.0</v>
      </c>
      <c r="C1857" s="6" t="s">
        <v>902</v>
      </c>
      <c r="D1857" s="6" t="s">
        <v>1615</v>
      </c>
      <c r="E1857" s="6" t="s">
        <v>1922</v>
      </c>
      <c r="F1857" s="6">
        <v>1.0</v>
      </c>
      <c r="G1857" s="13">
        <v>139.29</v>
      </c>
      <c r="H1857" s="6">
        <v>0.0</v>
      </c>
      <c r="I1857" s="6" t="s">
        <v>1965</v>
      </c>
      <c r="J1857" s="13">
        <v>139.29</v>
      </c>
      <c r="K1857" s="6" t="str">
        <f t="shared" si="1"/>
        <v>Low Earnings</v>
      </c>
    </row>
    <row r="1858" ht="14.25" customHeight="1">
      <c r="A1858" s="6" t="s">
        <v>3823</v>
      </c>
      <c r="B1858" s="17">
        <v>45755.0</v>
      </c>
      <c r="C1858" s="6" t="s">
        <v>1044</v>
      </c>
      <c r="D1858" s="6" t="s">
        <v>1565</v>
      </c>
      <c r="E1858" s="6" t="s">
        <v>1929</v>
      </c>
      <c r="F1858" s="6">
        <v>3.0</v>
      </c>
      <c r="G1858" s="13">
        <v>964.39</v>
      </c>
      <c r="H1858" s="6">
        <v>0.04</v>
      </c>
      <c r="I1858" s="6" t="s">
        <v>1965</v>
      </c>
      <c r="J1858" s="13">
        <v>2777.4432</v>
      </c>
      <c r="K1858" s="6" t="str">
        <f t="shared" si="1"/>
        <v>High Earnings</v>
      </c>
    </row>
    <row r="1859" ht="14.25" customHeight="1">
      <c r="A1859" s="6" t="s">
        <v>3824</v>
      </c>
      <c r="B1859" s="17">
        <v>45702.0</v>
      </c>
      <c r="C1859" s="6" t="s">
        <v>142</v>
      </c>
      <c r="D1859" s="6" t="s">
        <v>1626</v>
      </c>
      <c r="E1859" s="6" t="s">
        <v>1922</v>
      </c>
      <c r="F1859" s="6">
        <v>3.0</v>
      </c>
      <c r="G1859" s="13">
        <v>459.57</v>
      </c>
      <c r="H1859" s="6">
        <v>0.1</v>
      </c>
      <c r="I1859" s="6" t="s">
        <v>1973</v>
      </c>
      <c r="J1859" s="13">
        <v>1240.839</v>
      </c>
      <c r="K1859" s="6" t="str">
        <f t="shared" si="1"/>
        <v>Average Earnings</v>
      </c>
    </row>
    <row r="1860" ht="14.25" customHeight="1">
      <c r="A1860" s="6" t="s">
        <v>3825</v>
      </c>
      <c r="B1860" s="17">
        <v>45302.0</v>
      </c>
      <c r="C1860" s="6" t="s">
        <v>252</v>
      </c>
      <c r="D1860" s="6" t="s">
        <v>1705</v>
      </c>
      <c r="E1860" s="6" t="s">
        <v>1941</v>
      </c>
      <c r="F1860" s="6">
        <v>1.0</v>
      </c>
      <c r="G1860" s="13">
        <v>517.82</v>
      </c>
      <c r="H1860" s="6">
        <v>0.29</v>
      </c>
      <c r="I1860" s="6" t="s">
        <v>1965</v>
      </c>
      <c r="J1860" s="13">
        <v>367.6522</v>
      </c>
      <c r="K1860" s="6" t="str">
        <f t="shared" si="1"/>
        <v>Low Earnings</v>
      </c>
    </row>
    <row r="1861" ht="14.25" customHeight="1">
      <c r="A1861" s="6" t="s">
        <v>3826</v>
      </c>
      <c r="B1861" s="17">
        <v>45653.0</v>
      </c>
      <c r="C1861" s="6" t="s">
        <v>1200</v>
      </c>
      <c r="D1861" s="6" t="s">
        <v>1816</v>
      </c>
      <c r="E1861" s="6" t="s">
        <v>1916</v>
      </c>
      <c r="F1861" s="6">
        <v>4.0</v>
      </c>
      <c r="G1861" s="13">
        <v>282.45</v>
      </c>
      <c r="H1861" s="6">
        <v>0.29</v>
      </c>
      <c r="I1861" s="6" t="s">
        <v>1973</v>
      </c>
      <c r="J1861" s="13">
        <v>802.1579999999999</v>
      </c>
      <c r="K1861" s="6" t="str">
        <f t="shared" si="1"/>
        <v>Low Earnings</v>
      </c>
    </row>
    <row r="1862" ht="14.25" customHeight="1">
      <c r="A1862" s="6" t="s">
        <v>3827</v>
      </c>
      <c r="B1862" s="17">
        <v>45250.0</v>
      </c>
      <c r="C1862" s="6" t="s">
        <v>1421</v>
      </c>
      <c r="D1862" s="6" t="s">
        <v>1849</v>
      </c>
      <c r="E1862" s="6" t="s">
        <v>1919</v>
      </c>
      <c r="F1862" s="6">
        <v>2.0</v>
      </c>
      <c r="G1862" s="13">
        <v>386.46</v>
      </c>
      <c r="H1862" s="6">
        <v>0.23</v>
      </c>
      <c r="I1862" s="6" t="s">
        <v>1973</v>
      </c>
      <c r="J1862" s="13">
        <v>595.1484</v>
      </c>
      <c r="K1862" s="6" t="str">
        <f t="shared" si="1"/>
        <v>Low Earnings</v>
      </c>
    </row>
    <row r="1863" ht="14.25" customHeight="1">
      <c r="A1863" s="6" t="s">
        <v>3828</v>
      </c>
      <c r="B1863" s="17">
        <v>45661.0</v>
      </c>
      <c r="C1863" s="6" t="s">
        <v>652</v>
      </c>
      <c r="D1863" s="6" t="s">
        <v>1636</v>
      </c>
      <c r="E1863" s="6" t="s">
        <v>1906</v>
      </c>
      <c r="F1863" s="6">
        <v>1.0</v>
      </c>
      <c r="G1863" s="13">
        <v>270.45</v>
      </c>
      <c r="H1863" s="6">
        <v>0.15</v>
      </c>
      <c r="I1863" s="6" t="s">
        <v>1973</v>
      </c>
      <c r="J1863" s="13">
        <v>229.8825</v>
      </c>
      <c r="K1863" s="6" t="str">
        <f t="shared" si="1"/>
        <v>Low Earnings</v>
      </c>
    </row>
    <row r="1864" ht="14.25" customHeight="1">
      <c r="A1864" s="6" t="s">
        <v>3829</v>
      </c>
      <c r="B1864" s="17">
        <v>45493.0</v>
      </c>
      <c r="C1864" s="6" t="s">
        <v>168</v>
      </c>
      <c r="D1864" s="6" t="s">
        <v>1816</v>
      </c>
      <c r="E1864" s="6" t="s">
        <v>1929</v>
      </c>
      <c r="F1864" s="6">
        <v>4.0</v>
      </c>
      <c r="G1864" s="13">
        <v>762.94</v>
      </c>
      <c r="H1864" s="6">
        <v>0.09</v>
      </c>
      <c r="I1864" s="6" t="s">
        <v>1973</v>
      </c>
      <c r="J1864" s="13">
        <v>2777.1016</v>
      </c>
      <c r="K1864" s="6" t="str">
        <f t="shared" si="1"/>
        <v>High Earnings</v>
      </c>
    </row>
    <row r="1865" ht="14.25" customHeight="1">
      <c r="A1865" s="6" t="s">
        <v>3830</v>
      </c>
      <c r="B1865" s="17">
        <v>45242.0</v>
      </c>
      <c r="C1865" s="6" t="s">
        <v>1534</v>
      </c>
      <c r="D1865" s="6" t="s">
        <v>1708</v>
      </c>
      <c r="E1865" s="6" t="s">
        <v>1937</v>
      </c>
      <c r="F1865" s="6">
        <v>1.0</v>
      </c>
      <c r="G1865" s="13">
        <v>409.03</v>
      </c>
      <c r="H1865" s="6">
        <v>0.25</v>
      </c>
      <c r="I1865" s="6" t="s">
        <v>1973</v>
      </c>
      <c r="J1865" s="13">
        <v>306.7725</v>
      </c>
      <c r="K1865" s="6" t="str">
        <f t="shared" si="1"/>
        <v>Low Earnings</v>
      </c>
    </row>
    <row r="1866" ht="14.25" customHeight="1">
      <c r="A1866" s="6" t="s">
        <v>3831</v>
      </c>
      <c r="B1866" s="17">
        <v>45411.0</v>
      </c>
      <c r="C1866" s="6" t="s">
        <v>723</v>
      </c>
      <c r="D1866" s="6" t="s">
        <v>1876</v>
      </c>
      <c r="E1866" s="6" t="s">
        <v>1950</v>
      </c>
      <c r="F1866" s="6">
        <v>2.0</v>
      </c>
      <c r="G1866" s="13">
        <v>891.13</v>
      </c>
      <c r="H1866" s="6">
        <v>0.13</v>
      </c>
      <c r="I1866" s="6" t="s">
        <v>1965</v>
      </c>
      <c r="J1866" s="13">
        <v>1550.5662</v>
      </c>
      <c r="K1866" s="6" t="str">
        <f t="shared" si="1"/>
        <v>Average Earnings</v>
      </c>
    </row>
    <row r="1867" ht="14.25" customHeight="1">
      <c r="A1867" s="6" t="s">
        <v>3832</v>
      </c>
      <c r="B1867" s="17">
        <v>45593.0</v>
      </c>
      <c r="C1867" s="6" t="s">
        <v>138</v>
      </c>
      <c r="D1867" s="6" t="s">
        <v>1864</v>
      </c>
      <c r="E1867" s="6" t="s">
        <v>1944</v>
      </c>
      <c r="F1867" s="6">
        <v>1.0</v>
      </c>
      <c r="G1867" s="13">
        <v>553.38</v>
      </c>
      <c r="H1867" s="6">
        <v>0.21</v>
      </c>
      <c r="I1867" s="6" t="s">
        <v>1967</v>
      </c>
      <c r="J1867" s="13">
        <v>437.1702</v>
      </c>
      <c r="K1867" s="6" t="str">
        <f t="shared" si="1"/>
        <v>Low Earnings</v>
      </c>
    </row>
    <row r="1868" ht="14.25" customHeight="1">
      <c r="A1868" s="6" t="s">
        <v>3833</v>
      </c>
      <c r="B1868" s="17">
        <v>45281.0</v>
      </c>
      <c r="C1868" s="6" t="s">
        <v>546</v>
      </c>
      <c r="D1868" s="6" t="s">
        <v>1843</v>
      </c>
      <c r="E1868" s="6" t="s">
        <v>1937</v>
      </c>
      <c r="F1868" s="6">
        <v>2.0</v>
      </c>
      <c r="G1868" s="13">
        <v>652.3</v>
      </c>
      <c r="H1868" s="6">
        <v>0.16</v>
      </c>
      <c r="I1868" s="6" t="s">
        <v>1973</v>
      </c>
      <c r="J1868" s="13">
        <v>1095.864</v>
      </c>
      <c r="K1868" s="6" t="str">
        <f t="shared" si="1"/>
        <v>Average Earnings</v>
      </c>
    </row>
    <row r="1869" ht="14.25" customHeight="1">
      <c r="A1869" s="6" t="s">
        <v>3834</v>
      </c>
      <c r="B1869" s="17">
        <v>45588.0</v>
      </c>
      <c r="C1869" s="6" t="s">
        <v>616</v>
      </c>
      <c r="D1869" s="6" t="s">
        <v>1698</v>
      </c>
      <c r="E1869" s="6" t="s">
        <v>1892</v>
      </c>
      <c r="F1869" s="6">
        <v>2.0</v>
      </c>
      <c r="G1869" s="13">
        <v>217.83</v>
      </c>
      <c r="H1869" s="6">
        <v>0.14</v>
      </c>
      <c r="I1869" s="6" t="s">
        <v>1967</v>
      </c>
      <c r="J1869" s="13">
        <v>374.6676</v>
      </c>
      <c r="K1869" s="6" t="str">
        <f t="shared" si="1"/>
        <v>Low Earnings</v>
      </c>
    </row>
    <row r="1870" ht="14.25" customHeight="1">
      <c r="A1870" s="6" t="s">
        <v>3835</v>
      </c>
      <c r="B1870" s="17">
        <v>45575.0</v>
      </c>
      <c r="C1870" s="6" t="s">
        <v>431</v>
      </c>
      <c r="D1870" s="6" t="s">
        <v>1711</v>
      </c>
      <c r="E1870" s="6" t="s">
        <v>1926</v>
      </c>
      <c r="F1870" s="6">
        <v>4.0</v>
      </c>
      <c r="G1870" s="13">
        <v>194.36</v>
      </c>
      <c r="H1870" s="6">
        <v>0.18</v>
      </c>
      <c r="I1870" s="6" t="s">
        <v>1973</v>
      </c>
      <c r="J1870" s="13">
        <v>637.5008000000001</v>
      </c>
      <c r="K1870" s="6" t="str">
        <f t="shared" si="1"/>
        <v>Low Earnings</v>
      </c>
    </row>
    <row r="1871" ht="14.25" customHeight="1">
      <c r="A1871" s="6" t="s">
        <v>3836</v>
      </c>
      <c r="B1871" s="17">
        <v>45660.0</v>
      </c>
      <c r="C1871" s="6" t="s">
        <v>525</v>
      </c>
      <c r="D1871" s="6" t="s">
        <v>1864</v>
      </c>
      <c r="E1871" s="6" t="s">
        <v>1897</v>
      </c>
      <c r="F1871" s="6">
        <v>3.0</v>
      </c>
      <c r="G1871" s="13">
        <v>476.37</v>
      </c>
      <c r="H1871" s="6">
        <v>0.21</v>
      </c>
      <c r="I1871" s="6" t="s">
        <v>1973</v>
      </c>
      <c r="J1871" s="13">
        <v>1128.9969</v>
      </c>
      <c r="K1871" s="6" t="str">
        <f t="shared" si="1"/>
        <v>Average Earnings</v>
      </c>
    </row>
    <row r="1872" ht="14.25" customHeight="1">
      <c r="A1872" s="6" t="s">
        <v>3837</v>
      </c>
      <c r="B1872" s="17">
        <v>45360.0</v>
      </c>
      <c r="C1872" s="6" t="s">
        <v>1158</v>
      </c>
      <c r="D1872" s="6" t="s">
        <v>1705</v>
      </c>
      <c r="E1872" s="6" t="s">
        <v>1913</v>
      </c>
      <c r="F1872" s="6">
        <v>3.0</v>
      </c>
      <c r="G1872" s="13">
        <v>174.57</v>
      </c>
      <c r="H1872" s="6">
        <v>0.0</v>
      </c>
      <c r="I1872" s="6" t="s">
        <v>1967</v>
      </c>
      <c r="J1872" s="13">
        <v>523.71</v>
      </c>
      <c r="K1872" s="6" t="str">
        <f t="shared" si="1"/>
        <v>Low Earnings</v>
      </c>
    </row>
    <row r="1873" ht="14.25" customHeight="1">
      <c r="A1873" s="6" t="s">
        <v>3838</v>
      </c>
      <c r="B1873" s="17">
        <v>45526.0</v>
      </c>
      <c r="C1873" s="6" t="s">
        <v>422</v>
      </c>
      <c r="D1873" s="6" t="s">
        <v>1843</v>
      </c>
      <c r="E1873" s="6" t="s">
        <v>1892</v>
      </c>
      <c r="F1873" s="6">
        <v>3.0</v>
      </c>
      <c r="G1873" s="13">
        <v>762.0</v>
      </c>
      <c r="H1873" s="6">
        <v>0.02</v>
      </c>
      <c r="I1873" s="6" t="s">
        <v>1967</v>
      </c>
      <c r="J1873" s="13">
        <v>2240.28</v>
      </c>
      <c r="K1873" s="6" t="str">
        <f t="shared" si="1"/>
        <v>Average Earnings</v>
      </c>
    </row>
    <row r="1874" ht="14.25" customHeight="1">
      <c r="A1874" s="6" t="s">
        <v>3839</v>
      </c>
      <c r="B1874" s="17">
        <v>45395.0</v>
      </c>
      <c r="C1874" s="6" t="s">
        <v>1335</v>
      </c>
      <c r="D1874" s="6" t="s">
        <v>1804</v>
      </c>
      <c r="E1874" s="6" t="s">
        <v>1953</v>
      </c>
      <c r="F1874" s="6">
        <v>1.0</v>
      </c>
      <c r="G1874" s="13">
        <v>44.08</v>
      </c>
      <c r="H1874" s="6">
        <v>0.05</v>
      </c>
      <c r="I1874" s="6" t="s">
        <v>1965</v>
      </c>
      <c r="J1874" s="13">
        <v>41.876</v>
      </c>
      <c r="K1874" s="6" t="str">
        <f t="shared" si="1"/>
        <v>Low Earnings</v>
      </c>
    </row>
    <row r="1875" ht="14.25" customHeight="1">
      <c r="A1875" s="6" t="s">
        <v>3840</v>
      </c>
      <c r="B1875" s="17">
        <v>45466.0</v>
      </c>
      <c r="C1875" s="6" t="s">
        <v>1537</v>
      </c>
      <c r="D1875" s="6" t="s">
        <v>1764</v>
      </c>
      <c r="E1875" s="6" t="s">
        <v>1937</v>
      </c>
      <c r="F1875" s="6">
        <v>1.0</v>
      </c>
      <c r="G1875" s="13">
        <v>992.37</v>
      </c>
      <c r="H1875" s="6">
        <v>0.24</v>
      </c>
      <c r="I1875" s="6" t="s">
        <v>1973</v>
      </c>
      <c r="J1875" s="13">
        <v>754.2012</v>
      </c>
      <c r="K1875" s="6" t="str">
        <f t="shared" si="1"/>
        <v>Low Earnings</v>
      </c>
    </row>
    <row r="1876" ht="14.25" customHeight="1">
      <c r="A1876" s="6" t="s">
        <v>3841</v>
      </c>
      <c r="B1876" s="17">
        <v>45876.0</v>
      </c>
      <c r="C1876" s="6" t="s">
        <v>669</v>
      </c>
      <c r="D1876" s="6" t="s">
        <v>1675</v>
      </c>
      <c r="E1876" s="6" t="s">
        <v>1929</v>
      </c>
      <c r="F1876" s="6">
        <v>3.0</v>
      </c>
      <c r="G1876" s="13">
        <v>465.4</v>
      </c>
      <c r="H1876" s="6">
        <v>0.29</v>
      </c>
      <c r="I1876" s="6" t="s">
        <v>1973</v>
      </c>
      <c r="J1876" s="13">
        <v>991.3019999999998</v>
      </c>
      <c r="K1876" s="6" t="str">
        <f t="shared" si="1"/>
        <v>Low Earnings</v>
      </c>
    </row>
    <row r="1877" ht="14.25" customHeight="1">
      <c r="A1877" s="6" t="s">
        <v>3842</v>
      </c>
      <c r="B1877" s="17">
        <v>45724.0</v>
      </c>
      <c r="C1877" s="6" t="s">
        <v>1074</v>
      </c>
      <c r="D1877" s="6" t="s">
        <v>1626</v>
      </c>
      <c r="E1877" s="6" t="s">
        <v>1929</v>
      </c>
      <c r="F1877" s="6">
        <v>2.0</v>
      </c>
      <c r="G1877" s="13">
        <v>693.61</v>
      </c>
      <c r="H1877" s="6">
        <v>0.15</v>
      </c>
      <c r="I1877" s="6" t="s">
        <v>1967</v>
      </c>
      <c r="J1877" s="13">
        <v>1179.137</v>
      </c>
      <c r="K1877" s="6" t="str">
        <f t="shared" si="1"/>
        <v>Average Earnings</v>
      </c>
    </row>
    <row r="1878" ht="14.25" customHeight="1">
      <c r="A1878" s="6" t="s">
        <v>3843</v>
      </c>
      <c r="B1878" s="17">
        <v>45801.0</v>
      </c>
      <c r="C1878" s="6" t="s">
        <v>1450</v>
      </c>
      <c r="D1878" s="6" t="s">
        <v>1788</v>
      </c>
      <c r="E1878" s="6" t="s">
        <v>1922</v>
      </c>
      <c r="F1878" s="6">
        <v>2.0</v>
      </c>
      <c r="G1878" s="13">
        <v>995.11</v>
      </c>
      <c r="H1878" s="6">
        <v>0.13</v>
      </c>
      <c r="I1878" s="6" t="s">
        <v>1967</v>
      </c>
      <c r="J1878" s="13">
        <v>1731.4914</v>
      </c>
      <c r="K1878" s="6" t="str">
        <f t="shared" si="1"/>
        <v>Average Earnings</v>
      </c>
    </row>
    <row r="1879" ht="14.25" customHeight="1">
      <c r="A1879" s="6" t="s">
        <v>3844</v>
      </c>
      <c r="B1879" s="17">
        <v>45749.0</v>
      </c>
      <c r="C1879" s="6" t="s">
        <v>1206</v>
      </c>
      <c r="D1879" s="6" t="s">
        <v>1650</v>
      </c>
      <c r="E1879" s="6" t="s">
        <v>1909</v>
      </c>
      <c r="F1879" s="6">
        <v>3.0</v>
      </c>
      <c r="G1879" s="13">
        <v>70.97</v>
      </c>
      <c r="H1879" s="6">
        <v>0.06</v>
      </c>
      <c r="I1879" s="6" t="s">
        <v>1973</v>
      </c>
      <c r="J1879" s="13">
        <v>200.1354</v>
      </c>
      <c r="K1879" s="6" t="str">
        <f t="shared" si="1"/>
        <v>Low Earnings</v>
      </c>
    </row>
    <row r="1880" ht="14.25" customHeight="1">
      <c r="A1880" s="6" t="s">
        <v>3845</v>
      </c>
      <c r="B1880" s="17">
        <v>45848.0</v>
      </c>
      <c r="C1880" s="6" t="s">
        <v>495</v>
      </c>
      <c r="D1880" s="6" t="s">
        <v>1630</v>
      </c>
      <c r="E1880" s="6" t="s">
        <v>1897</v>
      </c>
      <c r="F1880" s="6">
        <v>4.0</v>
      </c>
      <c r="G1880" s="13">
        <v>187.71</v>
      </c>
      <c r="H1880" s="6">
        <v>0.06</v>
      </c>
      <c r="I1880" s="6" t="s">
        <v>1973</v>
      </c>
      <c r="J1880" s="13">
        <v>705.7896</v>
      </c>
      <c r="K1880" s="6" t="str">
        <f t="shared" si="1"/>
        <v>Low Earnings</v>
      </c>
    </row>
    <row r="1881" ht="14.25" customHeight="1">
      <c r="A1881" s="6" t="s">
        <v>3846</v>
      </c>
      <c r="B1881" s="17">
        <v>45325.0</v>
      </c>
      <c r="C1881" s="6" t="s">
        <v>404</v>
      </c>
      <c r="D1881" s="6" t="s">
        <v>1837</v>
      </c>
      <c r="E1881" s="6" t="s">
        <v>1926</v>
      </c>
      <c r="F1881" s="6">
        <v>3.0</v>
      </c>
      <c r="G1881" s="13">
        <v>470.42</v>
      </c>
      <c r="H1881" s="6">
        <v>0.16</v>
      </c>
      <c r="I1881" s="6" t="s">
        <v>1965</v>
      </c>
      <c r="J1881" s="13">
        <v>1185.4584</v>
      </c>
      <c r="K1881" s="6" t="str">
        <f t="shared" si="1"/>
        <v>Average Earnings</v>
      </c>
    </row>
    <row r="1882" ht="14.25" customHeight="1">
      <c r="A1882" s="6" t="s">
        <v>3847</v>
      </c>
      <c r="B1882" s="17">
        <v>45932.0</v>
      </c>
      <c r="C1882" s="6" t="s">
        <v>1005</v>
      </c>
      <c r="D1882" s="6" t="s">
        <v>1846</v>
      </c>
      <c r="E1882" s="6" t="s">
        <v>1944</v>
      </c>
      <c r="F1882" s="6">
        <v>2.0</v>
      </c>
      <c r="G1882" s="13">
        <v>215.59</v>
      </c>
      <c r="H1882" s="6">
        <v>0.18</v>
      </c>
      <c r="I1882" s="6" t="s">
        <v>1965</v>
      </c>
      <c r="J1882" s="13">
        <v>353.5676</v>
      </c>
      <c r="K1882" s="6" t="str">
        <f t="shared" si="1"/>
        <v>Low Earnings</v>
      </c>
    </row>
    <row r="1883" ht="14.25" customHeight="1">
      <c r="A1883" s="6" t="s">
        <v>3848</v>
      </c>
      <c r="B1883" s="17">
        <v>45895.0</v>
      </c>
      <c r="C1883" s="6" t="s">
        <v>782</v>
      </c>
      <c r="D1883" s="6" t="s">
        <v>1864</v>
      </c>
      <c r="E1883" s="6" t="s">
        <v>1892</v>
      </c>
      <c r="F1883" s="6">
        <v>1.0</v>
      </c>
      <c r="G1883" s="13">
        <v>533.8</v>
      </c>
      <c r="H1883" s="6">
        <v>0.27</v>
      </c>
      <c r="I1883" s="6" t="s">
        <v>1973</v>
      </c>
      <c r="J1883" s="13">
        <v>389.674</v>
      </c>
      <c r="K1883" s="6" t="str">
        <f t="shared" si="1"/>
        <v>Low Earnings</v>
      </c>
    </row>
    <row r="1884" ht="14.25" customHeight="1">
      <c r="A1884" s="6" t="s">
        <v>3849</v>
      </c>
      <c r="B1884" s="17">
        <v>45614.0</v>
      </c>
      <c r="C1884" s="6" t="s">
        <v>343</v>
      </c>
      <c r="D1884" s="6" t="s">
        <v>1679</v>
      </c>
      <c r="E1884" s="6" t="s">
        <v>1906</v>
      </c>
      <c r="F1884" s="6">
        <v>2.0</v>
      </c>
      <c r="G1884" s="13">
        <v>732.67</v>
      </c>
      <c r="H1884" s="6">
        <v>0.24</v>
      </c>
      <c r="I1884" s="6" t="s">
        <v>1967</v>
      </c>
      <c r="J1884" s="13">
        <v>1113.6584</v>
      </c>
      <c r="K1884" s="6" t="str">
        <f t="shared" si="1"/>
        <v>Average Earnings</v>
      </c>
    </row>
    <row r="1885" ht="14.25" customHeight="1">
      <c r="A1885" s="6" t="s">
        <v>3850</v>
      </c>
      <c r="B1885" s="17">
        <v>45247.0</v>
      </c>
      <c r="C1885" s="6" t="s">
        <v>1520</v>
      </c>
      <c r="D1885" s="6" t="s">
        <v>1767</v>
      </c>
      <c r="E1885" s="6" t="s">
        <v>1937</v>
      </c>
      <c r="F1885" s="6">
        <v>4.0</v>
      </c>
      <c r="G1885" s="13">
        <v>106.48</v>
      </c>
      <c r="H1885" s="6">
        <v>0.1</v>
      </c>
      <c r="I1885" s="6" t="s">
        <v>1973</v>
      </c>
      <c r="J1885" s="13">
        <v>383.328</v>
      </c>
      <c r="K1885" s="6" t="str">
        <f t="shared" si="1"/>
        <v>Low Earnings</v>
      </c>
    </row>
    <row r="1886" ht="14.25" customHeight="1">
      <c r="A1886" s="6" t="s">
        <v>3851</v>
      </c>
      <c r="B1886" s="17">
        <v>45696.0</v>
      </c>
      <c r="C1886" s="6" t="s">
        <v>380</v>
      </c>
      <c r="D1886" s="6" t="s">
        <v>1758</v>
      </c>
      <c r="E1886" s="6" t="s">
        <v>1906</v>
      </c>
      <c r="F1886" s="6">
        <v>1.0</v>
      </c>
      <c r="G1886" s="13">
        <v>38.95</v>
      </c>
      <c r="H1886" s="6">
        <v>0.28</v>
      </c>
      <c r="I1886" s="6" t="s">
        <v>1965</v>
      </c>
      <c r="J1886" s="13">
        <v>28.044</v>
      </c>
      <c r="K1886" s="6" t="str">
        <f t="shared" si="1"/>
        <v>Low Earnings</v>
      </c>
    </row>
    <row r="1887" ht="14.25" customHeight="1">
      <c r="A1887" s="6" t="s">
        <v>3852</v>
      </c>
      <c r="B1887" s="17">
        <v>45294.0</v>
      </c>
      <c r="C1887" s="6" t="s">
        <v>1353</v>
      </c>
      <c r="D1887" s="6" t="s">
        <v>1876</v>
      </c>
      <c r="E1887" s="6" t="s">
        <v>1944</v>
      </c>
      <c r="F1887" s="6">
        <v>1.0</v>
      </c>
      <c r="G1887" s="13">
        <v>835.17</v>
      </c>
      <c r="H1887" s="6">
        <v>0.02</v>
      </c>
      <c r="I1887" s="6" t="s">
        <v>1973</v>
      </c>
      <c r="J1887" s="13">
        <v>818.4666</v>
      </c>
      <c r="K1887" s="6" t="str">
        <f t="shared" si="1"/>
        <v>Low Earnings</v>
      </c>
    </row>
    <row r="1888" ht="14.25" customHeight="1">
      <c r="A1888" s="6" t="s">
        <v>3853</v>
      </c>
      <c r="B1888" s="17">
        <v>45389.0</v>
      </c>
      <c r="C1888" s="6" t="s">
        <v>469</v>
      </c>
      <c r="D1888" s="6" t="s">
        <v>1837</v>
      </c>
      <c r="E1888" s="6" t="s">
        <v>1906</v>
      </c>
      <c r="F1888" s="6">
        <v>1.0</v>
      </c>
      <c r="G1888" s="13">
        <v>113.07</v>
      </c>
      <c r="H1888" s="6">
        <v>0.24</v>
      </c>
      <c r="I1888" s="6" t="s">
        <v>1965</v>
      </c>
      <c r="J1888" s="13">
        <v>85.9332</v>
      </c>
      <c r="K1888" s="6" t="str">
        <f t="shared" si="1"/>
        <v>Low Earnings</v>
      </c>
    </row>
    <row r="1889" ht="14.25" customHeight="1">
      <c r="A1889" s="6" t="s">
        <v>3854</v>
      </c>
      <c r="B1889" s="17">
        <v>45930.0</v>
      </c>
      <c r="C1889" s="6" t="s">
        <v>1453</v>
      </c>
      <c r="D1889" s="6" t="s">
        <v>1870</v>
      </c>
      <c r="E1889" s="6" t="s">
        <v>1934</v>
      </c>
      <c r="F1889" s="6">
        <v>2.0</v>
      </c>
      <c r="G1889" s="13">
        <v>451.33</v>
      </c>
      <c r="H1889" s="6">
        <v>0.23</v>
      </c>
      <c r="I1889" s="6" t="s">
        <v>1973</v>
      </c>
      <c r="J1889" s="13">
        <v>695.0482</v>
      </c>
      <c r="K1889" s="6" t="str">
        <f t="shared" si="1"/>
        <v>Low Earnings</v>
      </c>
    </row>
    <row r="1890" ht="14.25" customHeight="1">
      <c r="A1890" s="6" t="s">
        <v>3855</v>
      </c>
      <c r="B1890" s="17">
        <v>45456.0</v>
      </c>
      <c r="C1890" s="6" t="s">
        <v>1179</v>
      </c>
      <c r="D1890" s="6" t="s">
        <v>1846</v>
      </c>
      <c r="E1890" s="6" t="s">
        <v>1916</v>
      </c>
      <c r="F1890" s="6">
        <v>3.0</v>
      </c>
      <c r="G1890" s="13">
        <v>619.81</v>
      </c>
      <c r="H1890" s="6">
        <v>0.16</v>
      </c>
      <c r="I1890" s="6" t="s">
        <v>1973</v>
      </c>
      <c r="J1890" s="13">
        <v>1561.9212</v>
      </c>
      <c r="K1890" s="6" t="str">
        <f t="shared" si="1"/>
        <v>Average Earnings</v>
      </c>
    </row>
    <row r="1891" ht="14.25" customHeight="1">
      <c r="A1891" s="6" t="s">
        <v>3856</v>
      </c>
      <c r="B1891" s="17">
        <v>45869.0</v>
      </c>
      <c r="C1891" s="6" t="s">
        <v>1447</v>
      </c>
      <c r="D1891" s="6" t="s">
        <v>1682</v>
      </c>
      <c r="E1891" s="6" t="s">
        <v>1892</v>
      </c>
      <c r="F1891" s="6">
        <v>2.0</v>
      </c>
      <c r="G1891" s="13">
        <v>873.17</v>
      </c>
      <c r="H1891" s="6">
        <v>0.23</v>
      </c>
      <c r="I1891" s="6" t="s">
        <v>1967</v>
      </c>
      <c r="J1891" s="13">
        <v>1344.6818</v>
      </c>
      <c r="K1891" s="6" t="str">
        <f t="shared" si="1"/>
        <v>Average Earnings</v>
      </c>
    </row>
    <row r="1892" ht="14.25" customHeight="1">
      <c r="A1892" s="6" t="s">
        <v>3857</v>
      </c>
      <c r="B1892" s="17">
        <v>45577.0</v>
      </c>
      <c r="C1892" s="6" t="s">
        <v>59</v>
      </c>
      <c r="D1892" s="6" t="s">
        <v>1682</v>
      </c>
      <c r="E1892" s="6" t="s">
        <v>1950</v>
      </c>
      <c r="F1892" s="6">
        <v>2.0</v>
      </c>
      <c r="G1892" s="13">
        <v>350.12</v>
      </c>
      <c r="H1892" s="6">
        <v>0.12</v>
      </c>
      <c r="I1892" s="6" t="s">
        <v>1973</v>
      </c>
      <c r="J1892" s="13">
        <v>616.2112</v>
      </c>
      <c r="K1892" s="6" t="str">
        <f t="shared" si="1"/>
        <v>Low Earnings</v>
      </c>
    </row>
    <row r="1893" ht="14.25" customHeight="1">
      <c r="A1893" s="6" t="s">
        <v>3858</v>
      </c>
      <c r="B1893" s="17">
        <v>45713.0</v>
      </c>
      <c r="C1893" s="6" t="s">
        <v>389</v>
      </c>
      <c r="D1893" s="6" t="s">
        <v>1773</v>
      </c>
      <c r="E1893" s="6" t="s">
        <v>1919</v>
      </c>
      <c r="F1893" s="6">
        <v>4.0</v>
      </c>
      <c r="G1893" s="13">
        <v>46.97</v>
      </c>
      <c r="H1893" s="6">
        <v>0.26</v>
      </c>
      <c r="I1893" s="6" t="s">
        <v>1967</v>
      </c>
      <c r="J1893" s="13">
        <v>139.0312</v>
      </c>
      <c r="K1893" s="6" t="str">
        <f t="shared" si="1"/>
        <v>Low Earnings</v>
      </c>
    </row>
    <row r="1894" ht="14.25" customHeight="1">
      <c r="A1894" s="6" t="s">
        <v>3859</v>
      </c>
      <c r="B1894" s="17">
        <v>45784.0</v>
      </c>
      <c r="C1894" s="6" t="s">
        <v>619</v>
      </c>
      <c r="D1894" s="6" t="s">
        <v>1723</v>
      </c>
      <c r="E1894" s="6" t="s">
        <v>1901</v>
      </c>
      <c r="F1894" s="6">
        <v>2.0</v>
      </c>
      <c r="G1894" s="13">
        <v>71.48</v>
      </c>
      <c r="H1894" s="6">
        <v>0.14</v>
      </c>
      <c r="I1894" s="6" t="s">
        <v>1973</v>
      </c>
      <c r="J1894" s="13">
        <v>122.9456</v>
      </c>
      <c r="K1894" s="6" t="str">
        <f t="shared" si="1"/>
        <v>Low Earnings</v>
      </c>
    </row>
    <row r="1895" ht="14.25" customHeight="1">
      <c r="A1895" s="6" t="s">
        <v>3860</v>
      </c>
      <c r="B1895" s="17">
        <v>45812.0</v>
      </c>
      <c r="C1895" s="6" t="s">
        <v>12</v>
      </c>
      <c r="D1895" s="6" t="s">
        <v>1755</v>
      </c>
      <c r="E1895" s="6" t="s">
        <v>1953</v>
      </c>
      <c r="F1895" s="6">
        <v>2.0</v>
      </c>
      <c r="G1895" s="13">
        <v>404.08</v>
      </c>
      <c r="H1895" s="6">
        <v>0.07</v>
      </c>
      <c r="I1895" s="6" t="s">
        <v>1965</v>
      </c>
      <c r="J1895" s="13">
        <v>751.5887999999999</v>
      </c>
      <c r="K1895" s="6" t="str">
        <f t="shared" si="1"/>
        <v>Low Earnings</v>
      </c>
    </row>
    <row r="1896" ht="14.25" customHeight="1">
      <c r="A1896" s="6" t="s">
        <v>3861</v>
      </c>
      <c r="B1896" s="17">
        <v>45653.0</v>
      </c>
      <c r="C1896" s="6" t="s">
        <v>857</v>
      </c>
      <c r="D1896" s="6" t="s">
        <v>1630</v>
      </c>
      <c r="E1896" s="6" t="s">
        <v>1944</v>
      </c>
      <c r="F1896" s="6">
        <v>1.0</v>
      </c>
      <c r="G1896" s="13">
        <v>519.91</v>
      </c>
      <c r="H1896" s="6">
        <v>0.05</v>
      </c>
      <c r="I1896" s="6" t="s">
        <v>1973</v>
      </c>
      <c r="J1896" s="13">
        <v>493.9144999999999</v>
      </c>
      <c r="K1896" s="6" t="str">
        <f t="shared" si="1"/>
        <v>Low Earnings</v>
      </c>
    </row>
    <row r="1897" ht="14.25" customHeight="1">
      <c r="A1897" s="6" t="s">
        <v>3862</v>
      </c>
      <c r="B1897" s="17">
        <v>45672.0</v>
      </c>
      <c r="C1897" s="6" t="s">
        <v>501</v>
      </c>
      <c r="D1897" s="6" t="s">
        <v>1730</v>
      </c>
      <c r="E1897" s="6" t="s">
        <v>1937</v>
      </c>
      <c r="F1897" s="6">
        <v>3.0</v>
      </c>
      <c r="G1897" s="13">
        <v>566.16</v>
      </c>
      <c r="H1897" s="6">
        <v>0.05</v>
      </c>
      <c r="I1897" s="6" t="s">
        <v>1967</v>
      </c>
      <c r="J1897" s="13">
        <v>1613.556</v>
      </c>
      <c r="K1897" s="6" t="str">
        <f t="shared" si="1"/>
        <v>Average Earnings</v>
      </c>
    </row>
    <row r="1898" ht="14.25" customHeight="1">
      <c r="A1898" s="6" t="s">
        <v>3863</v>
      </c>
      <c r="B1898" s="17">
        <v>45799.0</v>
      </c>
      <c r="C1898" s="6" t="s">
        <v>1239</v>
      </c>
      <c r="D1898" s="6" t="s">
        <v>1743</v>
      </c>
      <c r="E1898" s="6" t="s">
        <v>1929</v>
      </c>
      <c r="F1898" s="6">
        <v>2.0</v>
      </c>
      <c r="G1898" s="13">
        <v>295.12</v>
      </c>
      <c r="H1898" s="6">
        <v>0.09</v>
      </c>
      <c r="I1898" s="6" t="s">
        <v>1973</v>
      </c>
      <c r="J1898" s="13">
        <v>537.1184000000001</v>
      </c>
      <c r="K1898" s="6" t="str">
        <f t="shared" si="1"/>
        <v>Low Earnings</v>
      </c>
    </row>
    <row r="1899" ht="14.25" customHeight="1">
      <c r="A1899" s="6" t="s">
        <v>3864</v>
      </c>
      <c r="B1899" s="17">
        <v>45848.0</v>
      </c>
      <c r="C1899" s="6" t="s">
        <v>392</v>
      </c>
      <c r="D1899" s="6" t="s">
        <v>1685</v>
      </c>
      <c r="E1899" s="6" t="s">
        <v>1932</v>
      </c>
      <c r="F1899" s="6">
        <v>2.0</v>
      </c>
      <c r="G1899" s="13">
        <v>414.18</v>
      </c>
      <c r="H1899" s="6">
        <v>0.25</v>
      </c>
      <c r="I1899" s="6" t="s">
        <v>1967</v>
      </c>
      <c r="J1899" s="13">
        <v>621.27</v>
      </c>
      <c r="K1899" s="6" t="str">
        <f t="shared" si="1"/>
        <v>Low Earnings</v>
      </c>
    </row>
    <row r="1900" ht="14.25" customHeight="1">
      <c r="A1900" s="6" t="s">
        <v>3865</v>
      </c>
      <c r="B1900" s="17">
        <v>45918.0</v>
      </c>
      <c r="C1900" s="6" t="s">
        <v>869</v>
      </c>
      <c r="D1900" s="6" t="s">
        <v>1761</v>
      </c>
      <c r="E1900" s="6" t="s">
        <v>1922</v>
      </c>
      <c r="F1900" s="6">
        <v>2.0</v>
      </c>
      <c r="G1900" s="13">
        <v>433.75</v>
      </c>
      <c r="H1900" s="6">
        <v>0.0</v>
      </c>
      <c r="I1900" s="6" t="s">
        <v>1965</v>
      </c>
      <c r="J1900" s="13">
        <v>867.5</v>
      </c>
      <c r="K1900" s="6" t="str">
        <f t="shared" si="1"/>
        <v>Low Earnings</v>
      </c>
    </row>
    <row r="1901" ht="14.25" customHeight="1">
      <c r="A1901" s="6" t="s">
        <v>3866</v>
      </c>
      <c r="B1901" s="17">
        <v>45288.0</v>
      </c>
      <c r="C1901" s="6" t="s">
        <v>908</v>
      </c>
      <c r="D1901" s="6" t="s">
        <v>1843</v>
      </c>
      <c r="E1901" s="6" t="s">
        <v>1953</v>
      </c>
      <c r="F1901" s="6">
        <v>3.0</v>
      </c>
      <c r="G1901" s="13">
        <v>104.33</v>
      </c>
      <c r="H1901" s="6">
        <v>0.13</v>
      </c>
      <c r="I1901" s="6" t="s">
        <v>1973</v>
      </c>
      <c r="J1901" s="13">
        <v>272.3013</v>
      </c>
      <c r="K1901" s="6" t="str">
        <f t="shared" si="1"/>
        <v>Low Earnings</v>
      </c>
    </row>
    <row r="1902" ht="14.25" customHeight="1">
      <c r="A1902" s="6" t="s">
        <v>3867</v>
      </c>
      <c r="B1902" s="17">
        <v>45477.0</v>
      </c>
      <c r="C1902" s="6" t="s">
        <v>1447</v>
      </c>
      <c r="D1902" s="6" t="s">
        <v>1577</v>
      </c>
      <c r="E1902" s="6" t="s">
        <v>1934</v>
      </c>
      <c r="F1902" s="6">
        <v>1.0</v>
      </c>
      <c r="G1902" s="13">
        <v>221.7</v>
      </c>
      <c r="H1902" s="6">
        <v>0.04</v>
      </c>
      <c r="I1902" s="6" t="s">
        <v>1965</v>
      </c>
      <c r="J1902" s="13">
        <v>212.832</v>
      </c>
      <c r="K1902" s="6" t="str">
        <f t="shared" si="1"/>
        <v>Low Earnings</v>
      </c>
    </row>
    <row r="1903" ht="14.25" customHeight="1">
      <c r="A1903" s="6" t="s">
        <v>3868</v>
      </c>
      <c r="B1903" s="17">
        <v>45312.0</v>
      </c>
      <c r="C1903" s="6" t="s">
        <v>1279</v>
      </c>
      <c r="D1903" s="6" t="s">
        <v>1626</v>
      </c>
      <c r="E1903" s="6" t="s">
        <v>1897</v>
      </c>
      <c r="F1903" s="6">
        <v>4.0</v>
      </c>
      <c r="G1903" s="13">
        <v>102.19</v>
      </c>
      <c r="H1903" s="6">
        <v>0.17</v>
      </c>
      <c r="I1903" s="6" t="s">
        <v>1967</v>
      </c>
      <c r="J1903" s="13">
        <v>339.2708</v>
      </c>
      <c r="K1903" s="6" t="str">
        <f t="shared" si="1"/>
        <v>Low Earnings</v>
      </c>
    </row>
    <row r="1904" ht="14.25" customHeight="1">
      <c r="A1904" s="6" t="s">
        <v>3869</v>
      </c>
      <c r="B1904" s="17">
        <v>45796.0</v>
      </c>
      <c r="C1904" s="6" t="s">
        <v>699</v>
      </c>
      <c r="D1904" s="6" t="s">
        <v>1788</v>
      </c>
      <c r="E1904" s="6" t="s">
        <v>1913</v>
      </c>
      <c r="F1904" s="6">
        <v>2.0</v>
      </c>
      <c r="G1904" s="13">
        <v>491.26</v>
      </c>
      <c r="H1904" s="6">
        <v>0.14</v>
      </c>
      <c r="I1904" s="6" t="s">
        <v>1973</v>
      </c>
      <c r="J1904" s="13">
        <v>844.9671999999999</v>
      </c>
      <c r="K1904" s="6" t="str">
        <f t="shared" si="1"/>
        <v>Low Earnings</v>
      </c>
    </row>
    <row r="1905" ht="14.25" customHeight="1">
      <c r="A1905" s="6" t="s">
        <v>3870</v>
      </c>
      <c r="B1905" s="17">
        <v>45630.0</v>
      </c>
      <c r="C1905" s="6" t="s">
        <v>610</v>
      </c>
      <c r="D1905" s="6" t="s">
        <v>1694</v>
      </c>
      <c r="E1905" s="6" t="s">
        <v>1922</v>
      </c>
      <c r="F1905" s="6">
        <v>4.0</v>
      </c>
      <c r="G1905" s="13">
        <v>923.14</v>
      </c>
      <c r="H1905" s="6">
        <v>0.15</v>
      </c>
      <c r="I1905" s="6" t="s">
        <v>1965</v>
      </c>
      <c r="J1905" s="13">
        <v>3138.676</v>
      </c>
      <c r="K1905" s="6" t="str">
        <f t="shared" si="1"/>
        <v>High Earnings</v>
      </c>
    </row>
    <row r="1906" ht="14.25" customHeight="1">
      <c r="A1906" s="6" t="s">
        <v>3871</v>
      </c>
      <c r="B1906" s="17">
        <v>45625.0</v>
      </c>
      <c r="C1906" s="6" t="s">
        <v>646</v>
      </c>
      <c r="D1906" s="6" t="s">
        <v>1779</v>
      </c>
      <c r="E1906" s="6" t="s">
        <v>1919</v>
      </c>
      <c r="F1906" s="6">
        <v>2.0</v>
      </c>
      <c r="G1906" s="13">
        <v>747.65</v>
      </c>
      <c r="H1906" s="6">
        <v>0.08</v>
      </c>
      <c r="I1906" s="6" t="s">
        <v>1965</v>
      </c>
      <c r="J1906" s="13">
        <v>1375.676</v>
      </c>
      <c r="K1906" s="6" t="str">
        <f t="shared" si="1"/>
        <v>Average Earnings</v>
      </c>
    </row>
    <row r="1907" ht="14.25" customHeight="1">
      <c r="A1907" s="6" t="s">
        <v>3872</v>
      </c>
      <c r="B1907" s="17">
        <v>45773.0</v>
      </c>
      <c r="C1907" s="6" t="s">
        <v>392</v>
      </c>
      <c r="D1907" s="6" t="s">
        <v>1711</v>
      </c>
      <c r="E1907" s="6" t="s">
        <v>1919</v>
      </c>
      <c r="F1907" s="6">
        <v>3.0</v>
      </c>
      <c r="G1907" s="13">
        <v>94.55</v>
      </c>
      <c r="H1907" s="6">
        <v>0.13</v>
      </c>
      <c r="I1907" s="6" t="s">
        <v>1973</v>
      </c>
      <c r="J1907" s="13">
        <v>246.7755</v>
      </c>
      <c r="K1907" s="6" t="str">
        <f t="shared" si="1"/>
        <v>Low Earnings</v>
      </c>
    </row>
    <row r="1908" ht="14.25" customHeight="1">
      <c r="A1908" s="6" t="s">
        <v>3873</v>
      </c>
      <c r="B1908" s="17">
        <v>45308.0</v>
      </c>
      <c r="C1908" s="6" t="s">
        <v>161</v>
      </c>
      <c r="D1908" s="6" t="s">
        <v>1622</v>
      </c>
      <c r="E1908" s="6" t="s">
        <v>1953</v>
      </c>
      <c r="F1908" s="6">
        <v>3.0</v>
      </c>
      <c r="G1908" s="13">
        <v>620.12</v>
      </c>
      <c r="H1908" s="6">
        <v>0.06</v>
      </c>
      <c r="I1908" s="6" t="s">
        <v>1965</v>
      </c>
      <c r="J1908" s="13">
        <v>1748.7384</v>
      </c>
      <c r="K1908" s="6" t="str">
        <f t="shared" si="1"/>
        <v>Average Earnings</v>
      </c>
    </row>
    <row r="1909" ht="14.25" customHeight="1">
      <c r="A1909" s="6" t="s">
        <v>3874</v>
      </c>
      <c r="B1909" s="17">
        <v>45869.0</v>
      </c>
      <c r="C1909" s="6" t="s">
        <v>1511</v>
      </c>
      <c r="D1909" s="6" t="s">
        <v>1795</v>
      </c>
      <c r="E1909" s="6" t="s">
        <v>1916</v>
      </c>
      <c r="F1909" s="6">
        <v>2.0</v>
      </c>
      <c r="G1909" s="13">
        <v>354.09</v>
      </c>
      <c r="H1909" s="6">
        <v>0.12</v>
      </c>
      <c r="I1909" s="6" t="s">
        <v>1973</v>
      </c>
      <c r="J1909" s="13">
        <v>623.1984</v>
      </c>
      <c r="K1909" s="6" t="str">
        <f t="shared" si="1"/>
        <v>Low Earnings</v>
      </c>
    </row>
    <row r="1910" ht="14.25" customHeight="1">
      <c r="A1910" s="6" t="s">
        <v>3875</v>
      </c>
      <c r="B1910" s="17">
        <v>45621.0</v>
      </c>
      <c r="C1910" s="6" t="s">
        <v>456</v>
      </c>
      <c r="D1910" s="6" t="s">
        <v>1746</v>
      </c>
      <c r="E1910" s="6" t="s">
        <v>1913</v>
      </c>
      <c r="F1910" s="6">
        <v>3.0</v>
      </c>
      <c r="G1910" s="13">
        <v>214.94</v>
      </c>
      <c r="H1910" s="6">
        <v>0.22</v>
      </c>
      <c r="I1910" s="6" t="s">
        <v>1973</v>
      </c>
      <c r="J1910" s="13">
        <v>502.9596</v>
      </c>
      <c r="K1910" s="6" t="str">
        <f t="shared" si="1"/>
        <v>Low Earnings</v>
      </c>
    </row>
    <row r="1911" ht="14.25" customHeight="1">
      <c r="A1911" s="6" t="s">
        <v>3876</v>
      </c>
      <c r="B1911" s="17">
        <v>45428.0</v>
      </c>
      <c r="C1911" s="6" t="s">
        <v>663</v>
      </c>
      <c r="D1911" s="6" t="s">
        <v>1599</v>
      </c>
      <c r="E1911" s="6" t="s">
        <v>1934</v>
      </c>
      <c r="F1911" s="6">
        <v>2.0</v>
      </c>
      <c r="G1911" s="13">
        <v>309.78</v>
      </c>
      <c r="H1911" s="6">
        <v>0.16</v>
      </c>
      <c r="I1911" s="6" t="s">
        <v>1965</v>
      </c>
      <c r="J1911" s="13">
        <v>520.4304</v>
      </c>
      <c r="K1911" s="6" t="str">
        <f t="shared" si="1"/>
        <v>Low Earnings</v>
      </c>
    </row>
    <row r="1912" ht="14.25" customHeight="1">
      <c r="A1912" s="6" t="s">
        <v>3877</v>
      </c>
      <c r="B1912" s="17">
        <v>45807.0</v>
      </c>
      <c r="C1912" s="6" t="s">
        <v>263</v>
      </c>
      <c r="D1912" s="6" t="s">
        <v>1615</v>
      </c>
      <c r="E1912" s="6" t="s">
        <v>1906</v>
      </c>
      <c r="F1912" s="6">
        <v>2.0</v>
      </c>
      <c r="G1912" s="13">
        <v>183.85</v>
      </c>
      <c r="H1912" s="6">
        <v>0.14</v>
      </c>
      <c r="I1912" s="6" t="s">
        <v>1967</v>
      </c>
      <c r="J1912" s="13">
        <v>316.222</v>
      </c>
      <c r="K1912" s="6" t="str">
        <f t="shared" si="1"/>
        <v>Low Earnings</v>
      </c>
    </row>
    <row r="1913" ht="14.25" customHeight="1">
      <c r="A1913" s="6" t="s">
        <v>3878</v>
      </c>
      <c r="B1913" s="17">
        <v>45238.0</v>
      </c>
      <c r="C1913" s="6" t="s">
        <v>1288</v>
      </c>
      <c r="D1913" s="6" t="s">
        <v>1798</v>
      </c>
      <c r="E1913" s="6" t="s">
        <v>1892</v>
      </c>
      <c r="F1913" s="6">
        <v>1.0</v>
      </c>
      <c r="G1913" s="13">
        <v>550.06</v>
      </c>
      <c r="H1913" s="6">
        <v>0.01</v>
      </c>
      <c r="I1913" s="6" t="s">
        <v>1965</v>
      </c>
      <c r="J1913" s="13">
        <v>544.5594</v>
      </c>
      <c r="K1913" s="6" t="str">
        <f t="shared" si="1"/>
        <v>Low Earnings</v>
      </c>
    </row>
    <row r="1914" ht="14.25" customHeight="1">
      <c r="A1914" s="6" t="s">
        <v>3879</v>
      </c>
      <c r="B1914" s="17">
        <v>45350.0</v>
      </c>
      <c r="C1914" s="6" t="s">
        <v>47</v>
      </c>
      <c r="D1914" s="6" t="s">
        <v>1846</v>
      </c>
      <c r="E1914" s="6" t="s">
        <v>1909</v>
      </c>
      <c r="F1914" s="6">
        <v>1.0</v>
      </c>
      <c r="G1914" s="13">
        <v>696.53</v>
      </c>
      <c r="H1914" s="6">
        <v>0.17</v>
      </c>
      <c r="I1914" s="6" t="s">
        <v>1965</v>
      </c>
      <c r="J1914" s="13">
        <v>578.1198999999999</v>
      </c>
      <c r="K1914" s="6" t="str">
        <f t="shared" si="1"/>
        <v>Low Earnings</v>
      </c>
    </row>
    <row r="1915" ht="14.25" customHeight="1">
      <c r="A1915" s="6" t="s">
        <v>3880</v>
      </c>
      <c r="B1915" s="17">
        <v>45253.0</v>
      </c>
      <c r="C1915" s="6" t="s">
        <v>129</v>
      </c>
      <c r="D1915" s="6" t="s">
        <v>1825</v>
      </c>
      <c r="E1915" s="6" t="s">
        <v>1909</v>
      </c>
      <c r="F1915" s="6">
        <v>2.0</v>
      </c>
      <c r="G1915" s="13">
        <v>32.19</v>
      </c>
      <c r="H1915" s="6">
        <v>0.13</v>
      </c>
      <c r="I1915" s="6" t="s">
        <v>1973</v>
      </c>
      <c r="J1915" s="13">
        <v>56.0106</v>
      </c>
      <c r="K1915" s="6" t="str">
        <f t="shared" si="1"/>
        <v>Low Earnings</v>
      </c>
    </row>
    <row r="1916" ht="14.25" customHeight="1">
      <c r="A1916" s="6" t="s">
        <v>3881</v>
      </c>
      <c r="B1916" s="17">
        <v>45460.0</v>
      </c>
      <c r="C1916" s="6" t="s">
        <v>481</v>
      </c>
      <c r="D1916" s="6" t="s">
        <v>1682</v>
      </c>
      <c r="E1916" s="6" t="s">
        <v>1953</v>
      </c>
      <c r="F1916" s="6">
        <v>2.0</v>
      </c>
      <c r="G1916" s="13">
        <v>892.06</v>
      </c>
      <c r="H1916" s="6">
        <v>0.08</v>
      </c>
      <c r="I1916" s="6" t="s">
        <v>1965</v>
      </c>
      <c r="J1916" s="13">
        <v>1641.3904</v>
      </c>
      <c r="K1916" s="6" t="str">
        <f t="shared" si="1"/>
        <v>Average Earnings</v>
      </c>
    </row>
    <row r="1917" ht="14.25" customHeight="1">
      <c r="A1917" s="6" t="s">
        <v>3882</v>
      </c>
      <c r="B1917" s="17">
        <v>45628.0</v>
      </c>
      <c r="C1917" s="6" t="s">
        <v>1471</v>
      </c>
      <c r="D1917" s="6" t="s">
        <v>1761</v>
      </c>
      <c r="E1917" s="6" t="s">
        <v>1916</v>
      </c>
      <c r="F1917" s="6">
        <v>1.0</v>
      </c>
      <c r="G1917" s="13">
        <v>127.47</v>
      </c>
      <c r="H1917" s="6">
        <v>0.16</v>
      </c>
      <c r="I1917" s="6" t="s">
        <v>1973</v>
      </c>
      <c r="J1917" s="13">
        <v>107.0748</v>
      </c>
      <c r="K1917" s="6" t="str">
        <f t="shared" si="1"/>
        <v>Low Earnings</v>
      </c>
    </row>
    <row r="1918" ht="14.25" customHeight="1">
      <c r="A1918" s="6" t="s">
        <v>3883</v>
      </c>
      <c r="B1918" s="17">
        <v>45778.0</v>
      </c>
      <c r="C1918" s="6" t="s">
        <v>1227</v>
      </c>
      <c r="D1918" s="6" t="s">
        <v>1819</v>
      </c>
      <c r="E1918" s="6" t="s">
        <v>1939</v>
      </c>
      <c r="F1918" s="6">
        <v>3.0</v>
      </c>
      <c r="G1918" s="13">
        <v>212.87</v>
      </c>
      <c r="H1918" s="6">
        <v>0.18</v>
      </c>
      <c r="I1918" s="6" t="s">
        <v>1965</v>
      </c>
      <c r="J1918" s="13">
        <v>523.6602</v>
      </c>
      <c r="K1918" s="6" t="str">
        <f t="shared" si="1"/>
        <v>Low Earnings</v>
      </c>
    </row>
    <row r="1919" ht="14.25" customHeight="1">
      <c r="A1919" s="6" t="s">
        <v>3884</v>
      </c>
      <c r="B1919" s="17">
        <v>45471.0</v>
      </c>
      <c r="C1919" s="6" t="s">
        <v>610</v>
      </c>
      <c r="D1919" s="6" t="s">
        <v>1831</v>
      </c>
      <c r="E1919" s="6" t="s">
        <v>1919</v>
      </c>
      <c r="F1919" s="6">
        <v>1.0</v>
      </c>
      <c r="G1919" s="13">
        <v>26.37</v>
      </c>
      <c r="H1919" s="6">
        <v>0.3</v>
      </c>
      <c r="I1919" s="6" t="s">
        <v>1973</v>
      </c>
      <c r="J1919" s="13">
        <v>18.459</v>
      </c>
      <c r="K1919" s="6" t="str">
        <f t="shared" si="1"/>
        <v>Low Earnings</v>
      </c>
    </row>
    <row r="1920" ht="14.25" customHeight="1">
      <c r="A1920" s="6" t="s">
        <v>3885</v>
      </c>
      <c r="B1920" s="17">
        <v>45770.0</v>
      </c>
      <c r="C1920" s="6" t="s">
        <v>1453</v>
      </c>
      <c r="D1920" s="6" t="s">
        <v>1685</v>
      </c>
      <c r="E1920" s="6" t="s">
        <v>1950</v>
      </c>
      <c r="F1920" s="6">
        <v>4.0</v>
      </c>
      <c r="G1920" s="13">
        <v>953.98</v>
      </c>
      <c r="H1920" s="6">
        <v>0.16</v>
      </c>
      <c r="I1920" s="6" t="s">
        <v>1965</v>
      </c>
      <c r="J1920" s="13">
        <v>3205.3728</v>
      </c>
      <c r="K1920" s="6" t="str">
        <f t="shared" si="1"/>
        <v>High Earnings</v>
      </c>
    </row>
    <row r="1921" ht="14.25" customHeight="1">
      <c r="A1921" s="6" t="s">
        <v>3886</v>
      </c>
      <c r="B1921" s="17">
        <v>45369.0</v>
      </c>
      <c r="C1921" s="6" t="s">
        <v>711</v>
      </c>
      <c r="D1921" s="6" t="s">
        <v>1788</v>
      </c>
      <c r="E1921" s="6" t="s">
        <v>1953</v>
      </c>
      <c r="F1921" s="6">
        <v>3.0</v>
      </c>
      <c r="G1921" s="13">
        <v>968.88</v>
      </c>
      <c r="H1921" s="6">
        <v>0.15</v>
      </c>
      <c r="I1921" s="6" t="s">
        <v>1965</v>
      </c>
      <c r="J1921" s="13">
        <v>2470.644</v>
      </c>
      <c r="K1921" s="6" t="str">
        <f t="shared" si="1"/>
        <v>Average Earnings</v>
      </c>
    </row>
    <row r="1922" ht="14.25" customHeight="1">
      <c r="A1922" s="6" t="s">
        <v>3887</v>
      </c>
      <c r="B1922" s="17">
        <v>45910.0</v>
      </c>
      <c r="C1922" s="6" t="s">
        <v>628</v>
      </c>
      <c r="D1922" s="6" t="s">
        <v>1816</v>
      </c>
      <c r="E1922" s="6" t="s">
        <v>1950</v>
      </c>
      <c r="F1922" s="6">
        <v>1.0</v>
      </c>
      <c r="G1922" s="13">
        <v>533.05</v>
      </c>
      <c r="H1922" s="6">
        <v>0.11</v>
      </c>
      <c r="I1922" s="6" t="s">
        <v>1967</v>
      </c>
      <c r="J1922" s="13">
        <v>474.4145</v>
      </c>
      <c r="K1922" s="6" t="str">
        <f t="shared" si="1"/>
        <v>Low Earnings</v>
      </c>
    </row>
    <row r="1923" ht="14.25" customHeight="1">
      <c r="A1923" s="6" t="s">
        <v>3888</v>
      </c>
      <c r="B1923" s="17">
        <v>45637.0</v>
      </c>
      <c r="C1923" s="6" t="s">
        <v>1206</v>
      </c>
      <c r="D1923" s="6" t="s">
        <v>1831</v>
      </c>
      <c r="E1923" s="6" t="s">
        <v>1897</v>
      </c>
      <c r="F1923" s="6">
        <v>3.0</v>
      </c>
      <c r="G1923" s="13">
        <v>138.86</v>
      </c>
      <c r="H1923" s="6">
        <v>0.11</v>
      </c>
      <c r="I1923" s="6" t="s">
        <v>1967</v>
      </c>
      <c r="J1923" s="13">
        <v>370.7562</v>
      </c>
      <c r="K1923" s="6" t="str">
        <f t="shared" si="1"/>
        <v>Low Earnings</v>
      </c>
    </row>
    <row r="1924" ht="14.25" customHeight="1">
      <c r="A1924" s="6" t="s">
        <v>3889</v>
      </c>
      <c r="B1924" s="17">
        <v>45706.0</v>
      </c>
      <c r="C1924" s="6" t="s">
        <v>543</v>
      </c>
      <c r="D1924" s="6" t="s">
        <v>1647</v>
      </c>
      <c r="E1924" s="6" t="s">
        <v>1892</v>
      </c>
      <c r="F1924" s="6">
        <v>1.0</v>
      </c>
      <c r="G1924" s="13">
        <v>588.93</v>
      </c>
      <c r="H1924" s="6">
        <v>0.03</v>
      </c>
      <c r="I1924" s="6" t="s">
        <v>1973</v>
      </c>
      <c r="J1924" s="13">
        <v>571.2620999999999</v>
      </c>
      <c r="K1924" s="6" t="str">
        <f t="shared" si="1"/>
        <v>Low Earnings</v>
      </c>
    </row>
    <row r="1925" ht="14.25" customHeight="1">
      <c r="A1925" s="6" t="s">
        <v>3890</v>
      </c>
      <c r="B1925" s="17">
        <v>45657.0</v>
      </c>
      <c r="C1925" s="6" t="s">
        <v>249</v>
      </c>
      <c r="D1925" s="6" t="s">
        <v>1636</v>
      </c>
      <c r="E1925" s="6" t="s">
        <v>1909</v>
      </c>
      <c r="F1925" s="6">
        <v>2.0</v>
      </c>
      <c r="G1925" s="13">
        <v>327.52</v>
      </c>
      <c r="H1925" s="6">
        <v>0.15</v>
      </c>
      <c r="I1925" s="6" t="s">
        <v>1967</v>
      </c>
      <c r="J1925" s="13">
        <v>556.784</v>
      </c>
      <c r="K1925" s="6" t="str">
        <f t="shared" si="1"/>
        <v>Low Earnings</v>
      </c>
    </row>
    <row r="1926" ht="14.25" customHeight="1">
      <c r="A1926" s="6" t="s">
        <v>3891</v>
      </c>
      <c r="B1926" s="17">
        <v>45557.0</v>
      </c>
      <c r="C1926" s="6" t="s">
        <v>1270</v>
      </c>
      <c r="D1926" s="6" t="s">
        <v>1743</v>
      </c>
      <c r="E1926" s="6" t="s">
        <v>1913</v>
      </c>
      <c r="F1926" s="6">
        <v>2.0</v>
      </c>
      <c r="G1926" s="13">
        <v>576.83</v>
      </c>
      <c r="H1926" s="6">
        <v>0.19</v>
      </c>
      <c r="I1926" s="6" t="s">
        <v>1967</v>
      </c>
      <c r="J1926" s="13">
        <v>934.4646000000001</v>
      </c>
      <c r="K1926" s="6" t="str">
        <f t="shared" si="1"/>
        <v>Low Earnings</v>
      </c>
    </row>
    <row r="1927" ht="14.25" customHeight="1">
      <c r="A1927" s="6" t="s">
        <v>3892</v>
      </c>
      <c r="B1927" s="17">
        <v>45338.0</v>
      </c>
      <c r="C1927" s="6" t="s">
        <v>1032</v>
      </c>
      <c r="D1927" s="6" t="s">
        <v>1782</v>
      </c>
      <c r="E1927" s="6" t="s">
        <v>1934</v>
      </c>
      <c r="F1927" s="6">
        <v>1.0</v>
      </c>
      <c r="G1927" s="13">
        <v>681.3</v>
      </c>
      <c r="H1927" s="6">
        <v>0.05</v>
      </c>
      <c r="I1927" s="6" t="s">
        <v>1965</v>
      </c>
      <c r="J1927" s="13">
        <v>647.2349999999999</v>
      </c>
      <c r="K1927" s="6" t="str">
        <f t="shared" si="1"/>
        <v>Low Earnings</v>
      </c>
    </row>
    <row r="1928" ht="14.25" customHeight="1">
      <c r="A1928" s="6" t="s">
        <v>3893</v>
      </c>
      <c r="B1928" s="17">
        <v>45441.0</v>
      </c>
      <c r="C1928" s="6" t="s">
        <v>1427</v>
      </c>
      <c r="D1928" s="6" t="s">
        <v>1657</v>
      </c>
      <c r="E1928" s="6" t="s">
        <v>1941</v>
      </c>
      <c r="F1928" s="6">
        <v>3.0</v>
      </c>
      <c r="G1928" s="13">
        <v>504.97</v>
      </c>
      <c r="H1928" s="6">
        <v>0.3</v>
      </c>
      <c r="I1928" s="6" t="s">
        <v>1965</v>
      </c>
      <c r="J1928" s="13">
        <v>1060.437</v>
      </c>
      <c r="K1928" s="6" t="str">
        <f t="shared" si="1"/>
        <v>Average Earnings</v>
      </c>
    </row>
    <row r="1929" ht="14.25" customHeight="1">
      <c r="A1929" s="6" t="s">
        <v>3894</v>
      </c>
      <c r="B1929" s="17">
        <v>45396.0</v>
      </c>
      <c r="C1929" s="6" t="s">
        <v>232</v>
      </c>
      <c r="D1929" s="6" t="s">
        <v>1698</v>
      </c>
      <c r="E1929" s="6" t="s">
        <v>1932</v>
      </c>
      <c r="F1929" s="6">
        <v>3.0</v>
      </c>
      <c r="G1929" s="13">
        <v>649.78</v>
      </c>
      <c r="H1929" s="6">
        <v>0.1</v>
      </c>
      <c r="I1929" s="6" t="s">
        <v>1967</v>
      </c>
      <c r="J1929" s="13">
        <v>1754.406</v>
      </c>
      <c r="K1929" s="6" t="str">
        <f t="shared" si="1"/>
        <v>Average Earnings</v>
      </c>
    </row>
    <row r="1930" ht="14.25" customHeight="1">
      <c r="A1930" s="6" t="s">
        <v>3895</v>
      </c>
      <c r="B1930" s="17">
        <v>45317.0</v>
      </c>
      <c r="C1930" s="6" t="s">
        <v>800</v>
      </c>
      <c r="D1930" s="6" t="s">
        <v>1701</v>
      </c>
      <c r="E1930" s="6" t="s">
        <v>1926</v>
      </c>
      <c r="F1930" s="6">
        <v>2.0</v>
      </c>
      <c r="G1930" s="13">
        <v>986.73</v>
      </c>
      <c r="H1930" s="6">
        <v>0.05</v>
      </c>
      <c r="I1930" s="6" t="s">
        <v>1967</v>
      </c>
      <c r="J1930" s="13">
        <v>1874.787</v>
      </c>
      <c r="K1930" s="6" t="str">
        <f t="shared" si="1"/>
        <v>Average Earnings</v>
      </c>
    </row>
    <row r="1931" ht="14.25" customHeight="1">
      <c r="A1931" s="6" t="s">
        <v>3896</v>
      </c>
      <c r="B1931" s="17">
        <v>45235.0</v>
      </c>
      <c r="C1931" s="6" t="s">
        <v>422</v>
      </c>
      <c r="D1931" s="6" t="s">
        <v>1615</v>
      </c>
      <c r="E1931" s="6" t="s">
        <v>1941</v>
      </c>
      <c r="F1931" s="6">
        <v>2.0</v>
      </c>
      <c r="G1931" s="13">
        <v>65.44</v>
      </c>
      <c r="H1931" s="6">
        <v>0.05</v>
      </c>
      <c r="I1931" s="6" t="s">
        <v>1967</v>
      </c>
      <c r="J1931" s="13">
        <v>124.336</v>
      </c>
      <c r="K1931" s="6" t="str">
        <f t="shared" si="1"/>
        <v>Low Earnings</v>
      </c>
    </row>
    <row r="1932" ht="14.25" customHeight="1">
      <c r="A1932" s="6" t="s">
        <v>3897</v>
      </c>
      <c r="B1932" s="17">
        <v>45824.0</v>
      </c>
      <c r="C1932" s="6" t="s">
        <v>1212</v>
      </c>
      <c r="D1932" s="6" t="s">
        <v>1776</v>
      </c>
      <c r="E1932" s="6" t="s">
        <v>1937</v>
      </c>
      <c r="F1932" s="6">
        <v>3.0</v>
      </c>
      <c r="G1932" s="13">
        <v>953.74</v>
      </c>
      <c r="H1932" s="6">
        <v>0.04</v>
      </c>
      <c r="I1932" s="6" t="s">
        <v>1965</v>
      </c>
      <c r="J1932" s="13">
        <v>2746.7712</v>
      </c>
      <c r="K1932" s="6" t="str">
        <f t="shared" si="1"/>
        <v>High Earnings</v>
      </c>
    </row>
    <row r="1933" ht="14.25" customHeight="1">
      <c r="A1933" s="6" t="s">
        <v>3898</v>
      </c>
      <c r="B1933" s="17">
        <v>45543.0</v>
      </c>
      <c r="C1933" s="6" t="s">
        <v>255</v>
      </c>
      <c r="D1933" s="6" t="s">
        <v>1816</v>
      </c>
      <c r="E1933" s="6" t="s">
        <v>1929</v>
      </c>
      <c r="F1933" s="6">
        <v>3.0</v>
      </c>
      <c r="G1933" s="13">
        <v>904.48</v>
      </c>
      <c r="H1933" s="6">
        <v>0.21</v>
      </c>
      <c r="I1933" s="6" t="s">
        <v>1967</v>
      </c>
      <c r="J1933" s="13">
        <v>2143.6176</v>
      </c>
      <c r="K1933" s="6" t="str">
        <f t="shared" si="1"/>
        <v>Average Earnings</v>
      </c>
    </row>
    <row r="1934" ht="14.25" customHeight="1">
      <c r="A1934" s="6" t="s">
        <v>3899</v>
      </c>
      <c r="B1934" s="17">
        <v>45595.0</v>
      </c>
      <c r="C1934" s="6" t="s">
        <v>1529</v>
      </c>
      <c r="D1934" s="6" t="s">
        <v>1773</v>
      </c>
      <c r="E1934" s="6" t="s">
        <v>1941</v>
      </c>
      <c r="F1934" s="6">
        <v>3.0</v>
      </c>
      <c r="G1934" s="13">
        <v>920.82</v>
      </c>
      <c r="H1934" s="6">
        <v>0.1</v>
      </c>
      <c r="I1934" s="6" t="s">
        <v>1967</v>
      </c>
      <c r="J1934" s="13">
        <v>2486.214</v>
      </c>
      <c r="K1934" s="6" t="str">
        <f t="shared" si="1"/>
        <v>Average Earnings</v>
      </c>
    </row>
    <row r="1935" ht="14.25" customHeight="1">
      <c r="A1935" s="6" t="s">
        <v>3900</v>
      </c>
      <c r="B1935" s="17">
        <v>45803.0</v>
      </c>
      <c r="C1935" s="6" t="s">
        <v>978</v>
      </c>
      <c r="D1935" s="6" t="s">
        <v>1666</v>
      </c>
      <c r="E1935" s="6" t="s">
        <v>1897</v>
      </c>
      <c r="F1935" s="6">
        <v>1.0</v>
      </c>
      <c r="G1935" s="13">
        <v>182.28</v>
      </c>
      <c r="H1935" s="6">
        <v>0.15</v>
      </c>
      <c r="I1935" s="6" t="s">
        <v>1973</v>
      </c>
      <c r="J1935" s="13">
        <v>154.938</v>
      </c>
      <c r="K1935" s="6" t="str">
        <f t="shared" si="1"/>
        <v>Low Earnings</v>
      </c>
    </row>
    <row r="1936" ht="14.25" customHeight="1">
      <c r="A1936" s="6" t="s">
        <v>3901</v>
      </c>
      <c r="B1936" s="17">
        <v>45530.0</v>
      </c>
      <c r="C1936" s="6" t="s">
        <v>957</v>
      </c>
      <c r="D1936" s="6" t="s">
        <v>1879</v>
      </c>
      <c r="E1936" s="6" t="s">
        <v>1953</v>
      </c>
      <c r="F1936" s="6">
        <v>2.0</v>
      </c>
      <c r="G1936" s="13">
        <v>569.36</v>
      </c>
      <c r="H1936" s="6">
        <v>0.01</v>
      </c>
      <c r="I1936" s="6" t="s">
        <v>1967</v>
      </c>
      <c r="J1936" s="13">
        <f>F1936*G1936*(1-H1936)</f>
        <v>1127.3328</v>
      </c>
      <c r="K1936" s="6" t="str">
        <f t="shared" si="1"/>
        <v>Average Earnings</v>
      </c>
    </row>
    <row r="1937" ht="14.25" customHeight="1">
      <c r="A1937" s="6" t="s">
        <v>3902</v>
      </c>
      <c r="B1937" s="17">
        <v>45880.0</v>
      </c>
      <c r="C1937" s="6" t="s">
        <v>1393</v>
      </c>
      <c r="D1937" s="6" t="s">
        <v>1675</v>
      </c>
      <c r="E1937" s="6" t="s">
        <v>1944</v>
      </c>
      <c r="F1937" s="6">
        <v>3.0</v>
      </c>
      <c r="G1937" s="13">
        <v>938.68</v>
      </c>
      <c r="H1937" s="6">
        <v>0.14</v>
      </c>
      <c r="I1937" s="6" t="s">
        <v>1965</v>
      </c>
      <c r="J1937" s="13">
        <v>2421.7944</v>
      </c>
      <c r="K1937" s="6" t="str">
        <f t="shared" si="1"/>
        <v>Average Earnings</v>
      </c>
    </row>
    <row r="1938" ht="14.25" customHeight="1">
      <c r="A1938" s="6" t="s">
        <v>3903</v>
      </c>
      <c r="B1938" s="17">
        <v>45690.0</v>
      </c>
      <c r="C1938" s="6" t="s">
        <v>303</v>
      </c>
      <c r="D1938" s="6" t="s">
        <v>1861</v>
      </c>
      <c r="E1938" s="6" t="s">
        <v>1913</v>
      </c>
      <c r="F1938" s="6">
        <v>3.0</v>
      </c>
      <c r="G1938" s="13">
        <v>219.96</v>
      </c>
      <c r="H1938" s="6">
        <v>0.18</v>
      </c>
      <c r="I1938" s="6" t="s">
        <v>1967</v>
      </c>
      <c r="J1938" s="13">
        <v>541.1016000000001</v>
      </c>
      <c r="K1938" s="6" t="str">
        <f t="shared" si="1"/>
        <v>Low Earnings</v>
      </c>
    </row>
    <row r="1939" ht="14.25" customHeight="1">
      <c r="A1939" s="6" t="s">
        <v>3904</v>
      </c>
      <c r="B1939" s="17">
        <v>45841.0</v>
      </c>
      <c r="C1939" s="6" t="s">
        <v>1474</v>
      </c>
      <c r="D1939" s="6" t="s">
        <v>1801</v>
      </c>
      <c r="E1939" s="6" t="s">
        <v>1950</v>
      </c>
      <c r="F1939" s="6">
        <v>3.0</v>
      </c>
      <c r="G1939" s="13">
        <v>385.74</v>
      </c>
      <c r="H1939" s="6">
        <v>0.27</v>
      </c>
      <c r="I1939" s="6" t="s">
        <v>1965</v>
      </c>
      <c r="J1939" s="13">
        <v>844.7706</v>
      </c>
      <c r="K1939" s="6" t="str">
        <f t="shared" si="1"/>
        <v>Low Earnings</v>
      </c>
    </row>
    <row r="1940" ht="14.25" customHeight="1">
      <c r="A1940" s="6" t="s">
        <v>3905</v>
      </c>
      <c r="B1940" s="17">
        <v>45380.0</v>
      </c>
      <c r="C1940" s="6" t="s">
        <v>1416</v>
      </c>
      <c r="D1940" s="6" t="s">
        <v>1831</v>
      </c>
      <c r="E1940" s="6" t="s">
        <v>1950</v>
      </c>
      <c r="F1940" s="6">
        <v>2.0</v>
      </c>
      <c r="G1940" s="13">
        <v>830.94</v>
      </c>
      <c r="H1940" s="6">
        <v>0.28</v>
      </c>
      <c r="I1940" s="6" t="s">
        <v>1967</v>
      </c>
      <c r="J1940" s="13">
        <v>1196.5536</v>
      </c>
      <c r="K1940" s="6" t="str">
        <f t="shared" si="1"/>
        <v>Average Earnings</v>
      </c>
    </row>
    <row r="1941" ht="14.25" customHeight="1">
      <c r="A1941" s="6" t="s">
        <v>3906</v>
      </c>
      <c r="B1941" s="17">
        <v>45503.0</v>
      </c>
      <c r="C1941" s="6" t="s">
        <v>1212</v>
      </c>
      <c r="D1941" s="6" t="s">
        <v>1574</v>
      </c>
      <c r="E1941" s="6" t="s">
        <v>1926</v>
      </c>
      <c r="F1941" s="6">
        <v>3.0</v>
      </c>
      <c r="G1941" s="13">
        <v>462.75</v>
      </c>
      <c r="H1941" s="6">
        <v>0.22</v>
      </c>
      <c r="I1941" s="6" t="s">
        <v>1967</v>
      </c>
      <c r="J1941" s="13">
        <v>1082.835</v>
      </c>
      <c r="K1941" s="6" t="str">
        <f t="shared" si="1"/>
        <v>Average Earnings</v>
      </c>
    </row>
    <row r="1942" ht="14.25" customHeight="1">
      <c r="A1942" s="6" t="s">
        <v>3907</v>
      </c>
      <c r="B1942" s="17">
        <v>45567.0</v>
      </c>
      <c r="C1942" s="6" t="s">
        <v>255</v>
      </c>
      <c r="D1942" s="6" t="s">
        <v>1618</v>
      </c>
      <c r="E1942" s="6" t="s">
        <v>1941</v>
      </c>
      <c r="F1942" s="6">
        <v>4.0</v>
      </c>
      <c r="G1942" s="13">
        <v>973.9</v>
      </c>
      <c r="H1942" s="6">
        <v>0.02</v>
      </c>
      <c r="I1942" s="6" t="s">
        <v>1973</v>
      </c>
      <c r="J1942" s="13">
        <v>3817.688</v>
      </c>
      <c r="K1942" s="6" t="str">
        <f t="shared" si="1"/>
        <v>High Earnings</v>
      </c>
    </row>
    <row r="1943" ht="14.25" customHeight="1">
      <c r="A1943" s="6" t="s">
        <v>3908</v>
      </c>
      <c r="B1943" s="17">
        <v>45600.0</v>
      </c>
      <c r="C1943" s="6" t="s">
        <v>486</v>
      </c>
      <c r="D1943" s="6" t="s">
        <v>1688</v>
      </c>
      <c r="E1943" s="6" t="s">
        <v>1897</v>
      </c>
      <c r="F1943" s="6">
        <v>2.0</v>
      </c>
      <c r="G1943" s="13">
        <v>157.18</v>
      </c>
      <c r="H1943" s="6">
        <v>0.15</v>
      </c>
      <c r="I1943" s="6" t="s">
        <v>1965</v>
      </c>
      <c r="J1943" s="13">
        <v>267.206</v>
      </c>
      <c r="K1943" s="6" t="str">
        <f t="shared" si="1"/>
        <v>Low Earnings</v>
      </c>
    </row>
    <row r="1944" ht="14.25" customHeight="1">
      <c r="A1944" s="6" t="s">
        <v>3909</v>
      </c>
      <c r="B1944" s="17">
        <v>45415.0</v>
      </c>
      <c r="C1944" s="6" t="s">
        <v>70</v>
      </c>
      <c r="D1944" s="6" t="s">
        <v>1807</v>
      </c>
      <c r="E1944" s="6" t="s">
        <v>1937</v>
      </c>
      <c r="F1944" s="6">
        <v>3.0</v>
      </c>
      <c r="G1944" s="13">
        <v>239.57</v>
      </c>
      <c r="H1944" s="6">
        <v>0.16</v>
      </c>
      <c r="I1944" s="6" t="s">
        <v>1965</v>
      </c>
      <c r="J1944" s="13">
        <v>603.7164</v>
      </c>
      <c r="K1944" s="6" t="str">
        <f t="shared" si="1"/>
        <v>Low Earnings</v>
      </c>
    </row>
    <row r="1945" ht="14.25" customHeight="1">
      <c r="A1945" s="6" t="s">
        <v>3910</v>
      </c>
      <c r="B1945" s="17">
        <v>45343.0</v>
      </c>
      <c r="C1945" s="6" t="s">
        <v>1044</v>
      </c>
      <c r="D1945" s="6" t="s">
        <v>1599</v>
      </c>
      <c r="E1945" s="6" t="s">
        <v>1944</v>
      </c>
      <c r="F1945" s="6">
        <v>4.0</v>
      </c>
      <c r="G1945" s="13">
        <v>583.21</v>
      </c>
      <c r="H1945" s="6">
        <v>0.2</v>
      </c>
      <c r="I1945" s="6" t="s">
        <v>1965</v>
      </c>
      <c r="J1945" s="13">
        <v>1866.272</v>
      </c>
      <c r="K1945" s="6" t="str">
        <f t="shared" si="1"/>
        <v>Average Earnings</v>
      </c>
    </row>
    <row r="1946" ht="14.25" customHeight="1">
      <c r="A1946" s="6" t="s">
        <v>3911</v>
      </c>
      <c r="B1946" s="17">
        <v>45399.0</v>
      </c>
      <c r="C1946" s="6" t="s">
        <v>1299</v>
      </c>
      <c r="D1946" s="6" t="s">
        <v>1831</v>
      </c>
      <c r="E1946" s="6" t="s">
        <v>1922</v>
      </c>
      <c r="F1946" s="6">
        <v>3.0</v>
      </c>
      <c r="G1946" s="13">
        <v>758.75</v>
      </c>
      <c r="H1946" s="6">
        <v>0.27</v>
      </c>
      <c r="I1946" s="6" t="s">
        <v>1967</v>
      </c>
      <c r="J1946" s="13">
        <v>1661.6625</v>
      </c>
      <c r="K1946" s="6" t="str">
        <f t="shared" si="1"/>
        <v>Average Earnings</v>
      </c>
    </row>
    <row r="1947" ht="14.25" customHeight="1">
      <c r="A1947" s="6" t="s">
        <v>3912</v>
      </c>
      <c r="B1947" s="17">
        <v>45556.0</v>
      </c>
      <c r="C1947" s="6" t="s">
        <v>1026</v>
      </c>
      <c r="D1947" s="6" t="s">
        <v>1885</v>
      </c>
      <c r="E1947" s="6" t="s">
        <v>1916</v>
      </c>
      <c r="F1947" s="6">
        <v>2.0</v>
      </c>
      <c r="G1947" s="13">
        <v>68.29</v>
      </c>
      <c r="H1947" s="6">
        <v>0.14</v>
      </c>
      <c r="I1947" s="6" t="s">
        <v>1973</v>
      </c>
      <c r="J1947" s="13">
        <v>117.4588</v>
      </c>
      <c r="K1947" s="6" t="str">
        <f t="shared" si="1"/>
        <v>Low Earnings</v>
      </c>
    </row>
    <row r="1948" ht="14.25" customHeight="1">
      <c r="A1948" s="6" t="s">
        <v>3913</v>
      </c>
      <c r="B1948" s="17">
        <v>45689.0</v>
      </c>
      <c r="C1948" s="6" t="s">
        <v>990</v>
      </c>
      <c r="D1948" s="6" t="s">
        <v>1770</v>
      </c>
      <c r="E1948" s="6" t="s">
        <v>1913</v>
      </c>
      <c r="F1948" s="6">
        <v>4.0</v>
      </c>
      <c r="G1948" s="13">
        <v>372.42</v>
      </c>
      <c r="H1948" s="6">
        <v>0.19</v>
      </c>
      <c r="I1948" s="6" t="s">
        <v>1965</v>
      </c>
      <c r="J1948" s="13">
        <v>1206.6408</v>
      </c>
      <c r="K1948" s="6" t="str">
        <f t="shared" si="1"/>
        <v>Average Earnings</v>
      </c>
    </row>
    <row r="1949" ht="14.25" customHeight="1">
      <c r="A1949" s="6" t="s">
        <v>3914</v>
      </c>
      <c r="B1949" s="17">
        <v>45699.0</v>
      </c>
      <c r="C1949" s="6" t="s">
        <v>528</v>
      </c>
      <c r="D1949" s="6" t="s">
        <v>1776</v>
      </c>
      <c r="E1949" s="6" t="s">
        <v>1953</v>
      </c>
      <c r="F1949" s="6">
        <v>4.0</v>
      </c>
      <c r="G1949" s="13">
        <v>286.28</v>
      </c>
      <c r="H1949" s="6">
        <v>0.28</v>
      </c>
      <c r="I1949" s="6" t="s">
        <v>1967</v>
      </c>
      <c r="J1949" s="13">
        <v>824.4863999999999</v>
      </c>
      <c r="K1949" s="6" t="str">
        <f t="shared" si="1"/>
        <v>Low Earnings</v>
      </c>
    </row>
    <row r="1950" ht="14.25" customHeight="1">
      <c r="A1950" s="6" t="s">
        <v>3915</v>
      </c>
      <c r="B1950" s="17">
        <v>45663.0</v>
      </c>
      <c r="C1950" s="6" t="s">
        <v>902</v>
      </c>
      <c r="D1950" s="6" t="s">
        <v>1807</v>
      </c>
      <c r="E1950" s="6" t="s">
        <v>1932</v>
      </c>
      <c r="F1950" s="6">
        <v>3.0</v>
      </c>
      <c r="G1950" s="13">
        <v>488.37</v>
      </c>
      <c r="H1950" s="6">
        <v>0.27</v>
      </c>
      <c r="I1950" s="6" t="s">
        <v>1973</v>
      </c>
      <c r="J1950" s="13">
        <v>1069.5303</v>
      </c>
      <c r="K1950" s="6" t="str">
        <f t="shared" si="1"/>
        <v>Average Earnings</v>
      </c>
    </row>
    <row r="1951" ht="14.25" customHeight="1">
      <c r="A1951" s="6" t="s">
        <v>3916</v>
      </c>
      <c r="B1951" s="17">
        <v>45377.0</v>
      </c>
      <c r="C1951" s="6" t="s">
        <v>1462</v>
      </c>
      <c r="D1951" s="6" t="s">
        <v>1849</v>
      </c>
      <c r="E1951" s="6" t="s">
        <v>1922</v>
      </c>
      <c r="F1951" s="6">
        <v>3.0</v>
      </c>
      <c r="G1951" s="13">
        <v>662.82</v>
      </c>
      <c r="H1951" s="6">
        <v>0.01</v>
      </c>
      <c r="I1951" s="6" t="s">
        <v>1973</v>
      </c>
      <c r="J1951" s="13">
        <v>1968.5754</v>
      </c>
      <c r="K1951" s="6" t="str">
        <f t="shared" si="1"/>
        <v>Average Earnings</v>
      </c>
    </row>
    <row r="1952" ht="14.25" customHeight="1">
      <c r="A1952" s="6" t="s">
        <v>3917</v>
      </c>
      <c r="B1952" s="17">
        <v>45412.0</v>
      </c>
      <c r="C1952" s="6" t="s">
        <v>1543</v>
      </c>
      <c r="D1952" s="6" t="s">
        <v>1585</v>
      </c>
      <c r="E1952" s="6" t="s">
        <v>1944</v>
      </c>
      <c r="F1952" s="6">
        <v>2.0</v>
      </c>
      <c r="G1952" s="13">
        <v>824.34</v>
      </c>
      <c r="H1952" s="6">
        <v>0.1</v>
      </c>
      <c r="I1952" s="6" t="s">
        <v>1973</v>
      </c>
      <c r="J1952" s="13">
        <v>1483.812</v>
      </c>
      <c r="K1952" s="6" t="str">
        <f t="shared" si="1"/>
        <v>Average Earnings</v>
      </c>
    </row>
    <row r="1953" ht="14.25" customHeight="1">
      <c r="A1953" s="6" t="s">
        <v>3918</v>
      </c>
      <c r="B1953" s="17">
        <v>45349.0</v>
      </c>
      <c r="C1953" s="6" t="s">
        <v>404</v>
      </c>
      <c r="D1953" s="6" t="s">
        <v>1764</v>
      </c>
      <c r="E1953" s="6" t="s">
        <v>1922</v>
      </c>
      <c r="F1953" s="6">
        <v>1.0</v>
      </c>
      <c r="G1953" s="13">
        <v>437.12</v>
      </c>
      <c r="H1953" s="6">
        <v>0.21</v>
      </c>
      <c r="I1953" s="6" t="s">
        <v>1965</v>
      </c>
      <c r="J1953" s="13">
        <v>345.3248</v>
      </c>
      <c r="K1953" s="6" t="str">
        <f t="shared" si="1"/>
        <v>Low Earnings</v>
      </c>
    </row>
    <row r="1954" ht="14.25" customHeight="1">
      <c r="A1954" s="6" t="s">
        <v>3919</v>
      </c>
      <c r="B1954" s="17">
        <v>45486.0</v>
      </c>
      <c r="C1954" s="6" t="s">
        <v>1134</v>
      </c>
      <c r="D1954" s="6" t="s">
        <v>1852</v>
      </c>
      <c r="E1954" s="6" t="s">
        <v>1916</v>
      </c>
      <c r="F1954" s="6">
        <v>3.0</v>
      </c>
      <c r="G1954" s="13">
        <v>23.37</v>
      </c>
      <c r="H1954" s="6">
        <v>0.15</v>
      </c>
      <c r="I1954" s="6" t="s">
        <v>1967</v>
      </c>
      <c r="J1954" s="13">
        <v>59.5935</v>
      </c>
      <c r="K1954" s="6" t="str">
        <f t="shared" si="1"/>
        <v>Low Earnings</v>
      </c>
    </row>
    <row r="1955" ht="14.25" customHeight="1">
      <c r="A1955" s="6" t="s">
        <v>3920</v>
      </c>
      <c r="B1955" s="17">
        <v>45761.0</v>
      </c>
      <c r="C1955" s="6" t="s">
        <v>628</v>
      </c>
      <c r="D1955" s="6" t="s">
        <v>1691</v>
      </c>
      <c r="E1955" s="6" t="s">
        <v>1922</v>
      </c>
      <c r="F1955" s="6">
        <v>1.0</v>
      </c>
      <c r="G1955" s="13">
        <v>579.69</v>
      </c>
      <c r="H1955" s="6">
        <v>0.02</v>
      </c>
      <c r="I1955" s="6" t="s">
        <v>1965</v>
      </c>
      <c r="J1955" s="13">
        <v>568.0962000000001</v>
      </c>
      <c r="K1955" s="6" t="str">
        <f t="shared" si="1"/>
        <v>Low Earnings</v>
      </c>
    </row>
    <row r="1956" ht="14.25" customHeight="1">
      <c r="A1956" s="6" t="s">
        <v>3921</v>
      </c>
      <c r="B1956" s="17">
        <v>45639.0</v>
      </c>
      <c r="C1956" s="6" t="s">
        <v>1350</v>
      </c>
      <c r="D1956" s="6" t="s">
        <v>1822</v>
      </c>
      <c r="E1956" s="6" t="s">
        <v>1939</v>
      </c>
      <c r="F1956" s="6">
        <v>3.0</v>
      </c>
      <c r="G1956" s="13">
        <v>240.51</v>
      </c>
      <c r="H1956" s="6">
        <v>0.07</v>
      </c>
      <c r="I1956" s="6" t="s">
        <v>1965</v>
      </c>
      <c r="J1956" s="13">
        <v>671.0228999999999</v>
      </c>
      <c r="K1956" s="6" t="str">
        <f t="shared" si="1"/>
        <v>Low Earnings</v>
      </c>
    </row>
    <row r="1957" ht="14.25" customHeight="1">
      <c r="A1957" s="6" t="s">
        <v>3922</v>
      </c>
      <c r="B1957" s="17">
        <v>45893.0</v>
      </c>
      <c r="C1957" s="6" t="s">
        <v>1209</v>
      </c>
      <c r="D1957" s="6" t="s">
        <v>1657</v>
      </c>
      <c r="E1957" s="6" t="s">
        <v>1939</v>
      </c>
      <c r="F1957" s="6">
        <v>2.0</v>
      </c>
      <c r="G1957" s="13">
        <v>855.4</v>
      </c>
      <c r="H1957" s="6">
        <v>0.08</v>
      </c>
      <c r="I1957" s="6" t="s">
        <v>1973</v>
      </c>
      <c r="J1957" s="13">
        <v>1573.936</v>
      </c>
      <c r="K1957" s="6" t="str">
        <f t="shared" si="1"/>
        <v>Average Earnings</v>
      </c>
    </row>
    <row r="1958" ht="14.25" customHeight="1">
      <c r="A1958" s="6" t="s">
        <v>3923</v>
      </c>
      <c r="B1958" s="17">
        <v>45523.0</v>
      </c>
      <c r="C1958" s="6" t="s">
        <v>797</v>
      </c>
      <c r="D1958" s="6" t="s">
        <v>1737</v>
      </c>
      <c r="E1958" s="6" t="s">
        <v>1929</v>
      </c>
      <c r="F1958" s="6">
        <v>1.0</v>
      </c>
      <c r="G1958" s="13">
        <v>842.9</v>
      </c>
      <c r="H1958" s="6">
        <v>0.06</v>
      </c>
      <c r="I1958" s="6" t="s">
        <v>1973</v>
      </c>
      <c r="J1958" s="13">
        <v>792.3259999999999</v>
      </c>
      <c r="K1958" s="6" t="str">
        <f t="shared" si="1"/>
        <v>Low Earnings</v>
      </c>
    </row>
    <row r="1959" ht="14.25" customHeight="1">
      <c r="A1959" s="6" t="s">
        <v>3924</v>
      </c>
      <c r="B1959" s="17">
        <v>45227.0</v>
      </c>
      <c r="C1959" s="6" t="s">
        <v>47</v>
      </c>
      <c r="D1959" s="6" t="s">
        <v>1858</v>
      </c>
      <c r="E1959" s="6" t="s">
        <v>1919</v>
      </c>
      <c r="F1959" s="6">
        <v>1.0</v>
      </c>
      <c r="G1959" s="13">
        <v>537.26</v>
      </c>
      <c r="H1959" s="6">
        <v>0.09</v>
      </c>
      <c r="I1959" s="6" t="s">
        <v>1965</v>
      </c>
      <c r="J1959" s="13">
        <v>488.9066</v>
      </c>
      <c r="K1959" s="6" t="str">
        <f t="shared" si="1"/>
        <v>Low Earnings</v>
      </c>
    </row>
    <row r="1960" ht="14.25" customHeight="1">
      <c r="A1960" s="6" t="s">
        <v>3925</v>
      </c>
      <c r="B1960" s="17">
        <v>45637.0</v>
      </c>
      <c r="C1960" s="6" t="s">
        <v>1215</v>
      </c>
      <c r="D1960" s="6" t="s">
        <v>1740</v>
      </c>
      <c r="E1960" s="6" t="s">
        <v>1929</v>
      </c>
      <c r="F1960" s="6">
        <v>3.0</v>
      </c>
      <c r="G1960" s="13">
        <v>918.26</v>
      </c>
      <c r="H1960" s="6">
        <v>0.17</v>
      </c>
      <c r="I1960" s="6" t="s">
        <v>1973</v>
      </c>
      <c r="J1960" s="13">
        <v>2286.4674</v>
      </c>
      <c r="K1960" s="6" t="str">
        <f t="shared" si="1"/>
        <v>Average Earnings</v>
      </c>
    </row>
    <row r="1961" ht="14.25" customHeight="1">
      <c r="A1961" s="6" t="s">
        <v>3926</v>
      </c>
      <c r="B1961" s="17">
        <v>45472.0</v>
      </c>
      <c r="C1961" s="6" t="s">
        <v>349</v>
      </c>
      <c r="D1961" s="6" t="s">
        <v>1585</v>
      </c>
      <c r="E1961" s="6" t="s">
        <v>1926</v>
      </c>
      <c r="F1961" s="6">
        <v>4.0</v>
      </c>
      <c r="G1961" s="13">
        <v>579.7</v>
      </c>
      <c r="H1961" s="6">
        <v>0.18</v>
      </c>
      <c r="I1961" s="6" t="s">
        <v>1967</v>
      </c>
      <c r="J1961" s="13">
        <v>1901.416</v>
      </c>
      <c r="K1961" s="6" t="str">
        <f t="shared" si="1"/>
        <v>Average Earnings</v>
      </c>
    </row>
    <row r="1962" ht="14.25" customHeight="1">
      <c r="A1962" s="6" t="s">
        <v>3927</v>
      </c>
      <c r="B1962" s="17">
        <v>45710.0</v>
      </c>
      <c r="C1962" s="6" t="s">
        <v>501</v>
      </c>
      <c r="D1962" s="6" t="s">
        <v>1714</v>
      </c>
      <c r="E1962" s="6" t="s">
        <v>1916</v>
      </c>
      <c r="F1962" s="6">
        <v>1.0</v>
      </c>
      <c r="G1962" s="13">
        <v>824.32</v>
      </c>
      <c r="H1962" s="6">
        <v>0.18</v>
      </c>
      <c r="I1962" s="6" t="s">
        <v>1965</v>
      </c>
      <c r="J1962" s="13">
        <v>675.9424000000001</v>
      </c>
      <c r="K1962" s="6" t="str">
        <f t="shared" si="1"/>
        <v>Low Earnings</v>
      </c>
    </row>
    <row r="1963" ht="14.25" customHeight="1">
      <c r="A1963" s="6" t="s">
        <v>3928</v>
      </c>
      <c r="B1963" s="17">
        <v>45682.0</v>
      </c>
      <c r="C1963" s="6" t="s">
        <v>392</v>
      </c>
      <c r="D1963" s="6" t="s">
        <v>1723</v>
      </c>
      <c r="E1963" s="6" t="s">
        <v>1941</v>
      </c>
      <c r="F1963" s="6">
        <v>4.0</v>
      </c>
      <c r="G1963" s="13">
        <v>614.99</v>
      </c>
      <c r="H1963" s="6">
        <v>0.16</v>
      </c>
      <c r="I1963" s="6" t="s">
        <v>1967</v>
      </c>
      <c r="J1963" s="13">
        <v>2066.3664</v>
      </c>
      <c r="K1963" s="6" t="str">
        <f t="shared" si="1"/>
        <v>Average Earnings</v>
      </c>
    </row>
    <row r="1964" ht="14.25" customHeight="1">
      <c r="A1964" s="6" t="s">
        <v>3929</v>
      </c>
      <c r="B1964" s="17">
        <v>45730.0</v>
      </c>
      <c r="C1964" s="6" t="s">
        <v>450</v>
      </c>
      <c r="D1964" s="6" t="s">
        <v>1773</v>
      </c>
      <c r="E1964" s="6" t="s">
        <v>1892</v>
      </c>
      <c r="F1964" s="6">
        <v>4.0</v>
      </c>
      <c r="G1964" s="13">
        <v>189.21</v>
      </c>
      <c r="H1964" s="6">
        <v>0.06</v>
      </c>
      <c r="I1964" s="6" t="s">
        <v>1973</v>
      </c>
      <c r="J1964" s="13">
        <v>711.4295999999999</v>
      </c>
      <c r="K1964" s="6" t="str">
        <f t="shared" si="1"/>
        <v>Low Earnings</v>
      </c>
    </row>
    <row r="1965" ht="14.25" customHeight="1">
      <c r="A1965" s="6" t="s">
        <v>3930</v>
      </c>
      <c r="B1965" s="17">
        <v>45629.0</v>
      </c>
      <c r="C1965" s="6" t="s">
        <v>528</v>
      </c>
      <c r="D1965" s="6" t="s">
        <v>1773</v>
      </c>
      <c r="E1965" s="6" t="s">
        <v>1939</v>
      </c>
      <c r="F1965" s="6">
        <v>2.0</v>
      </c>
      <c r="G1965" s="13">
        <v>233.33</v>
      </c>
      <c r="H1965" s="6">
        <v>0.05</v>
      </c>
      <c r="I1965" s="6" t="s">
        <v>1965</v>
      </c>
      <c r="J1965" s="13">
        <v>443.327</v>
      </c>
      <c r="K1965" s="6" t="str">
        <f t="shared" si="1"/>
        <v>Low Earnings</v>
      </c>
    </row>
    <row r="1966" ht="14.25" customHeight="1">
      <c r="A1966" s="6" t="s">
        <v>3931</v>
      </c>
      <c r="B1966" s="17">
        <v>45783.0</v>
      </c>
      <c r="C1966" s="6" t="s">
        <v>809</v>
      </c>
      <c r="D1966" s="6" t="s">
        <v>1701</v>
      </c>
      <c r="E1966" s="6" t="s">
        <v>1950</v>
      </c>
      <c r="F1966" s="6">
        <v>3.0</v>
      </c>
      <c r="G1966" s="13">
        <v>529.89</v>
      </c>
      <c r="H1966" s="6">
        <v>0.21</v>
      </c>
      <c r="I1966" s="6" t="s">
        <v>1965</v>
      </c>
      <c r="J1966" s="13">
        <v>1255.8393</v>
      </c>
      <c r="K1966" s="6" t="str">
        <f t="shared" si="1"/>
        <v>Average Earnings</v>
      </c>
    </row>
    <row r="1967" ht="14.25" customHeight="1">
      <c r="A1967" s="6" t="s">
        <v>3932</v>
      </c>
      <c r="B1967" s="17">
        <v>45518.0</v>
      </c>
      <c r="C1967" s="6" t="s">
        <v>1520</v>
      </c>
      <c r="D1967" s="6" t="s">
        <v>1864</v>
      </c>
      <c r="E1967" s="6" t="s">
        <v>1897</v>
      </c>
      <c r="F1967" s="6">
        <v>2.0</v>
      </c>
      <c r="G1967" s="13">
        <v>954.1</v>
      </c>
      <c r="H1967" s="6">
        <v>0.17</v>
      </c>
      <c r="I1967" s="6" t="s">
        <v>1967</v>
      </c>
      <c r="J1967" s="13">
        <v>1583.806</v>
      </c>
      <c r="K1967" s="6" t="str">
        <f t="shared" si="1"/>
        <v>Average Earnings</v>
      </c>
    </row>
    <row r="1968" ht="14.25" customHeight="1">
      <c r="A1968" s="6" t="s">
        <v>3933</v>
      </c>
      <c r="B1968" s="17">
        <v>45274.0</v>
      </c>
      <c r="C1968" s="6" t="s">
        <v>1032</v>
      </c>
      <c r="D1968" s="6" t="s">
        <v>1782</v>
      </c>
      <c r="E1968" s="6" t="s">
        <v>1919</v>
      </c>
      <c r="F1968" s="6">
        <v>1.0</v>
      </c>
      <c r="G1968" s="13">
        <v>370.04</v>
      </c>
      <c r="H1968" s="6">
        <v>0.04</v>
      </c>
      <c r="I1968" s="6" t="s">
        <v>1973</v>
      </c>
      <c r="J1968" s="13">
        <v>355.2384</v>
      </c>
      <c r="K1968" s="6" t="str">
        <f t="shared" si="1"/>
        <v>Low Earnings</v>
      </c>
    </row>
    <row r="1969" ht="14.25" customHeight="1">
      <c r="A1969" s="6" t="s">
        <v>3934</v>
      </c>
      <c r="B1969" s="17">
        <v>45587.0</v>
      </c>
      <c r="C1969" s="6" t="s">
        <v>926</v>
      </c>
      <c r="D1969" s="6" t="s">
        <v>1574</v>
      </c>
      <c r="E1969" s="6" t="s">
        <v>1906</v>
      </c>
      <c r="F1969" s="6">
        <v>3.0</v>
      </c>
      <c r="G1969" s="13">
        <v>751.94</v>
      </c>
      <c r="H1969" s="6">
        <v>0.26</v>
      </c>
      <c r="I1969" s="6" t="s">
        <v>1967</v>
      </c>
      <c r="J1969" s="13">
        <v>1669.3068</v>
      </c>
      <c r="K1969" s="6" t="str">
        <f t="shared" si="1"/>
        <v>Average Earnings</v>
      </c>
    </row>
    <row r="1970" ht="14.25" customHeight="1">
      <c r="A1970" s="6" t="s">
        <v>3935</v>
      </c>
      <c r="B1970" s="17">
        <v>45297.0</v>
      </c>
      <c r="C1970" s="6" t="s">
        <v>235</v>
      </c>
      <c r="D1970" s="6" t="s">
        <v>1876</v>
      </c>
      <c r="E1970" s="6" t="s">
        <v>1953</v>
      </c>
      <c r="F1970" s="6">
        <v>4.0</v>
      </c>
      <c r="G1970" s="13">
        <v>492.71</v>
      </c>
      <c r="H1970" s="6">
        <v>0.08</v>
      </c>
      <c r="I1970" s="6" t="s">
        <v>1965</v>
      </c>
      <c r="J1970" s="13">
        <v>1813.1728</v>
      </c>
      <c r="K1970" s="6" t="str">
        <f t="shared" si="1"/>
        <v>Average Earnings</v>
      </c>
    </row>
    <row r="1971" ht="14.25" customHeight="1">
      <c r="A1971" s="6" t="s">
        <v>3936</v>
      </c>
      <c r="B1971" s="17">
        <v>45530.0</v>
      </c>
      <c r="C1971" s="6" t="s">
        <v>905</v>
      </c>
      <c r="D1971" s="6" t="s">
        <v>1861</v>
      </c>
      <c r="E1971" s="6" t="s">
        <v>1937</v>
      </c>
      <c r="F1971" s="6">
        <v>4.0</v>
      </c>
      <c r="G1971" s="13">
        <v>853.26</v>
      </c>
      <c r="H1971" s="6">
        <v>0.24</v>
      </c>
      <c r="I1971" s="6" t="s">
        <v>1973</v>
      </c>
      <c r="J1971" s="13">
        <v>2593.9104</v>
      </c>
      <c r="K1971" s="6" t="str">
        <f t="shared" si="1"/>
        <v>High Earnings</v>
      </c>
    </row>
    <row r="1972" ht="14.25" customHeight="1">
      <c r="A1972" s="6" t="s">
        <v>3937</v>
      </c>
      <c r="B1972" s="17">
        <v>45740.0</v>
      </c>
      <c r="C1972" s="6" t="s">
        <v>1279</v>
      </c>
      <c r="D1972" s="6" t="s">
        <v>1574</v>
      </c>
      <c r="E1972" s="6" t="s">
        <v>1944</v>
      </c>
      <c r="F1972" s="6">
        <v>1.0</v>
      </c>
      <c r="G1972" s="13">
        <v>402.47</v>
      </c>
      <c r="H1972" s="6">
        <v>0.19</v>
      </c>
      <c r="I1972" s="6" t="s">
        <v>1967</v>
      </c>
      <c r="J1972" s="13">
        <v>326.0007000000001</v>
      </c>
      <c r="K1972" s="6" t="str">
        <f t="shared" si="1"/>
        <v>Low Earnings</v>
      </c>
    </row>
    <row r="1973" ht="14.25" customHeight="1">
      <c r="A1973" s="6" t="s">
        <v>3938</v>
      </c>
      <c r="B1973" s="17">
        <v>45311.0</v>
      </c>
      <c r="C1973" s="6" t="s">
        <v>1268</v>
      </c>
      <c r="D1973" s="6" t="s">
        <v>1749</v>
      </c>
      <c r="E1973" s="6" t="s">
        <v>1950</v>
      </c>
      <c r="F1973" s="6">
        <v>2.0</v>
      </c>
      <c r="G1973" s="13">
        <v>528.3</v>
      </c>
      <c r="H1973" s="6">
        <v>0.24</v>
      </c>
      <c r="I1973" s="6" t="s">
        <v>1965</v>
      </c>
      <c r="J1973" s="13">
        <v>803.016</v>
      </c>
      <c r="K1973" s="6" t="str">
        <f t="shared" si="1"/>
        <v>Low Earnings</v>
      </c>
    </row>
    <row r="1974" ht="14.25" customHeight="1">
      <c r="A1974" s="6" t="s">
        <v>3939</v>
      </c>
      <c r="B1974" s="17">
        <v>45667.0</v>
      </c>
      <c r="C1974" s="6" t="s">
        <v>1390</v>
      </c>
      <c r="D1974" s="6" t="s">
        <v>1604</v>
      </c>
      <c r="E1974" s="6" t="s">
        <v>1916</v>
      </c>
      <c r="F1974" s="6">
        <v>4.0</v>
      </c>
      <c r="G1974" s="13">
        <v>599.85</v>
      </c>
      <c r="H1974" s="6">
        <v>0.25</v>
      </c>
      <c r="I1974" s="6" t="s">
        <v>1965</v>
      </c>
      <c r="J1974" s="13">
        <v>1799.55</v>
      </c>
      <c r="K1974" s="6" t="str">
        <f t="shared" si="1"/>
        <v>Average Earnings</v>
      </c>
    </row>
    <row r="1975" ht="14.25" customHeight="1">
      <c r="A1975" s="6" t="s">
        <v>3940</v>
      </c>
      <c r="B1975" s="17">
        <v>45281.0</v>
      </c>
      <c r="C1975" s="6" t="s">
        <v>972</v>
      </c>
      <c r="D1975" s="6" t="s">
        <v>1626</v>
      </c>
      <c r="E1975" s="6" t="s">
        <v>1926</v>
      </c>
      <c r="F1975" s="6">
        <v>2.0</v>
      </c>
      <c r="G1975" s="13">
        <v>61.42</v>
      </c>
      <c r="H1975" s="6">
        <v>0.08</v>
      </c>
      <c r="I1975" s="6" t="s">
        <v>1967</v>
      </c>
      <c r="J1975" s="13">
        <v>113.0128</v>
      </c>
      <c r="K1975" s="6" t="str">
        <f t="shared" si="1"/>
        <v>Low Earnings</v>
      </c>
    </row>
    <row r="1976" ht="14.25" customHeight="1">
      <c r="A1976" s="6" t="s">
        <v>3941</v>
      </c>
      <c r="B1976" s="17">
        <v>45693.0</v>
      </c>
      <c r="C1976" s="6" t="s">
        <v>812</v>
      </c>
      <c r="D1976" s="6" t="s">
        <v>1636</v>
      </c>
      <c r="E1976" s="6" t="s">
        <v>1929</v>
      </c>
      <c r="F1976" s="6">
        <v>2.0</v>
      </c>
      <c r="G1976" s="13">
        <v>466.42</v>
      </c>
      <c r="H1976" s="6">
        <v>0.12</v>
      </c>
      <c r="I1976" s="6" t="s">
        <v>1967</v>
      </c>
      <c r="J1976" s="13">
        <v>820.8992000000001</v>
      </c>
      <c r="K1976" s="6" t="str">
        <f t="shared" si="1"/>
        <v>Low Earnings</v>
      </c>
    </row>
    <row r="1977" ht="14.25" customHeight="1">
      <c r="A1977" s="6" t="s">
        <v>3942</v>
      </c>
      <c r="B1977" s="17">
        <v>45857.0</v>
      </c>
      <c r="C1977" s="6" t="s">
        <v>361</v>
      </c>
      <c r="D1977" s="6" t="s">
        <v>1675</v>
      </c>
      <c r="E1977" s="6" t="s">
        <v>1913</v>
      </c>
      <c r="F1977" s="6">
        <v>4.0</v>
      </c>
      <c r="G1977" s="13">
        <v>540.69</v>
      </c>
      <c r="H1977" s="6">
        <v>0.09</v>
      </c>
      <c r="I1977" s="6" t="s">
        <v>1973</v>
      </c>
      <c r="J1977" s="13">
        <v>1968.1116</v>
      </c>
      <c r="K1977" s="6" t="str">
        <f t="shared" si="1"/>
        <v>Average Earnings</v>
      </c>
    </row>
    <row r="1978" ht="14.25" customHeight="1">
      <c r="A1978" s="6" t="s">
        <v>3943</v>
      </c>
      <c r="B1978" s="17">
        <v>45737.0</v>
      </c>
      <c r="C1978" s="6" t="s">
        <v>957</v>
      </c>
      <c r="D1978" s="6" t="s">
        <v>1636</v>
      </c>
      <c r="E1978" s="6" t="s">
        <v>1937</v>
      </c>
      <c r="F1978" s="6">
        <v>3.0</v>
      </c>
      <c r="G1978" s="13">
        <v>677.46</v>
      </c>
      <c r="H1978" s="6">
        <v>0.05</v>
      </c>
      <c r="I1978" s="6" t="s">
        <v>1965</v>
      </c>
      <c r="J1978" s="13">
        <v>1930.761</v>
      </c>
      <c r="K1978" s="6" t="str">
        <f t="shared" si="1"/>
        <v>Average Earnings</v>
      </c>
    </row>
    <row r="1979" ht="14.25" customHeight="1">
      <c r="A1979" s="6" t="s">
        <v>3944</v>
      </c>
      <c r="B1979" s="17">
        <v>45771.0</v>
      </c>
      <c r="C1979" s="6" t="s">
        <v>1047</v>
      </c>
      <c r="D1979" s="6" t="s">
        <v>1643</v>
      </c>
      <c r="E1979" s="6" t="s">
        <v>1897</v>
      </c>
      <c r="F1979" s="6">
        <v>3.0</v>
      </c>
      <c r="G1979" s="13">
        <v>614.63</v>
      </c>
      <c r="H1979" s="6">
        <v>0.06</v>
      </c>
      <c r="I1979" s="6" t="s">
        <v>1967</v>
      </c>
      <c r="J1979" s="13">
        <v>1733.2566</v>
      </c>
      <c r="K1979" s="6" t="str">
        <f t="shared" si="1"/>
        <v>Average Earnings</v>
      </c>
    </row>
    <row r="1980" ht="14.25" customHeight="1">
      <c r="A1980" s="6" t="s">
        <v>3945</v>
      </c>
      <c r="B1980" s="17">
        <v>45580.0</v>
      </c>
      <c r="C1980" s="6" t="s">
        <v>460</v>
      </c>
      <c r="D1980" s="6" t="s">
        <v>1755</v>
      </c>
      <c r="E1980" s="6" t="s">
        <v>1919</v>
      </c>
      <c r="F1980" s="6">
        <v>4.0</v>
      </c>
      <c r="G1980" s="13">
        <v>476.28</v>
      </c>
      <c r="H1980" s="6">
        <v>0.17</v>
      </c>
      <c r="I1980" s="6" t="s">
        <v>1965</v>
      </c>
      <c r="J1980" s="13">
        <v>1581.2496</v>
      </c>
      <c r="K1980" s="6" t="str">
        <f t="shared" si="1"/>
        <v>Average Earnings</v>
      </c>
    </row>
    <row r="1981" ht="14.25" customHeight="1">
      <c r="A1981" s="6" t="s">
        <v>3946</v>
      </c>
      <c r="B1981" s="17">
        <v>45272.0</v>
      </c>
      <c r="C1981" s="6" t="s">
        <v>761</v>
      </c>
      <c r="D1981" s="6" t="s">
        <v>1785</v>
      </c>
      <c r="E1981" s="6" t="s">
        <v>1922</v>
      </c>
      <c r="F1981" s="6">
        <v>4.0</v>
      </c>
      <c r="G1981" s="13">
        <v>649.52</v>
      </c>
      <c r="H1981" s="6">
        <v>0.11</v>
      </c>
      <c r="I1981" s="6" t="s">
        <v>1965</v>
      </c>
      <c r="J1981" s="13">
        <v>2312.2912</v>
      </c>
      <c r="K1981" s="6" t="str">
        <f t="shared" si="1"/>
        <v>Average Earnings</v>
      </c>
    </row>
    <row r="1982" ht="14.25" customHeight="1">
      <c r="A1982" s="6" t="s">
        <v>3947</v>
      </c>
      <c r="B1982" s="17">
        <v>45481.0</v>
      </c>
      <c r="C1982" s="6" t="s">
        <v>1393</v>
      </c>
      <c r="D1982" s="6" t="s">
        <v>1843</v>
      </c>
      <c r="E1982" s="6" t="s">
        <v>1922</v>
      </c>
      <c r="F1982" s="6">
        <v>2.0</v>
      </c>
      <c r="G1982" s="13">
        <v>943.93</v>
      </c>
      <c r="H1982" s="6">
        <v>0.22</v>
      </c>
      <c r="I1982" s="6" t="s">
        <v>1967</v>
      </c>
      <c r="J1982" s="13">
        <v>1472.5308</v>
      </c>
      <c r="K1982" s="6" t="str">
        <f t="shared" si="1"/>
        <v>Average Earnings</v>
      </c>
    </row>
    <row r="1983" ht="14.25" customHeight="1">
      <c r="A1983" s="6" t="s">
        <v>3948</v>
      </c>
      <c r="B1983" s="17">
        <v>45228.0</v>
      </c>
      <c r="C1983" s="6" t="s">
        <v>561</v>
      </c>
      <c r="D1983" s="6" t="s">
        <v>1675</v>
      </c>
      <c r="E1983" s="6" t="s">
        <v>1922</v>
      </c>
      <c r="F1983" s="6">
        <v>4.0</v>
      </c>
      <c r="G1983" s="13">
        <v>538.73</v>
      </c>
      <c r="H1983" s="6">
        <v>0.03</v>
      </c>
      <c r="I1983" s="6" t="s">
        <v>1965</v>
      </c>
      <c r="J1983" s="13">
        <v>2090.2724</v>
      </c>
      <c r="K1983" s="6" t="str">
        <f t="shared" si="1"/>
        <v>Average Earnings</v>
      </c>
    </row>
    <row r="1984" ht="14.25" customHeight="1">
      <c r="A1984" s="6" t="s">
        <v>3949</v>
      </c>
      <c r="B1984" s="17">
        <v>45432.0</v>
      </c>
      <c r="C1984" s="6" t="s">
        <v>326</v>
      </c>
      <c r="D1984" s="6" t="s">
        <v>1785</v>
      </c>
      <c r="E1984" s="6" t="s">
        <v>1922</v>
      </c>
      <c r="F1984" s="6">
        <v>2.0</v>
      </c>
      <c r="G1984" s="13">
        <v>853.93</v>
      </c>
      <c r="H1984" s="6">
        <v>0.01</v>
      </c>
      <c r="I1984" s="6" t="s">
        <v>1967</v>
      </c>
      <c r="J1984" s="13">
        <v>1690.7814</v>
      </c>
      <c r="K1984" s="6" t="str">
        <f t="shared" si="1"/>
        <v>Average Earnings</v>
      </c>
    </row>
    <row r="1985" ht="14.25" customHeight="1">
      <c r="A1985" s="6" t="s">
        <v>3950</v>
      </c>
      <c r="B1985" s="17">
        <v>45914.0</v>
      </c>
      <c r="C1985" s="6" t="s">
        <v>1526</v>
      </c>
      <c r="D1985" s="6" t="s">
        <v>1669</v>
      </c>
      <c r="E1985" s="6" t="s">
        <v>1909</v>
      </c>
      <c r="F1985" s="6">
        <v>4.0</v>
      </c>
      <c r="G1985" s="13">
        <v>465.42</v>
      </c>
      <c r="H1985" s="6">
        <v>0.26</v>
      </c>
      <c r="I1985" s="6" t="s">
        <v>1973</v>
      </c>
      <c r="J1985" s="13">
        <v>1377.6432</v>
      </c>
      <c r="K1985" s="6" t="str">
        <f t="shared" si="1"/>
        <v>Average Earnings</v>
      </c>
    </row>
    <row r="1986" ht="14.25" customHeight="1">
      <c r="A1986" s="6" t="s">
        <v>3951</v>
      </c>
      <c r="B1986" s="17">
        <v>45758.0</v>
      </c>
      <c r="C1986" s="6" t="s">
        <v>216</v>
      </c>
      <c r="D1986" s="6" t="s">
        <v>1565</v>
      </c>
      <c r="E1986" s="6" t="s">
        <v>1932</v>
      </c>
      <c r="F1986" s="6">
        <v>4.0</v>
      </c>
      <c r="G1986" s="13">
        <v>880.26</v>
      </c>
      <c r="H1986" s="6">
        <v>0.11</v>
      </c>
      <c r="I1986" s="6" t="s">
        <v>1973</v>
      </c>
      <c r="J1986" s="13">
        <v>3133.7256</v>
      </c>
      <c r="K1986" s="6" t="str">
        <f t="shared" si="1"/>
        <v>High Earnings</v>
      </c>
    </row>
    <row r="1987" ht="14.25" customHeight="1">
      <c r="A1987" s="6" t="s">
        <v>3952</v>
      </c>
      <c r="B1987" s="17">
        <v>45429.0</v>
      </c>
      <c r="C1987" s="6" t="s">
        <v>1503</v>
      </c>
      <c r="D1987" s="6" t="s">
        <v>1740</v>
      </c>
      <c r="E1987" s="6" t="s">
        <v>1932</v>
      </c>
      <c r="F1987" s="6">
        <v>3.0</v>
      </c>
      <c r="G1987" s="13">
        <v>461.02</v>
      </c>
      <c r="H1987" s="6">
        <v>0.29</v>
      </c>
      <c r="I1987" s="6" t="s">
        <v>1967</v>
      </c>
      <c r="J1987" s="13">
        <v>981.9725999999999</v>
      </c>
      <c r="K1987" s="6" t="str">
        <f t="shared" si="1"/>
        <v>Low Earnings</v>
      </c>
    </row>
    <row r="1988" ht="14.25" customHeight="1">
      <c r="A1988" s="6" t="s">
        <v>3953</v>
      </c>
      <c r="B1988" s="17">
        <v>45578.0</v>
      </c>
      <c r="C1988" s="6" t="s">
        <v>118</v>
      </c>
      <c r="D1988" s="6" t="s">
        <v>1657</v>
      </c>
      <c r="E1988" s="6" t="s">
        <v>1937</v>
      </c>
      <c r="F1988" s="6">
        <v>1.0</v>
      </c>
      <c r="G1988" s="13">
        <v>531.99</v>
      </c>
      <c r="H1988" s="6">
        <v>0.17</v>
      </c>
      <c r="I1988" s="6" t="s">
        <v>1967</v>
      </c>
      <c r="J1988" s="13">
        <v>441.5517</v>
      </c>
      <c r="K1988" s="6" t="str">
        <f t="shared" si="1"/>
        <v>Low Earnings</v>
      </c>
    </row>
    <row r="1989" ht="14.25" customHeight="1">
      <c r="A1989" s="6" t="s">
        <v>3954</v>
      </c>
      <c r="B1989" s="17">
        <v>45486.0</v>
      </c>
      <c r="C1989" s="6" t="s">
        <v>35</v>
      </c>
      <c r="D1989" s="6" t="s">
        <v>1726</v>
      </c>
      <c r="E1989" s="6" t="s">
        <v>1947</v>
      </c>
      <c r="F1989" s="6">
        <v>2.0</v>
      </c>
      <c r="G1989" s="13">
        <v>274.09</v>
      </c>
      <c r="H1989" s="6">
        <v>0.13</v>
      </c>
      <c r="I1989" s="6" t="s">
        <v>1967</v>
      </c>
      <c r="J1989" s="13">
        <v>476.9166</v>
      </c>
      <c r="K1989" s="6" t="str">
        <f t="shared" si="1"/>
        <v>Low Earnings</v>
      </c>
    </row>
    <row r="1990" ht="14.25" customHeight="1">
      <c r="A1990" s="6" t="s">
        <v>3955</v>
      </c>
      <c r="B1990" s="17">
        <v>45694.0</v>
      </c>
      <c r="C1990" s="6" t="s">
        <v>1387</v>
      </c>
      <c r="D1990" s="6" t="s">
        <v>1852</v>
      </c>
      <c r="E1990" s="6" t="s">
        <v>1929</v>
      </c>
      <c r="F1990" s="6">
        <v>1.0</v>
      </c>
      <c r="G1990" s="13">
        <v>66.14</v>
      </c>
      <c r="H1990" s="6">
        <v>0.14</v>
      </c>
      <c r="I1990" s="6" t="s">
        <v>1973</v>
      </c>
      <c r="J1990" s="13">
        <v>56.8804</v>
      </c>
      <c r="K1990" s="6" t="str">
        <f t="shared" si="1"/>
        <v>Low Earnings</v>
      </c>
    </row>
    <row r="1991" ht="14.25" customHeight="1">
      <c r="A1991" s="6" t="s">
        <v>3956</v>
      </c>
      <c r="B1991" s="17">
        <v>45479.0</v>
      </c>
      <c r="C1991" s="6" t="s">
        <v>1038</v>
      </c>
      <c r="D1991" s="6" t="s">
        <v>1749</v>
      </c>
      <c r="E1991" s="6" t="s">
        <v>1906</v>
      </c>
      <c r="F1991" s="6">
        <v>3.0</v>
      </c>
      <c r="G1991" s="13">
        <v>541.99</v>
      </c>
      <c r="H1991" s="6">
        <v>0.24</v>
      </c>
      <c r="I1991" s="6" t="s">
        <v>1973</v>
      </c>
      <c r="J1991" s="13">
        <v>1235.7372</v>
      </c>
      <c r="K1991" s="6" t="str">
        <f t="shared" si="1"/>
        <v>Average Earnings</v>
      </c>
    </row>
    <row r="1992" ht="14.25" customHeight="1">
      <c r="A1992" s="6" t="s">
        <v>3957</v>
      </c>
      <c r="B1992" s="17">
        <v>45875.0</v>
      </c>
      <c r="C1992" s="6" t="s">
        <v>289</v>
      </c>
      <c r="D1992" s="6" t="s">
        <v>1640</v>
      </c>
      <c r="E1992" s="6" t="s">
        <v>1926</v>
      </c>
      <c r="F1992" s="6">
        <v>3.0</v>
      </c>
      <c r="G1992" s="13">
        <v>955.82</v>
      </c>
      <c r="H1992" s="6">
        <v>0.16</v>
      </c>
      <c r="I1992" s="6" t="s">
        <v>1973</v>
      </c>
      <c r="J1992" s="13">
        <v>2408.6664</v>
      </c>
      <c r="K1992" s="6" t="str">
        <f t="shared" si="1"/>
        <v>Average Earnings</v>
      </c>
    </row>
    <row r="1993" ht="14.25" customHeight="1">
      <c r="A1993" s="6" t="s">
        <v>3958</v>
      </c>
      <c r="B1993" s="17">
        <v>45432.0</v>
      </c>
      <c r="C1993" s="6" t="s">
        <v>1020</v>
      </c>
      <c r="D1993" s="6" t="s">
        <v>1647</v>
      </c>
      <c r="E1993" s="6" t="s">
        <v>1934</v>
      </c>
      <c r="F1993" s="6">
        <v>1.0</v>
      </c>
      <c r="G1993" s="13">
        <v>904.92</v>
      </c>
      <c r="H1993" s="6">
        <v>0.13</v>
      </c>
      <c r="I1993" s="6" t="s">
        <v>1965</v>
      </c>
      <c r="J1993" s="13">
        <v>787.2804</v>
      </c>
      <c r="K1993" s="6" t="str">
        <f t="shared" si="1"/>
        <v>Low Earnings</v>
      </c>
    </row>
    <row r="1994" ht="14.25" customHeight="1">
      <c r="A1994" s="6" t="s">
        <v>3959</v>
      </c>
      <c r="B1994" s="17">
        <v>45575.0</v>
      </c>
      <c r="C1994" s="6" t="s">
        <v>12</v>
      </c>
      <c r="D1994" s="6" t="s">
        <v>1705</v>
      </c>
      <c r="E1994" s="6" t="s">
        <v>1919</v>
      </c>
      <c r="F1994" s="6">
        <v>3.0</v>
      </c>
      <c r="G1994" s="13">
        <v>490.02</v>
      </c>
      <c r="H1994" s="6">
        <v>0.26</v>
      </c>
      <c r="I1994" s="6" t="s">
        <v>1965</v>
      </c>
      <c r="J1994" s="13">
        <v>1087.8444</v>
      </c>
      <c r="K1994" s="6" t="str">
        <f t="shared" si="1"/>
        <v>Average Earnings</v>
      </c>
    </row>
    <row r="1995" ht="14.25" customHeight="1">
      <c r="A1995" s="6" t="s">
        <v>3960</v>
      </c>
      <c r="B1995" s="17">
        <v>45340.0</v>
      </c>
      <c r="C1995" s="6" t="s">
        <v>1152</v>
      </c>
      <c r="D1995" s="6" t="s">
        <v>1636</v>
      </c>
      <c r="E1995" s="6" t="s">
        <v>1916</v>
      </c>
      <c r="F1995" s="6">
        <v>2.0</v>
      </c>
      <c r="G1995" s="13">
        <v>957.54</v>
      </c>
      <c r="H1995" s="6">
        <v>0.1</v>
      </c>
      <c r="I1995" s="6" t="s">
        <v>1973</v>
      </c>
      <c r="J1995" s="13">
        <v>1723.572</v>
      </c>
      <c r="K1995" s="6" t="str">
        <f t="shared" si="1"/>
        <v>Average Earnings</v>
      </c>
    </row>
    <row r="1996" ht="14.25" customHeight="1">
      <c r="A1996" s="6" t="s">
        <v>3961</v>
      </c>
      <c r="B1996" s="17">
        <v>45926.0</v>
      </c>
      <c r="C1996" s="6" t="s">
        <v>1050</v>
      </c>
      <c r="D1996" s="6" t="s">
        <v>1885</v>
      </c>
      <c r="E1996" s="6" t="s">
        <v>1937</v>
      </c>
      <c r="F1996" s="6">
        <v>2.0</v>
      </c>
      <c r="G1996" s="13">
        <v>314.4</v>
      </c>
      <c r="H1996" s="6">
        <v>0.07</v>
      </c>
      <c r="I1996" s="6" t="s">
        <v>1967</v>
      </c>
      <c r="J1996" s="13">
        <v>584.7839999999999</v>
      </c>
      <c r="K1996" s="6" t="str">
        <f t="shared" si="1"/>
        <v>Low Earnings</v>
      </c>
    </row>
    <row r="1997" ht="14.25" customHeight="1">
      <c r="A1997" s="6" t="s">
        <v>3962</v>
      </c>
      <c r="B1997" s="17">
        <v>45373.0</v>
      </c>
      <c r="C1997" s="6" t="s">
        <v>1245</v>
      </c>
      <c r="D1997" s="6" t="s">
        <v>1653</v>
      </c>
      <c r="E1997" s="6" t="s">
        <v>1916</v>
      </c>
      <c r="F1997" s="6">
        <v>3.0</v>
      </c>
      <c r="G1997" s="13">
        <v>480.11</v>
      </c>
      <c r="H1997" s="6">
        <v>0.11</v>
      </c>
      <c r="I1997" s="6" t="s">
        <v>1967</v>
      </c>
      <c r="J1997" s="13">
        <v>1281.8937</v>
      </c>
      <c r="K1997" s="6" t="str">
        <f t="shared" si="1"/>
        <v>Average Earnings</v>
      </c>
    </row>
    <row r="1998" ht="14.25" customHeight="1">
      <c r="A1998" s="6" t="s">
        <v>3963</v>
      </c>
      <c r="B1998" s="17">
        <v>45579.0</v>
      </c>
      <c r="C1998" s="6" t="s">
        <v>1227</v>
      </c>
      <c r="D1998" s="6" t="s">
        <v>1730</v>
      </c>
      <c r="E1998" s="6" t="s">
        <v>1916</v>
      </c>
      <c r="F1998" s="6">
        <v>4.0</v>
      </c>
      <c r="G1998" s="13">
        <v>826.55</v>
      </c>
      <c r="H1998" s="6">
        <v>0.28</v>
      </c>
      <c r="I1998" s="6" t="s">
        <v>1965</v>
      </c>
      <c r="J1998" s="13">
        <v>2380.464</v>
      </c>
      <c r="K1998" s="6" t="str">
        <f t="shared" si="1"/>
        <v>Average Earnings</v>
      </c>
    </row>
    <row r="1999" ht="14.25" customHeight="1">
      <c r="A1999" s="6" t="s">
        <v>3964</v>
      </c>
      <c r="B1999" s="17">
        <v>45805.0</v>
      </c>
      <c r="C1999" s="6" t="s">
        <v>637</v>
      </c>
      <c r="D1999" s="6" t="s">
        <v>1663</v>
      </c>
      <c r="E1999" s="6" t="s">
        <v>1906</v>
      </c>
      <c r="F1999" s="6">
        <v>3.0</v>
      </c>
      <c r="G1999" s="13">
        <v>530.17</v>
      </c>
      <c r="H1999" s="6">
        <v>0.18</v>
      </c>
      <c r="I1999" s="6" t="s">
        <v>1967</v>
      </c>
      <c r="J1999" s="13">
        <v>1304.2182</v>
      </c>
      <c r="K1999" s="6" t="str">
        <f t="shared" si="1"/>
        <v>Average Earnings</v>
      </c>
    </row>
    <row r="2000" ht="14.25" customHeight="1">
      <c r="A2000" s="6" t="s">
        <v>3965</v>
      </c>
      <c r="B2000" s="17">
        <v>45522.0</v>
      </c>
      <c r="C2000" s="6" t="s">
        <v>1282</v>
      </c>
      <c r="D2000" s="6" t="s">
        <v>1685</v>
      </c>
      <c r="E2000" s="6" t="s">
        <v>1947</v>
      </c>
      <c r="F2000" s="6">
        <v>3.0</v>
      </c>
      <c r="G2000" s="13">
        <v>336.17</v>
      </c>
      <c r="H2000" s="6">
        <v>0.04</v>
      </c>
      <c r="I2000" s="6" t="s">
        <v>1973</v>
      </c>
      <c r="J2000" s="13">
        <v>968.1696</v>
      </c>
      <c r="K2000" s="6" t="str">
        <f t="shared" si="1"/>
        <v>Low Earnings</v>
      </c>
    </row>
    <row r="2001" ht="14.25" customHeight="1">
      <c r="A2001" s="6" t="s">
        <v>3966</v>
      </c>
      <c r="B2001" s="17">
        <v>45304.0</v>
      </c>
      <c r="C2001" s="6" t="s">
        <v>1323</v>
      </c>
      <c r="D2001" s="6" t="s">
        <v>1831</v>
      </c>
      <c r="E2001" s="6" t="s">
        <v>1922</v>
      </c>
      <c r="F2001" s="6">
        <v>4.0</v>
      </c>
      <c r="G2001" s="13">
        <v>22.51</v>
      </c>
      <c r="H2001" s="6">
        <v>0.27</v>
      </c>
      <c r="I2001" s="6" t="s">
        <v>1967</v>
      </c>
      <c r="J2001" s="13">
        <v>65.7292</v>
      </c>
      <c r="K2001" s="6" t="str">
        <f t="shared" si="1"/>
        <v>Low Earnings</v>
      </c>
    </row>
  </sheetData>
  <dataValidations>
    <dataValidation type="custom" allowBlank="1" showDropDown="1" sqref="B2:B2001">
      <formula1>OR(NOT(ISERROR(DATEVALUE(B2))), AND(ISNUMBER(B2), LEFT(CELL("format", B2))="D"))</formula1>
    </dataValidation>
    <dataValidation type="custom" allowBlank="1" showDropDown="1" sqref="G2:G2001 J2:J2001">
      <formula1>AND(ISNUMBER(G2),(NOT(OR(NOT(ISERROR(DATEVALUE(G2))), AND(ISNUMBER(G2), LEFT(CELL("format", G2))="D")))))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57"/>
    <col customWidth="1" min="3" max="3" width="24.29"/>
    <col customWidth="1" min="7" max="7" width="16.86"/>
    <col customWidth="1" min="9" max="9" width="27.86"/>
    <col customWidth="1" min="10" max="10" width="17.0"/>
    <col customWidth="1" min="14" max="14" width="17.43"/>
  </cols>
  <sheetData>
    <row r="1" ht="22.5" customHeight="1">
      <c r="A1" s="10" t="s">
        <v>1956</v>
      </c>
      <c r="B1" s="10" t="s">
        <v>0</v>
      </c>
      <c r="C1" s="18" t="s">
        <v>3967</v>
      </c>
      <c r="D1" s="19" t="s">
        <v>4</v>
      </c>
      <c r="E1" s="19" t="s">
        <v>1957</v>
      </c>
      <c r="F1" s="18" t="s">
        <v>1888</v>
      </c>
      <c r="G1" s="18" t="s">
        <v>3968</v>
      </c>
      <c r="H1" s="18" t="s">
        <v>3969</v>
      </c>
      <c r="I1" s="18" t="s">
        <v>1553</v>
      </c>
      <c r="J1" s="18" t="s">
        <v>3970</v>
      </c>
      <c r="K1" s="18" t="s">
        <v>3971</v>
      </c>
      <c r="L1" s="18" t="s">
        <v>3972</v>
      </c>
      <c r="N1" s="20" t="s">
        <v>3973</v>
      </c>
      <c r="O1" s="5"/>
    </row>
    <row r="2" ht="22.5" customHeight="1">
      <c r="A2" s="21" t="s">
        <v>1964</v>
      </c>
      <c r="B2" s="21" t="s">
        <v>1288</v>
      </c>
      <c r="C2" s="21" t="str">
        <f t="array" ref="C2">XLOOKUP(B2,Customer[Customer_ID],Customer[Name(Cleaned)])</f>
        <v>Sarah Smith</v>
      </c>
      <c r="D2" s="22" t="str">
        <f>VLOOKUP(B2,Customer[#ALL],6)</f>
        <v>Female</v>
      </c>
      <c r="E2" s="23">
        <f>Sales[Order_Date]</f>
        <v>45480</v>
      </c>
      <c r="F2" s="21" t="str">
        <f>Sales[Store_ID]</f>
        <v>STORE3</v>
      </c>
      <c r="G2" s="21" t="str">
        <f t="array" ref="G2">INDEX(Store[Store_Name],MATCH(F2,Store[Store_ID],0))</f>
        <v>Johnson-Wright</v>
      </c>
      <c r="H2" s="21" t="str">
        <f>Sales[Product_ID]</f>
        <v>PROD97</v>
      </c>
      <c r="I2" s="21" t="str">
        <f>VLOOKUP(H2,Products[],2)</f>
        <v>Cricket Bat</v>
      </c>
      <c r="J2" s="24">
        <f>Sales[Total_Amount]</f>
        <v>198.4164</v>
      </c>
      <c r="K2" s="21" t="str">
        <f t="shared" ref="K2:K2001" si="1">TEXT(E2,"mmm")</f>
        <v>Jul</v>
      </c>
      <c r="L2" s="21">
        <f t="shared" ref="L2:L2001" si="2">YEAR(E2)</f>
        <v>2024</v>
      </c>
      <c r="N2" s="25" t="s">
        <v>3974</v>
      </c>
      <c r="O2" s="26">
        <f>AVERAGE(Final_Data[Amount])</f>
        <v>1087.197349</v>
      </c>
    </row>
    <row r="3" ht="22.5" customHeight="1">
      <c r="A3" s="21" t="s">
        <v>1966</v>
      </c>
      <c r="B3" s="21" t="s">
        <v>1456</v>
      </c>
      <c r="C3" s="21" t="str">
        <f t="array" ref="C3">XLOOKUP(B3,Customer[Customer_ID],Customer[Name(Cleaned)])</f>
        <v>Michael Foley</v>
      </c>
      <c r="D3" s="22" t="str">
        <f>VLOOKUP(B3,Customer[#ALL],6)</f>
        <v>Male</v>
      </c>
      <c r="E3" s="23">
        <f>Sales[Order_Date]</f>
        <v>45285</v>
      </c>
      <c r="F3" s="21" t="str">
        <f>Sales[Store_ID]</f>
        <v>STORE17</v>
      </c>
      <c r="G3" s="21" t="str">
        <f t="array" ref="G3">INDEX(Store[Store_Name],MATCH(F3,Store[Store_ID],0))</f>
        <v>Holloway Ltd</v>
      </c>
      <c r="H3" s="21" t="str">
        <f>Sales[Product_ID]</f>
        <v>PROD74</v>
      </c>
      <c r="I3" s="21" t="str">
        <f>VLOOKUP(H3,Products[],2)</f>
        <v>Bluetooth Car Audio System</v>
      </c>
      <c r="J3" s="24">
        <f>Sales[Total_Amount]</f>
        <v>228.7893</v>
      </c>
      <c r="K3" s="21" t="str">
        <f t="shared" si="1"/>
        <v>Dec</v>
      </c>
      <c r="L3" s="21">
        <f t="shared" si="2"/>
        <v>2023</v>
      </c>
      <c r="N3" s="25" t="s">
        <v>3975</v>
      </c>
      <c r="O3" s="26">
        <f>MEDIAN(Final_Data[Amount])</f>
        <v>868.7182</v>
      </c>
    </row>
    <row r="4" ht="22.5" customHeight="1">
      <c r="A4" s="21" t="s">
        <v>1968</v>
      </c>
      <c r="B4" s="21" t="s">
        <v>249</v>
      </c>
      <c r="C4" s="21" t="str">
        <f t="array" ref="C4">XLOOKUP(B4,Customer[Customer_ID],Customer[Name(Cleaned)])</f>
        <v>Michael Thomas</v>
      </c>
      <c r="D4" s="22" t="str">
        <f>VLOOKUP(B4,Customer[#ALL],6)</f>
        <v>Male</v>
      </c>
      <c r="E4" s="23">
        <f>Sales[Order_Date]</f>
        <v>45335</v>
      </c>
      <c r="F4" s="21" t="str">
        <f>Sales[Store_ID]</f>
        <v>STORE14</v>
      </c>
      <c r="G4" s="21" t="str">
        <f t="array" ref="G4">INDEX(Store[Store_Name],MATCH(F4,Store[Store_ID],0))</f>
        <v>Mcdonald Inc</v>
      </c>
      <c r="H4" s="21" t="str">
        <f>Sales[Product_ID]</f>
        <v>PROD24</v>
      </c>
      <c r="I4" s="21" t="str">
        <f>VLOOKUP(H4,Products[],2)</f>
        <v>Foldable Camping Chair</v>
      </c>
      <c r="J4" s="24">
        <f>Sales[Total_Amount]</f>
        <v>259.1259</v>
      </c>
      <c r="K4" s="21" t="str">
        <f t="shared" si="1"/>
        <v>Feb</v>
      </c>
      <c r="L4" s="21">
        <f t="shared" si="2"/>
        <v>2024</v>
      </c>
      <c r="N4" s="25" t="s">
        <v>3976</v>
      </c>
      <c r="O4" s="27">
        <f>ROUND(STDEV(Final_Data[Amount]),2)</f>
        <v>819.62</v>
      </c>
    </row>
    <row r="5" ht="22.5" customHeight="1">
      <c r="A5" s="21" t="s">
        <v>1969</v>
      </c>
      <c r="B5" s="21" t="s">
        <v>1170</v>
      </c>
      <c r="C5" s="21" t="str">
        <f t="array" ref="C5">XLOOKUP(B5,Customer[Customer_ID],Customer[Name(Cleaned)])</f>
        <v>Gregory Allen</v>
      </c>
      <c r="D5" s="22" t="str">
        <f>VLOOKUP(B5,Customer[#ALL],6)</f>
        <v>Male</v>
      </c>
      <c r="E5" s="23">
        <f>Sales[Order_Date]</f>
        <v>45677</v>
      </c>
      <c r="F5" s="21" t="str">
        <f>Sales[Store_ID]</f>
        <v>STORE5</v>
      </c>
      <c r="G5" s="21" t="str">
        <f t="array" ref="G5">INDEX(Store[Store_Name],MATCH(F5,Store[Store_ID],0))</f>
        <v>Gray Ltd</v>
      </c>
      <c r="H5" s="21" t="str">
        <f>Sales[Product_ID]</f>
        <v>PROD33</v>
      </c>
      <c r="I5" s="21" t="str">
        <f>VLOOKUP(H5,Products[],2)</f>
        <v>Modern Wall Clock</v>
      </c>
      <c r="J5" s="24">
        <f>Sales[Total_Amount]</f>
        <v>658.46</v>
      </c>
      <c r="K5" s="21" t="str">
        <f t="shared" si="1"/>
        <v>Jan</v>
      </c>
      <c r="L5" s="21">
        <f t="shared" si="2"/>
        <v>2025</v>
      </c>
      <c r="N5" s="25" t="s">
        <v>3977</v>
      </c>
      <c r="O5" s="26">
        <f>MIN(Final_Data[Amount])</f>
        <v>18.459</v>
      </c>
    </row>
    <row r="6" ht="22.5" customHeight="1">
      <c r="A6" s="21" t="s">
        <v>1970</v>
      </c>
      <c r="B6" s="21" t="s">
        <v>637</v>
      </c>
      <c r="C6" s="21" t="str">
        <f t="array" ref="C6">XLOOKUP(B6,Customer[Customer_ID],Customer[Name(Cleaned)])</f>
        <v>Christopher Stewart</v>
      </c>
      <c r="D6" s="22" t="str">
        <f>VLOOKUP(B6,Customer[#ALL],6)</f>
        <v>Female</v>
      </c>
      <c r="E6" s="23">
        <f>Sales[Order_Date]</f>
        <v>45456</v>
      </c>
      <c r="F6" s="21" t="str">
        <f>Sales[Store_ID]</f>
        <v>STORE2</v>
      </c>
      <c r="G6" s="21" t="str">
        <f t="array" ref="G6">INDEX(Store[Store_Name],MATCH(F6,Store[Store_ID],0))</f>
        <v>Black-Horn</v>
      </c>
      <c r="H6" s="21" t="str">
        <f>Sales[Product_ID]</f>
        <v>PROD59</v>
      </c>
      <c r="I6" s="21" t="str">
        <f>VLOOKUP(H6,Products[],2)</f>
        <v>Men's Hair Styling Gel</v>
      </c>
      <c r="J6" s="24">
        <f>Sales[Total_Amount]</f>
        <v>1327.8846</v>
      </c>
      <c r="K6" s="21" t="str">
        <f t="shared" si="1"/>
        <v>Jun</v>
      </c>
      <c r="L6" s="21">
        <f t="shared" si="2"/>
        <v>2024</v>
      </c>
      <c r="N6" s="25" t="s">
        <v>3978</v>
      </c>
      <c r="O6" s="26">
        <f>MAX(Final_Data[Amount])</f>
        <v>3908.2428</v>
      </c>
    </row>
    <row r="7" ht="22.5" customHeight="1">
      <c r="A7" s="21" t="s">
        <v>1971</v>
      </c>
      <c r="B7" s="21" t="s">
        <v>206</v>
      </c>
      <c r="C7" s="21" t="str">
        <f t="array" ref="C7">XLOOKUP(B7,Customer[Customer_ID],Customer[Name(Cleaned)])</f>
        <v>Debra Liu</v>
      </c>
      <c r="D7" s="22" t="str">
        <f>VLOOKUP(B7,Customer[#ALL],6)</f>
        <v>Female</v>
      </c>
      <c r="E7" s="23">
        <f>Sales[Order_Date]</f>
        <v>45776</v>
      </c>
      <c r="F7" s="21" t="str">
        <f>Sales[Store_ID]</f>
        <v>STORE14</v>
      </c>
      <c r="G7" s="21" t="str">
        <f t="array" ref="G7">INDEX(Store[Store_Name],MATCH(F7,Store[Store_ID],0))</f>
        <v>Mcdonald Inc</v>
      </c>
      <c r="H7" s="21" t="str">
        <f>Sales[Product_ID]</f>
        <v>PROD69</v>
      </c>
      <c r="I7" s="21" t="str">
        <f>VLOOKUP(H7,Products[],2)</f>
        <v>Men's Sports Shorts</v>
      </c>
      <c r="J7" s="24">
        <f>Sales[Total_Amount]</f>
        <v>1805.2736</v>
      </c>
      <c r="K7" s="21" t="str">
        <f t="shared" si="1"/>
        <v>Apr</v>
      </c>
      <c r="L7" s="21">
        <f t="shared" si="2"/>
        <v>2025</v>
      </c>
      <c r="N7" s="25" t="s">
        <v>3979</v>
      </c>
      <c r="O7" s="26">
        <f>SUM(Final_Data[Amount])</f>
        <v>2174394.698</v>
      </c>
    </row>
    <row r="8" ht="22.5" customHeight="1">
      <c r="A8" s="21" t="s">
        <v>1972</v>
      </c>
      <c r="B8" s="21" t="s">
        <v>392</v>
      </c>
      <c r="C8" s="21" t="str">
        <f t="array" ref="C8">XLOOKUP(B8,Customer[Customer_ID],Customer[Name(Cleaned)])</f>
        <v>Amy Walker</v>
      </c>
      <c r="D8" s="22" t="str">
        <f>VLOOKUP(B8,Customer[#ALL],6)</f>
        <v>Female</v>
      </c>
      <c r="E8" s="23">
        <f>Sales[Order_Date]</f>
        <v>45566</v>
      </c>
      <c r="F8" s="21" t="str">
        <f>Sales[Store_ID]</f>
        <v>STORE10</v>
      </c>
      <c r="G8" s="21" t="str">
        <f t="array" ref="G8">INDEX(Store[Store_Name],MATCH(F8,Store[Store_ID],0))</f>
        <v>Hill, Wagner and Ballard</v>
      </c>
      <c r="H8" s="21" t="str">
        <f>Sales[Product_ID]</f>
        <v>PROD73</v>
      </c>
      <c r="I8" s="21" t="str">
        <f>VLOOKUP(H8,Products[],2)</f>
        <v>Shin Guards – Adult</v>
      </c>
      <c r="J8" s="24">
        <f>Sales[Total_Amount]</f>
        <v>2100.0441</v>
      </c>
      <c r="K8" s="21" t="str">
        <f t="shared" si="1"/>
        <v>Oct</v>
      </c>
      <c r="L8" s="21">
        <f t="shared" si="2"/>
        <v>2024</v>
      </c>
      <c r="N8" s="25" t="s">
        <v>3980</v>
      </c>
      <c r="O8" s="27">
        <f>COUNT(Final_Data[Amount])</f>
        <v>2000</v>
      </c>
    </row>
    <row r="9" ht="22.5" customHeight="1">
      <c r="A9" s="21" t="s">
        <v>1974</v>
      </c>
      <c r="B9" s="21" t="s">
        <v>1259</v>
      </c>
      <c r="C9" s="21" t="str">
        <f t="array" ref="C9">XLOOKUP(B9,Customer[Customer_ID],Customer[Name(Cleaned)])</f>
        <v>John Donaldson</v>
      </c>
      <c r="D9" s="22" t="str">
        <f>VLOOKUP(B9,Customer[#ALL],6)</f>
        <v>Female</v>
      </c>
      <c r="E9" s="23">
        <f>Sales[Order_Date]</f>
        <v>45542</v>
      </c>
      <c r="F9" s="21" t="str">
        <f>Sales[Store_ID]</f>
        <v>STORE1</v>
      </c>
      <c r="G9" s="21" t="str">
        <f t="array" ref="G9">INDEX(Store[Store_Name],MATCH(F9,Store[Store_ID],0))</f>
        <v>Martinez, Adkins and Johnson</v>
      </c>
      <c r="H9" s="21" t="str">
        <f>Sales[Product_ID]</f>
        <v>PROD24</v>
      </c>
      <c r="I9" s="21" t="str">
        <f>VLOOKUP(H9,Products[],2)</f>
        <v>Foldable Camping Chair</v>
      </c>
      <c r="J9" s="24">
        <f>Sales[Total_Amount]</f>
        <v>3030.424</v>
      </c>
      <c r="K9" s="21" t="str">
        <f t="shared" si="1"/>
        <v>Sep</v>
      </c>
      <c r="L9" s="21">
        <f t="shared" si="2"/>
        <v>2024</v>
      </c>
      <c r="N9" s="25" t="s">
        <v>3981</v>
      </c>
      <c r="O9" s="28">
        <f>_xlfn.STDEV.S(Final_Data[Amount])/SQRT((COUNT(Final_Data[Amount])))</f>
        <v>18.3272372</v>
      </c>
    </row>
    <row r="10" ht="22.5" customHeight="1">
      <c r="A10" s="21" t="s">
        <v>1975</v>
      </c>
      <c r="B10" s="21" t="s">
        <v>963</v>
      </c>
      <c r="C10" s="21" t="str">
        <f t="array" ref="C10">XLOOKUP(B10,Customer[Customer_ID],Customer[Name(Cleaned)])</f>
        <v>Matthew Avery</v>
      </c>
      <c r="D10" s="22" t="str">
        <f>VLOOKUP(B10,Customer[#ALL],6)</f>
        <v>Female</v>
      </c>
      <c r="E10" s="23">
        <f>Sales[Order_Date]</f>
        <v>45834</v>
      </c>
      <c r="F10" s="21" t="str">
        <f>Sales[Store_ID]</f>
        <v>STORE17</v>
      </c>
      <c r="G10" s="21" t="str">
        <f t="array" ref="G10">INDEX(Store[Store_Name],MATCH(F10,Store[Store_ID],0))</f>
        <v>Holloway Ltd</v>
      </c>
      <c r="H10" s="21" t="str">
        <f>Sales[Product_ID]</f>
        <v>PROD0</v>
      </c>
      <c r="I10" s="21" t="str">
        <f>VLOOKUP(H10,Products[],2)</f>
        <v>Brother Laser Printer</v>
      </c>
      <c r="J10" s="24">
        <f>Sales[Total_Amount]</f>
        <v>491.3286</v>
      </c>
      <c r="K10" s="21" t="str">
        <f t="shared" si="1"/>
        <v>Jun</v>
      </c>
      <c r="L10" s="21">
        <f t="shared" si="2"/>
        <v>2025</v>
      </c>
      <c r="N10" s="25" t="s">
        <v>3982</v>
      </c>
      <c r="O10" s="28">
        <f>O6-O5</f>
        <v>3889.7838</v>
      </c>
    </row>
    <row r="11" ht="22.5" customHeight="1">
      <c r="A11" s="21" t="s">
        <v>1976</v>
      </c>
      <c r="B11" s="21" t="s">
        <v>649</v>
      </c>
      <c r="C11" s="21" t="str">
        <f t="array" ref="C11">XLOOKUP(B11,Customer[Customer_ID],Customer[Name(Cleaned)])</f>
        <v>Ashley Ferguson</v>
      </c>
      <c r="D11" s="22" t="str">
        <f>VLOOKUP(B11,Customer[#ALL],6)</f>
        <v>Female</v>
      </c>
      <c r="E11" s="23">
        <f>Sales[Order_Date]</f>
        <v>45405</v>
      </c>
      <c r="F11" s="21" t="str">
        <f>Sales[Store_ID]</f>
        <v>STORE3</v>
      </c>
      <c r="G11" s="21" t="str">
        <f t="array" ref="G11">INDEX(Store[Store_Name],MATCH(F11,Store[Store_ID],0))</f>
        <v>Johnson-Wright</v>
      </c>
      <c r="H11" s="21" t="str">
        <f>Sales[Product_ID]</f>
        <v>PROD54</v>
      </c>
      <c r="I11" s="21" t="str">
        <f>VLOOKUP(H11,Products[],2)</f>
        <v>Sports Stopwatch Pro</v>
      </c>
      <c r="J11" s="24">
        <f>Sales[Total_Amount]</f>
        <v>689.172</v>
      </c>
      <c r="K11" s="29" t="str">
        <f t="shared" si="1"/>
        <v>Apr</v>
      </c>
      <c r="L11" s="29">
        <f t="shared" si="2"/>
        <v>2024</v>
      </c>
      <c r="M11" s="30"/>
      <c r="N11" s="31"/>
      <c r="O11" s="32"/>
      <c r="P11" s="30"/>
    </row>
    <row r="12" ht="22.5" customHeight="1">
      <c r="A12" s="21" t="s">
        <v>1977</v>
      </c>
      <c r="B12" s="21" t="s">
        <v>322</v>
      </c>
      <c r="C12" s="21" t="str">
        <f t="array" ref="C12">XLOOKUP(B12,Customer[Customer_ID],Customer[Name(Cleaned)])</f>
        <v>Melissa Duffy Md</v>
      </c>
      <c r="D12" s="22" t="str">
        <f>VLOOKUP(B12,Customer[#ALL],6)</f>
        <v>Male</v>
      </c>
      <c r="E12" s="23">
        <f>Sales[Order_Date]</f>
        <v>45918</v>
      </c>
      <c r="F12" s="21" t="str">
        <f>Sales[Store_ID]</f>
        <v>STORE17</v>
      </c>
      <c r="G12" s="21" t="str">
        <f t="array" ref="G12">INDEX(Store[Store_Name],MATCH(F12,Store[Store_ID],0))</f>
        <v>Holloway Ltd</v>
      </c>
      <c r="H12" s="21" t="str">
        <f>Sales[Product_ID]</f>
        <v>PROD23</v>
      </c>
      <c r="I12" s="21" t="str">
        <f>VLOOKUP(H12,Products[],2)</f>
        <v>Men's Formal Shirt</v>
      </c>
      <c r="J12" s="24">
        <f>Sales[Total_Amount]</f>
        <v>1914.8481</v>
      </c>
      <c r="K12" s="29" t="str">
        <f t="shared" si="1"/>
        <v>Sep</v>
      </c>
      <c r="L12" s="29">
        <f t="shared" si="2"/>
        <v>2025</v>
      </c>
      <c r="M12" s="30"/>
      <c r="N12" s="31"/>
      <c r="O12" s="32"/>
      <c r="P12" s="30"/>
    </row>
    <row r="13" ht="22.5" customHeight="1">
      <c r="A13" s="21" t="s">
        <v>1978</v>
      </c>
      <c r="B13" s="21" t="s">
        <v>660</v>
      </c>
      <c r="C13" s="21" t="str">
        <f t="array" ref="C13">XLOOKUP(B13,Customer[Customer_ID],Customer[Name(Cleaned)])</f>
        <v>Wanda Snyder</v>
      </c>
      <c r="D13" s="22" t="str">
        <f>VLOOKUP(B13,Customer[#ALL],6)</f>
        <v>Female</v>
      </c>
      <c r="E13" s="23">
        <f>Sales[Order_Date]</f>
        <v>45217</v>
      </c>
      <c r="F13" s="21" t="str">
        <f>Sales[Store_ID]</f>
        <v>STORE2</v>
      </c>
      <c r="G13" s="21" t="str">
        <f t="array" ref="G13">INDEX(Store[Store_Name],MATCH(F13,Store[Store_ID],0))</f>
        <v>Black-Horn</v>
      </c>
      <c r="H13" s="21" t="str">
        <f>Sales[Product_ID]</f>
        <v>PROD75</v>
      </c>
      <c r="I13" s="21" t="str">
        <f>VLOOKUP(H13,Products[],2)</f>
        <v>Women's Ankle Boots</v>
      </c>
      <c r="J13" s="24">
        <f>Sales[Total_Amount]</f>
        <v>801.4496</v>
      </c>
      <c r="K13" s="21" t="str">
        <f t="shared" si="1"/>
        <v>Oct</v>
      </c>
      <c r="L13" s="21">
        <f t="shared" si="2"/>
        <v>2023</v>
      </c>
      <c r="N13" s="33"/>
      <c r="O13" s="34"/>
    </row>
    <row r="14" ht="22.5" customHeight="1">
      <c r="A14" s="21" t="s">
        <v>1979</v>
      </c>
      <c r="B14" s="21" t="s">
        <v>1338</v>
      </c>
      <c r="C14" s="21" t="str">
        <f t="array" ref="C14">XLOOKUP(B14,Customer[Customer_ID],Customer[Name(Cleaned)])</f>
        <v>Jeanette Nichols</v>
      </c>
      <c r="D14" s="22" t="str">
        <f>VLOOKUP(B14,Customer[#ALL],6)</f>
        <v>Female</v>
      </c>
      <c r="E14" s="23">
        <f>Sales[Order_Date]</f>
        <v>45259</v>
      </c>
      <c r="F14" s="21" t="str">
        <f>Sales[Store_ID]</f>
        <v>STORE10</v>
      </c>
      <c r="G14" s="21" t="str">
        <f t="array" ref="G14">INDEX(Store[Store_Name],MATCH(F14,Store[Store_ID],0))</f>
        <v>Hill, Wagner and Ballard</v>
      </c>
      <c r="H14" s="21" t="str">
        <f>Sales[Product_ID]</f>
        <v>PROD63</v>
      </c>
      <c r="I14" s="21" t="str">
        <f>VLOOKUP(H14,Products[],2)</f>
        <v>Organic Sunscreen Lotion</v>
      </c>
      <c r="J14" s="24">
        <f>Sales[Total_Amount]</f>
        <v>359.6138</v>
      </c>
      <c r="K14" s="21" t="str">
        <f t="shared" si="1"/>
        <v>Nov</v>
      </c>
      <c r="L14" s="21">
        <f t="shared" si="2"/>
        <v>2023</v>
      </c>
      <c r="N14" s="33"/>
      <c r="O14" s="34"/>
    </row>
    <row r="15" ht="22.5" customHeight="1">
      <c r="A15" s="21" t="s">
        <v>1980</v>
      </c>
      <c r="B15" s="21" t="s">
        <v>364</v>
      </c>
      <c r="C15" s="21" t="str">
        <f t="array" ref="C15">XLOOKUP(B15,Customer[Customer_ID],Customer[Name(Cleaned)])</f>
        <v>Diane Watson</v>
      </c>
      <c r="D15" s="22" t="str">
        <f>VLOOKUP(B15,Customer[#ALL],6)</f>
        <v>Male</v>
      </c>
      <c r="E15" s="23">
        <f>Sales[Order_Date]</f>
        <v>45740</v>
      </c>
      <c r="F15" s="21" t="str">
        <f>Sales[Store_ID]</f>
        <v>STORE8</v>
      </c>
      <c r="G15" s="21" t="str">
        <f t="array" ref="G15">INDEX(Store[Store_Name],MATCH(F15,Store[Store_ID],0))</f>
        <v>Bean, Jones and Park</v>
      </c>
      <c r="H15" s="21" t="str">
        <f>Sales[Product_ID]</f>
        <v>PROD8</v>
      </c>
      <c r="I15" s="21" t="str">
        <f>VLOOKUP(H15,Products[],2)</f>
        <v>Decorative Lamp Shade</v>
      </c>
      <c r="J15" s="24">
        <f>Sales[Total_Amount]</f>
        <v>187.1484</v>
      </c>
      <c r="K15" s="21" t="str">
        <f t="shared" si="1"/>
        <v>Mar</v>
      </c>
      <c r="L15" s="21">
        <f t="shared" si="2"/>
        <v>2025</v>
      </c>
      <c r="N15" s="33"/>
      <c r="O15" s="34"/>
    </row>
    <row r="16" ht="22.5" customHeight="1">
      <c r="A16" s="21" t="s">
        <v>1981</v>
      </c>
      <c r="B16" s="21" t="s">
        <v>312</v>
      </c>
      <c r="C16" s="21" t="str">
        <f t="array" ref="C16">XLOOKUP(B16,Customer[Customer_ID],Customer[Name(Cleaned)])</f>
        <v>Christy Hoffman</v>
      </c>
      <c r="D16" s="22" t="str">
        <f>VLOOKUP(B16,Customer[#ALL],6)</f>
        <v>Male</v>
      </c>
      <c r="E16" s="23">
        <f>Sales[Order_Date]</f>
        <v>45453</v>
      </c>
      <c r="F16" s="21" t="str">
        <f>Sales[Store_ID]</f>
        <v>STORE13</v>
      </c>
      <c r="G16" s="21" t="str">
        <f t="array" ref="G16">INDEX(Store[Store_Name],MATCH(F16,Store[Store_ID],0))</f>
        <v>Gardner, Humphrey and Contreras</v>
      </c>
      <c r="H16" s="21" t="str">
        <f>Sales[Product_ID]</f>
        <v>PROD25</v>
      </c>
      <c r="I16" s="21" t="str">
        <f>VLOOKUP(H16,Products[],2)</f>
        <v>Women's Scarf Set</v>
      </c>
      <c r="J16" s="24">
        <f>Sales[Total_Amount]</f>
        <v>895.3044</v>
      </c>
      <c r="K16" s="21" t="str">
        <f t="shared" si="1"/>
        <v>Jun</v>
      </c>
      <c r="L16" s="21">
        <f t="shared" si="2"/>
        <v>2024</v>
      </c>
      <c r="N16" s="33"/>
      <c r="O16" s="34"/>
    </row>
    <row r="17" ht="22.5" customHeight="1">
      <c r="A17" s="21" t="s">
        <v>1982</v>
      </c>
      <c r="B17" s="21" t="s">
        <v>693</v>
      </c>
      <c r="C17" s="21" t="str">
        <f t="array" ref="C17">XLOOKUP(B17,Customer[Customer_ID],Customer[Name(Cleaned)])</f>
        <v>Joan Johnson</v>
      </c>
      <c r="D17" s="22" t="str">
        <f>VLOOKUP(B17,Customer[#ALL],6)</f>
        <v>Male</v>
      </c>
      <c r="E17" s="23">
        <f>Sales[Order_Date]</f>
        <v>45908</v>
      </c>
      <c r="F17" s="21" t="str">
        <f>Sales[Store_ID]</f>
        <v>STORE9</v>
      </c>
      <c r="G17" s="21" t="str">
        <f t="array" ref="G17">INDEX(Store[Store_Name],MATCH(F17,Store[Store_ID],0))</f>
        <v>Moore, Padilla and Butler</v>
      </c>
      <c r="H17" s="21" t="str">
        <f>Sales[Product_ID]</f>
        <v>PROD79</v>
      </c>
      <c r="I17" s="21" t="str">
        <f>VLOOKUP(H17,Products[],2)</f>
        <v>Decorative Lamp Shade</v>
      </c>
      <c r="J17" s="24">
        <f>Sales[Total_Amount]</f>
        <v>761.7384</v>
      </c>
      <c r="K17" s="21" t="str">
        <f t="shared" si="1"/>
        <v>Sep</v>
      </c>
      <c r="L17" s="21">
        <f t="shared" si="2"/>
        <v>2025</v>
      </c>
      <c r="N17" s="33"/>
      <c r="O17" s="34"/>
    </row>
    <row r="18" ht="22.5" customHeight="1">
      <c r="A18" s="21" t="s">
        <v>1983</v>
      </c>
      <c r="B18" s="21" t="s">
        <v>35</v>
      </c>
      <c r="C18" s="21" t="str">
        <f t="array" ref="C18">XLOOKUP(B18,Customer[Customer_ID],Customer[Name(Cleaned)])</f>
        <v>Caroline Collins</v>
      </c>
      <c r="D18" s="22" t="str">
        <f>VLOOKUP(B18,Customer[#ALL],6)</f>
        <v>Male</v>
      </c>
      <c r="E18" s="23">
        <f>Sales[Order_Date]</f>
        <v>45601</v>
      </c>
      <c r="F18" s="21" t="str">
        <f>Sales[Store_ID]</f>
        <v>STORE5</v>
      </c>
      <c r="G18" s="21" t="str">
        <f t="array" ref="G18">INDEX(Store[Store_Name],MATCH(F18,Store[Store_ID],0))</f>
        <v>Gray Ltd</v>
      </c>
      <c r="H18" s="21" t="str">
        <f>Sales[Product_ID]</f>
        <v>PROD81</v>
      </c>
      <c r="I18" s="21" t="str">
        <f>VLOOKUP(H18,Products[],2)</f>
        <v>Badminton Racket Set</v>
      </c>
      <c r="J18" s="24">
        <f>Sales[Total_Amount]</f>
        <v>680.884</v>
      </c>
      <c r="K18" s="21" t="str">
        <f t="shared" si="1"/>
        <v>Nov</v>
      </c>
      <c r="L18" s="21">
        <f t="shared" si="2"/>
        <v>2024</v>
      </c>
      <c r="N18" s="33"/>
      <c r="O18" s="34"/>
    </row>
    <row r="19" ht="22.5" customHeight="1">
      <c r="A19" s="21" t="s">
        <v>1984</v>
      </c>
      <c r="B19" s="21" t="s">
        <v>272</v>
      </c>
      <c r="C19" s="21" t="str">
        <f t="array" ref="C19">XLOOKUP(B19,Customer[Customer_ID],Customer[Name(Cleaned)])</f>
        <v>Tonya Burch</v>
      </c>
      <c r="D19" s="22" t="str">
        <f>VLOOKUP(B19,Customer[#ALL],6)</f>
        <v>Male</v>
      </c>
      <c r="E19" s="23">
        <f>Sales[Order_Date]</f>
        <v>45535</v>
      </c>
      <c r="F19" s="21" t="str">
        <f>Sales[Store_ID]</f>
        <v>STORE18</v>
      </c>
      <c r="G19" s="21" t="str">
        <f t="array" ref="G19">INDEX(Store[Store_Name],MATCH(F19,Store[Store_ID],0))</f>
        <v>Guerrero-Schmitt</v>
      </c>
      <c r="H19" s="21" t="str">
        <f>Sales[Product_ID]</f>
        <v>PROD37</v>
      </c>
      <c r="I19" s="21" t="str">
        <f>VLOOKUP(H19,Products[],2)</f>
        <v>Men's Casual Sneakers</v>
      </c>
      <c r="J19" s="24">
        <f>Sales[Total_Amount]</f>
        <v>246.5856</v>
      </c>
      <c r="K19" s="21" t="str">
        <f t="shared" si="1"/>
        <v>Aug</v>
      </c>
      <c r="L19" s="21">
        <f t="shared" si="2"/>
        <v>2024</v>
      </c>
      <c r="N19" s="33"/>
      <c r="O19" s="34"/>
    </row>
    <row r="20" ht="22.5" customHeight="1">
      <c r="A20" s="21" t="s">
        <v>1985</v>
      </c>
      <c r="B20" s="21" t="s">
        <v>622</v>
      </c>
      <c r="C20" s="21" t="str">
        <f t="array" ref="C20">XLOOKUP(B20,Customer[Customer_ID],Customer[Name(Cleaned)])</f>
        <v>Brent Rivas</v>
      </c>
      <c r="D20" s="22" t="str">
        <f>VLOOKUP(B20,Customer[#ALL],6)</f>
        <v>Male</v>
      </c>
      <c r="E20" s="23">
        <f>Sales[Order_Date]</f>
        <v>45459</v>
      </c>
      <c r="F20" s="21" t="str">
        <f>Sales[Store_ID]</f>
        <v>STORE17</v>
      </c>
      <c r="G20" s="21" t="str">
        <f t="array" ref="G20">INDEX(Store[Store_Name],MATCH(F20,Store[Store_ID],0))</f>
        <v>Holloway Ltd</v>
      </c>
      <c r="H20" s="21" t="str">
        <f>Sales[Product_ID]</f>
        <v>PROD7</v>
      </c>
      <c r="I20" s="21" t="str">
        <f>VLOOKUP(H20,Products[],2)</f>
        <v>Men's Sports Shorts</v>
      </c>
      <c r="J20" s="24">
        <f>Sales[Total_Amount]</f>
        <v>2862.1208</v>
      </c>
      <c r="K20" s="21" t="str">
        <f t="shared" si="1"/>
        <v>Jun</v>
      </c>
      <c r="L20" s="21">
        <f t="shared" si="2"/>
        <v>2024</v>
      </c>
      <c r="N20" s="33"/>
      <c r="O20" s="34"/>
    </row>
    <row r="21" ht="22.5" customHeight="1">
      <c r="A21" s="21" t="s">
        <v>1986</v>
      </c>
      <c r="B21" s="21" t="s">
        <v>990</v>
      </c>
      <c r="C21" s="21" t="str">
        <f t="array" ref="C21">XLOOKUP(B21,Customer[Customer_ID],Customer[Name(Cleaned)])</f>
        <v>Stacy Collins</v>
      </c>
      <c r="D21" s="22" t="str">
        <f>VLOOKUP(B21,Customer[#ALL],6)</f>
        <v>Male</v>
      </c>
      <c r="E21" s="23">
        <f>Sales[Order_Date]</f>
        <v>45681</v>
      </c>
      <c r="F21" s="21" t="str">
        <f>Sales[Store_ID]</f>
        <v>STORE13</v>
      </c>
      <c r="G21" s="21" t="str">
        <f t="array" ref="G21">INDEX(Store[Store_Name],MATCH(F21,Store[Store_ID],0))</f>
        <v>Gardner, Humphrey and Contreras</v>
      </c>
      <c r="H21" s="21" t="str">
        <f>Sales[Product_ID]</f>
        <v>PROD60</v>
      </c>
      <c r="I21" s="21" t="str">
        <f>VLOOKUP(H21,Products[],2)</f>
        <v>Luxury Perfume Spray</v>
      </c>
      <c r="J21" s="24">
        <f>Sales[Total_Amount]</f>
        <v>159.3408</v>
      </c>
      <c r="K21" s="21" t="str">
        <f t="shared" si="1"/>
        <v>Jan</v>
      </c>
      <c r="L21" s="21">
        <f t="shared" si="2"/>
        <v>2025</v>
      </c>
      <c r="N21" s="33"/>
      <c r="O21" s="34"/>
    </row>
    <row r="22" ht="22.5" customHeight="1">
      <c r="A22" s="21" t="s">
        <v>1987</v>
      </c>
      <c r="B22" s="21" t="s">
        <v>809</v>
      </c>
      <c r="C22" s="21" t="str">
        <f t="array" ref="C22">XLOOKUP(B22,Customer[Customer_ID],Customer[Name(Cleaned)])</f>
        <v>Nicholas Webb</v>
      </c>
      <c r="D22" s="22" t="str">
        <f>VLOOKUP(B22,Customer[#ALL],6)</f>
        <v>Female</v>
      </c>
      <c r="E22" s="23">
        <f>Sales[Order_Date]</f>
        <v>45725</v>
      </c>
      <c r="F22" s="21" t="str">
        <f>Sales[Store_ID]</f>
        <v>STORE4</v>
      </c>
      <c r="G22" s="21" t="str">
        <f t="array" ref="G22">INDEX(Store[Store_Name],MATCH(F22,Store[Store_ID],0))</f>
        <v>Alexander Group</v>
      </c>
      <c r="H22" s="21" t="str">
        <f>Sales[Product_ID]</f>
        <v>PROD62</v>
      </c>
      <c r="I22" s="21" t="str">
        <f>VLOOKUP(H22,Products[],2)</f>
        <v>Laptop Cooling Pad</v>
      </c>
      <c r="J22" s="24">
        <f>Sales[Total_Amount]</f>
        <v>394.902</v>
      </c>
      <c r="K22" s="21" t="str">
        <f t="shared" si="1"/>
        <v>Mar</v>
      </c>
      <c r="L22" s="21">
        <f t="shared" si="2"/>
        <v>2025</v>
      </c>
      <c r="N22" s="33"/>
      <c r="O22" s="34"/>
    </row>
    <row r="23" ht="22.5" customHeight="1">
      <c r="A23" s="21" t="s">
        <v>1988</v>
      </c>
      <c r="B23" s="21" t="s">
        <v>486</v>
      </c>
      <c r="C23" s="21" t="str">
        <f t="array" ref="C23">XLOOKUP(B23,Customer[Customer_ID],Customer[Name(Cleaned)])</f>
        <v>Patty Francis</v>
      </c>
      <c r="D23" s="22" t="str">
        <f>VLOOKUP(B23,Customer[#ALL],6)</f>
        <v>Male</v>
      </c>
      <c r="E23" s="23">
        <f>Sales[Order_Date]</f>
        <v>45461</v>
      </c>
      <c r="F23" s="21" t="str">
        <f>Sales[Store_ID]</f>
        <v>STORE4</v>
      </c>
      <c r="G23" s="21" t="str">
        <f t="array" ref="G23">INDEX(Store[Store_Name],MATCH(F23,Store[Store_ID],0))</f>
        <v>Alexander Group</v>
      </c>
      <c r="H23" s="21" t="str">
        <f>Sales[Product_ID]</f>
        <v>PROD53</v>
      </c>
      <c r="I23" s="21" t="str">
        <f>VLOOKUP(H23,Products[],2)</f>
        <v>Men's Track Pants</v>
      </c>
      <c r="J23" s="24">
        <f>Sales[Total_Amount]</f>
        <v>453.5817</v>
      </c>
      <c r="K23" s="21" t="str">
        <f t="shared" si="1"/>
        <v>Jun</v>
      </c>
      <c r="L23" s="21">
        <f t="shared" si="2"/>
        <v>2024</v>
      </c>
      <c r="N23" s="33"/>
      <c r="O23" s="34"/>
    </row>
    <row r="24" ht="22.5" customHeight="1">
      <c r="A24" s="21" t="s">
        <v>1989</v>
      </c>
      <c r="B24" s="21" t="s">
        <v>1384</v>
      </c>
      <c r="C24" s="21" t="str">
        <f t="array" ref="C24">XLOOKUP(B24,Customer[Customer_ID],Customer[Name(Cleaned)])</f>
        <v>Kelli Smith</v>
      </c>
      <c r="D24" s="22" t="str">
        <f>VLOOKUP(B24,Customer[#ALL],6)</f>
        <v>Male</v>
      </c>
      <c r="E24" s="23">
        <f>Sales[Order_Date]</f>
        <v>45837</v>
      </c>
      <c r="F24" s="21" t="str">
        <f>Sales[Store_ID]</f>
        <v>STORE16</v>
      </c>
      <c r="G24" s="21" t="str">
        <f t="array" ref="G24">INDEX(Store[Store_Name],MATCH(F24,Store[Store_ID],0))</f>
        <v>Frederick-Wright</v>
      </c>
      <c r="H24" s="21" t="str">
        <f>Sales[Product_ID]</f>
        <v>PROD34</v>
      </c>
      <c r="I24" s="21" t="str">
        <f>VLOOKUP(H24,Products[],2)</f>
        <v>Gaming Mechanical Keyboard</v>
      </c>
      <c r="J24" s="24">
        <f>Sales[Total_Amount]</f>
        <v>447.8296</v>
      </c>
      <c r="K24" s="21" t="str">
        <f t="shared" si="1"/>
        <v>Jun</v>
      </c>
      <c r="L24" s="21">
        <f t="shared" si="2"/>
        <v>2025</v>
      </c>
      <c r="N24" s="33"/>
      <c r="O24" s="34"/>
    </row>
    <row r="25" ht="22.5" customHeight="1">
      <c r="A25" s="21" t="s">
        <v>1990</v>
      </c>
      <c r="B25" s="21" t="s">
        <v>431</v>
      </c>
      <c r="C25" s="21" t="str">
        <f t="array" ref="C25">XLOOKUP(B25,Customer[Customer_ID],Customer[Name(Cleaned)])</f>
        <v>Michael Chang</v>
      </c>
      <c r="D25" s="22" t="str">
        <f>VLOOKUP(B25,Customer[#ALL],6)</f>
        <v>Female</v>
      </c>
      <c r="E25" s="23">
        <f>Sales[Order_Date]</f>
        <v>45823</v>
      </c>
      <c r="F25" s="21" t="str">
        <f>Sales[Store_ID]</f>
        <v>STORE6</v>
      </c>
      <c r="G25" s="21" t="str">
        <f t="array" ref="G25">INDEX(Store[Store_Name],MATCH(F25,Store[Store_ID],0))</f>
        <v>Benson-Elliott</v>
      </c>
      <c r="H25" s="21" t="str">
        <f>Sales[Product_ID]</f>
        <v>PROD52</v>
      </c>
      <c r="I25" s="21" t="str">
        <f>VLOOKUP(H25,Products[],2)</f>
        <v>Rugby Ball</v>
      </c>
      <c r="J25" s="24">
        <f>Sales[Total_Amount]</f>
        <v>1638.3912</v>
      </c>
      <c r="K25" s="21" t="str">
        <f t="shared" si="1"/>
        <v>Jun</v>
      </c>
      <c r="L25" s="21">
        <f t="shared" si="2"/>
        <v>2025</v>
      </c>
      <c r="N25" s="33"/>
      <c r="O25" s="34"/>
    </row>
    <row r="26" ht="22.5" customHeight="1">
      <c r="A26" s="21" t="s">
        <v>1991</v>
      </c>
      <c r="B26" s="21" t="s">
        <v>1122</v>
      </c>
      <c r="C26" s="21" t="str">
        <f t="array" ref="C26">XLOOKUP(B26,Customer[Customer_ID],Customer[Name(Cleaned)])</f>
        <v>Laura Green</v>
      </c>
      <c r="D26" s="22" t="str">
        <f>VLOOKUP(B26,Customer[#ALL],6)</f>
        <v>Male</v>
      </c>
      <c r="E26" s="23">
        <f>Sales[Order_Date]</f>
        <v>45733</v>
      </c>
      <c r="F26" s="21" t="str">
        <f>Sales[Store_ID]</f>
        <v>STORE4</v>
      </c>
      <c r="G26" s="21" t="str">
        <f t="array" ref="G26">INDEX(Store[Store_Name],MATCH(F26,Store[Store_ID],0))</f>
        <v>Alexander Group</v>
      </c>
      <c r="H26" s="21" t="str">
        <f>Sales[Product_ID]</f>
        <v>PROD45</v>
      </c>
      <c r="I26" s="21" t="str">
        <f>VLOOKUP(H26,Products[],2)</f>
        <v>High-Grip Football</v>
      </c>
      <c r="J26" s="24">
        <f>Sales[Total_Amount]</f>
        <v>1320.064</v>
      </c>
      <c r="K26" s="21" t="str">
        <f t="shared" si="1"/>
        <v>Mar</v>
      </c>
      <c r="L26" s="21">
        <f t="shared" si="2"/>
        <v>2025</v>
      </c>
      <c r="N26" s="33"/>
      <c r="O26" s="34"/>
    </row>
    <row r="27" ht="22.5" customHeight="1">
      <c r="A27" s="21" t="s">
        <v>1992</v>
      </c>
      <c r="B27" s="21" t="s">
        <v>355</v>
      </c>
      <c r="C27" s="21" t="str">
        <f t="array" ref="C27">XLOOKUP(B27,Customer[Customer_ID],Customer[Name(Cleaned)])</f>
        <v>David Cobb</v>
      </c>
      <c r="D27" s="22" t="str">
        <f>VLOOKUP(B27,Customer[#ALL],6)</f>
        <v>Female</v>
      </c>
      <c r="E27" s="23">
        <f>Sales[Order_Date]</f>
        <v>45552</v>
      </c>
      <c r="F27" s="21" t="str">
        <f>Sales[Store_ID]</f>
        <v>STORE12</v>
      </c>
      <c r="G27" s="21" t="str">
        <f t="array" ref="G27">INDEX(Store[Store_Name],MATCH(F27,Store[Store_ID],0))</f>
        <v>Thomas, Bridges and Harris</v>
      </c>
      <c r="H27" s="21" t="str">
        <f>Sales[Product_ID]</f>
        <v>PROD80</v>
      </c>
      <c r="I27" s="21" t="str">
        <f>VLOOKUP(H27,Products[],2)</f>
        <v>Wall-Mounted Spice Rack</v>
      </c>
      <c r="J27" s="24">
        <f>Sales[Total_Amount]</f>
        <v>717.2576</v>
      </c>
      <c r="K27" s="21" t="str">
        <f t="shared" si="1"/>
        <v>Sep</v>
      </c>
      <c r="L27" s="21">
        <f t="shared" si="2"/>
        <v>2024</v>
      </c>
      <c r="N27" s="33"/>
      <c r="O27" s="34"/>
    </row>
    <row r="28" ht="22.5" customHeight="1">
      <c r="A28" s="21" t="s">
        <v>1993</v>
      </c>
      <c r="B28" s="21" t="s">
        <v>1447</v>
      </c>
      <c r="C28" s="21" t="str">
        <f t="array" ref="C28">XLOOKUP(B28,Customer[Customer_ID],Customer[Name(Cleaned)])</f>
        <v>David Pierce</v>
      </c>
      <c r="D28" s="22" t="str">
        <f>VLOOKUP(B28,Customer[#ALL],6)</f>
        <v>Male</v>
      </c>
      <c r="E28" s="23">
        <f>Sales[Order_Date]</f>
        <v>45322</v>
      </c>
      <c r="F28" s="21" t="str">
        <f>Sales[Store_ID]</f>
        <v>STORE13</v>
      </c>
      <c r="G28" s="21" t="str">
        <f t="array" ref="G28">INDEX(Store[Store_Name],MATCH(F28,Store[Store_ID],0))</f>
        <v>Gardner, Humphrey and Contreras</v>
      </c>
      <c r="H28" s="21" t="str">
        <f>Sales[Product_ID]</f>
        <v>PROD25</v>
      </c>
      <c r="I28" s="21" t="str">
        <f>VLOOKUP(H28,Products[],2)</f>
        <v>Women's Scarf Set</v>
      </c>
      <c r="J28" s="24">
        <f>Sales[Total_Amount]</f>
        <v>828.8336</v>
      </c>
      <c r="K28" s="21" t="str">
        <f t="shared" si="1"/>
        <v>Jan</v>
      </c>
      <c r="L28" s="21">
        <f t="shared" si="2"/>
        <v>2024</v>
      </c>
      <c r="N28" s="33"/>
      <c r="O28" s="34"/>
    </row>
    <row r="29" ht="22.5" customHeight="1">
      <c r="A29" s="21" t="s">
        <v>1994</v>
      </c>
      <c r="B29" s="21" t="s">
        <v>941</v>
      </c>
      <c r="C29" s="21" t="str">
        <f t="array" ref="C29">XLOOKUP(B29,Customer[Customer_ID],Customer[Name(Cleaned)])</f>
        <v>Ricardo Jones</v>
      </c>
      <c r="D29" s="22" t="str">
        <f>VLOOKUP(B29,Customer[#ALL],6)</f>
        <v>Female</v>
      </c>
      <c r="E29" s="23">
        <f>Sales[Order_Date]</f>
        <v>45415</v>
      </c>
      <c r="F29" s="21" t="str">
        <f>Sales[Store_ID]</f>
        <v>STORE6</v>
      </c>
      <c r="G29" s="21" t="str">
        <f t="array" ref="G29">INDEX(Store[Store_Name],MATCH(F29,Store[Store_ID],0))</f>
        <v>Benson-Elliott</v>
      </c>
      <c r="H29" s="21" t="str">
        <f>Sales[Product_ID]</f>
        <v>PROD55</v>
      </c>
      <c r="I29" s="21" t="str">
        <f>VLOOKUP(H29,Products[],2)</f>
        <v>Ceramic Plant Pot</v>
      </c>
      <c r="J29" s="24">
        <f>Sales[Total_Amount]</f>
        <v>209.6512</v>
      </c>
      <c r="K29" s="21" t="str">
        <f t="shared" si="1"/>
        <v>May</v>
      </c>
      <c r="L29" s="21">
        <f t="shared" si="2"/>
        <v>2024</v>
      </c>
      <c r="N29" s="33"/>
      <c r="O29" s="34"/>
    </row>
    <row r="30" ht="22.5" customHeight="1">
      <c r="A30" s="21" t="s">
        <v>1995</v>
      </c>
      <c r="B30" s="21" t="s">
        <v>1427</v>
      </c>
      <c r="C30" s="21" t="str">
        <f t="array" ref="C30">XLOOKUP(B30,Customer[Customer_ID],Customer[Name(Cleaned)])</f>
        <v>Christina Robertson</v>
      </c>
      <c r="D30" s="22" t="str">
        <f>VLOOKUP(B30,Customer[#ALL],6)</f>
        <v>Female</v>
      </c>
      <c r="E30" s="23">
        <f>Sales[Order_Date]</f>
        <v>45644</v>
      </c>
      <c r="F30" s="21" t="str">
        <f>Sales[Store_ID]</f>
        <v>STORE16</v>
      </c>
      <c r="G30" s="21" t="str">
        <f t="array" ref="G30">INDEX(Store[Store_Name],MATCH(F30,Store[Store_ID],0))</f>
        <v>Frederick-Wright</v>
      </c>
      <c r="H30" s="21" t="str">
        <f>Sales[Product_ID]</f>
        <v>PROD82</v>
      </c>
      <c r="I30" s="21" t="str">
        <f>VLOOKUP(H30,Products[],2)</f>
        <v>Fitness Resistance Bands</v>
      </c>
      <c r="J30" s="24">
        <f>Sales[Total_Amount]</f>
        <v>726.3648</v>
      </c>
      <c r="K30" s="21" t="str">
        <f t="shared" si="1"/>
        <v>Dec</v>
      </c>
      <c r="L30" s="21">
        <f t="shared" si="2"/>
        <v>2024</v>
      </c>
      <c r="N30" s="33"/>
      <c r="O30" s="34"/>
    </row>
    <row r="31" ht="22.5" customHeight="1">
      <c r="A31" s="21" t="s">
        <v>1996</v>
      </c>
      <c r="B31" s="21" t="s">
        <v>92</v>
      </c>
      <c r="C31" s="21" t="str">
        <f t="array" ref="C31">XLOOKUP(B31,Customer[Customer_ID],Customer[Name(Cleaned)])</f>
        <v>Michael Torres</v>
      </c>
      <c r="D31" s="22" t="str">
        <f>VLOOKUP(B31,Customer[#ALL],6)</f>
        <v>Male</v>
      </c>
      <c r="E31" s="23">
        <f>Sales[Order_Date]</f>
        <v>45845</v>
      </c>
      <c r="F31" s="21" t="str">
        <f>Sales[Store_ID]</f>
        <v>STORE7</v>
      </c>
      <c r="G31" s="21" t="str">
        <f t="array" ref="G31">INDEX(Store[Store_Name],MATCH(F31,Store[Store_ID],0))</f>
        <v>Martinez-Mullins</v>
      </c>
      <c r="H31" s="21" t="str">
        <f>Sales[Product_ID]</f>
        <v>PROD93</v>
      </c>
      <c r="I31" s="21" t="str">
        <f>VLOOKUP(H31,Products[],2)</f>
        <v>USB-C Laptop Charger</v>
      </c>
      <c r="J31" s="24">
        <f>Sales[Total_Amount]</f>
        <v>373.8384</v>
      </c>
      <c r="K31" s="21" t="str">
        <f t="shared" si="1"/>
        <v>Jul</v>
      </c>
      <c r="L31" s="21">
        <f t="shared" si="2"/>
        <v>2025</v>
      </c>
      <c r="N31" s="33"/>
      <c r="O31" s="34"/>
    </row>
    <row r="32" ht="22.5" customHeight="1">
      <c r="A32" s="21" t="s">
        <v>1997</v>
      </c>
      <c r="B32" s="21" t="s">
        <v>1167</v>
      </c>
      <c r="C32" s="21" t="str">
        <f t="array" ref="C32">XLOOKUP(B32,Customer[Customer_ID],Customer[Name(Cleaned)])</f>
        <v>Miranda King</v>
      </c>
      <c r="D32" s="22" t="str">
        <f>VLOOKUP(B32,Customer[#ALL],6)</f>
        <v>Male</v>
      </c>
      <c r="E32" s="23">
        <f>Sales[Order_Date]</f>
        <v>45354</v>
      </c>
      <c r="F32" s="21" t="str">
        <f>Sales[Store_ID]</f>
        <v>STORE8</v>
      </c>
      <c r="G32" s="21" t="str">
        <f t="array" ref="G32">INDEX(Store[Store_Name],MATCH(F32,Store[Store_ID],0))</f>
        <v>Bean, Jones and Park</v>
      </c>
      <c r="H32" s="21" t="str">
        <f>Sales[Product_ID]</f>
        <v>PROD95</v>
      </c>
      <c r="I32" s="21" t="str">
        <f>VLOOKUP(H32,Products[],2)</f>
        <v>Sports Stopwatch Basic</v>
      </c>
      <c r="J32" s="24">
        <f>Sales[Total_Amount]</f>
        <v>283.7484</v>
      </c>
      <c r="K32" s="21" t="str">
        <f t="shared" si="1"/>
        <v>Mar</v>
      </c>
      <c r="L32" s="21">
        <f t="shared" si="2"/>
        <v>2024</v>
      </c>
      <c r="N32" s="33"/>
      <c r="O32" s="34"/>
    </row>
    <row r="33" ht="22.5" customHeight="1">
      <c r="A33" s="21" t="s">
        <v>1998</v>
      </c>
      <c r="B33" s="21" t="s">
        <v>232</v>
      </c>
      <c r="C33" s="21" t="str">
        <f t="array" ref="C33">XLOOKUP(B33,Customer[Customer_ID],Customer[Name(Cleaned)])</f>
        <v>Dr. David Smith</v>
      </c>
      <c r="D33" s="22" t="str">
        <f>VLOOKUP(B33,Customer[#ALL],6)</f>
        <v>Male</v>
      </c>
      <c r="E33" s="23">
        <f>Sales[Order_Date]</f>
        <v>45720</v>
      </c>
      <c r="F33" s="21" t="str">
        <f>Sales[Store_ID]</f>
        <v>STORE8</v>
      </c>
      <c r="G33" s="21" t="str">
        <f t="array" ref="G33">INDEX(Store[Store_Name],MATCH(F33,Store[Store_ID],0))</f>
        <v>Bean, Jones and Park</v>
      </c>
      <c r="H33" s="21" t="str">
        <f>Sales[Product_ID]</f>
        <v>PROD17</v>
      </c>
      <c r="I33" s="21" t="str">
        <f>VLOOKUP(H33,Products[],2)</f>
        <v>Soccer Training Cone Set</v>
      </c>
      <c r="J33" s="24">
        <f>Sales[Total_Amount]</f>
        <v>208.3134</v>
      </c>
      <c r="K33" s="21" t="str">
        <f t="shared" si="1"/>
        <v>Mar</v>
      </c>
      <c r="L33" s="21">
        <f t="shared" si="2"/>
        <v>2025</v>
      </c>
      <c r="N33" s="33"/>
      <c r="O33" s="34"/>
    </row>
    <row r="34" ht="22.5" customHeight="1">
      <c r="A34" s="21" t="s">
        <v>1999</v>
      </c>
      <c r="B34" s="21" t="s">
        <v>1014</v>
      </c>
      <c r="C34" s="21" t="str">
        <f t="array" ref="C34">XLOOKUP(B34,Customer[Customer_ID],Customer[Name(Cleaned)])</f>
        <v>Tiffany Williams</v>
      </c>
      <c r="D34" s="22" t="str">
        <f>VLOOKUP(B34,Customer[#ALL],6)</f>
        <v>Male</v>
      </c>
      <c r="E34" s="23">
        <f>Sales[Order_Date]</f>
        <v>45278</v>
      </c>
      <c r="F34" s="21" t="str">
        <f>Sales[Store_ID]</f>
        <v>STORE0</v>
      </c>
      <c r="G34" s="21" t="str">
        <f t="array" ref="G34">INDEX(Store[Store_Name],MATCH(F34,Store[Store_ID],0))</f>
        <v>Rivera-Warner</v>
      </c>
      <c r="H34" s="21" t="str">
        <f>Sales[Product_ID]</f>
        <v>PROD81</v>
      </c>
      <c r="I34" s="21" t="str">
        <f>VLOOKUP(H34,Products[],2)</f>
        <v>Badminton Racket Set</v>
      </c>
      <c r="J34" s="24">
        <f>Sales[Total_Amount]</f>
        <v>1299.9</v>
      </c>
      <c r="K34" s="21" t="str">
        <f t="shared" si="1"/>
        <v>Dec</v>
      </c>
      <c r="L34" s="21">
        <f t="shared" si="2"/>
        <v>2023</v>
      </c>
      <c r="N34" s="33"/>
      <c r="O34" s="34"/>
    </row>
    <row r="35" ht="22.5" customHeight="1">
      <c r="A35" s="21" t="s">
        <v>2000</v>
      </c>
      <c r="B35" s="21" t="s">
        <v>1368</v>
      </c>
      <c r="C35" s="21" t="str">
        <f t="array" ref="C35">XLOOKUP(B35,Customer[Customer_ID],Customer[Name(Cleaned)])</f>
        <v>Sharon Simpson</v>
      </c>
      <c r="D35" s="22" t="str">
        <f>VLOOKUP(B35,Customer[#ALL],6)</f>
        <v>Female</v>
      </c>
      <c r="E35" s="23">
        <f>Sales[Order_Date]</f>
        <v>45422</v>
      </c>
      <c r="F35" s="21" t="str">
        <f>Sales[Store_ID]</f>
        <v>STORE18</v>
      </c>
      <c r="G35" s="21" t="str">
        <f t="array" ref="G35">INDEX(Store[Store_Name],MATCH(F35,Store[Store_ID],0))</f>
        <v>Guerrero-Schmitt</v>
      </c>
      <c r="H35" s="21" t="str">
        <f>Sales[Product_ID]</f>
        <v>PROD52</v>
      </c>
      <c r="I35" s="21" t="str">
        <f>VLOOKUP(H35,Products[],2)</f>
        <v>Rugby Ball</v>
      </c>
      <c r="J35" s="24">
        <f>Sales[Total_Amount]</f>
        <v>70.9248</v>
      </c>
      <c r="K35" s="21" t="str">
        <f t="shared" si="1"/>
        <v>May</v>
      </c>
      <c r="L35" s="21">
        <f t="shared" si="2"/>
        <v>2024</v>
      </c>
      <c r="N35" s="33"/>
      <c r="O35" s="34"/>
    </row>
    <row r="36" ht="22.5" customHeight="1">
      <c r="A36" s="21" t="s">
        <v>2001</v>
      </c>
      <c r="B36" s="21" t="s">
        <v>39</v>
      </c>
      <c r="C36" s="21" t="str">
        <f t="array" ref="C36">XLOOKUP(B36,Customer[Customer_ID],Customer[Name(Cleaned)])</f>
        <v>Christine Vaughn</v>
      </c>
      <c r="D36" s="22" t="str">
        <f>VLOOKUP(B36,Customer[#ALL],6)</f>
        <v>Female</v>
      </c>
      <c r="E36" s="23">
        <f>Sales[Order_Date]</f>
        <v>45337</v>
      </c>
      <c r="F36" s="21" t="str">
        <f>Sales[Store_ID]</f>
        <v>STORE18</v>
      </c>
      <c r="G36" s="21" t="str">
        <f t="array" ref="G36">INDEX(Store[Store_Name],MATCH(F36,Store[Store_ID],0))</f>
        <v>Guerrero-Schmitt</v>
      </c>
      <c r="H36" s="21" t="str">
        <f>Sales[Product_ID]</f>
        <v>PROD86</v>
      </c>
      <c r="I36" s="21" t="str">
        <f>VLOOKUP(H36,Products[],2)</f>
        <v>Kitchen Cutting Board</v>
      </c>
      <c r="J36" s="24">
        <f>Sales[Total_Amount]</f>
        <v>721.812</v>
      </c>
      <c r="K36" s="21" t="str">
        <f t="shared" si="1"/>
        <v>Feb</v>
      </c>
      <c r="L36" s="21">
        <f t="shared" si="2"/>
        <v>2024</v>
      </c>
      <c r="N36" s="33"/>
      <c r="O36" s="34"/>
    </row>
    <row r="37" ht="22.5" customHeight="1">
      <c r="A37" s="21" t="s">
        <v>2002</v>
      </c>
      <c r="B37" s="21" t="s">
        <v>453</v>
      </c>
      <c r="C37" s="21" t="str">
        <f t="array" ref="C37">XLOOKUP(B37,Customer[Customer_ID],Customer[Name(Cleaned)])</f>
        <v>Jessica Mitchell</v>
      </c>
      <c r="D37" s="22" t="str">
        <f>VLOOKUP(B37,Customer[#ALL],6)</f>
        <v>Male</v>
      </c>
      <c r="E37" s="23">
        <f>Sales[Order_Date]</f>
        <v>45564</v>
      </c>
      <c r="F37" s="21" t="str">
        <f>Sales[Store_ID]</f>
        <v>STORE6</v>
      </c>
      <c r="G37" s="21" t="str">
        <f t="array" ref="G37">INDEX(Store[Store_Name],MATCH(F37,Store[Store_ID],0))</f>
        <v>Benson-Elliott</v>
      </c>
      <c r="H37" s="21" t="str">
        <f>Sales[Product_ID]</f>
        <v>PROD81</v>
      </c>
      <c r="I37" s="21" t="str">
        <f>VLOOKUP(H37,Products[],2)</f>
        <v>Badminton Racket Set</v>
      </c>
      <c r="J37" s="24">
        <f>Sales[Total_Amount]</f>
        <v>2897.234</v>
      </c>
      <c r="K37" s="21" t="str">
        <f t="shared" si="1"/>
        <v>Sep</v>
      </c>
      <c r="L37" s="21">
        <f t="shared" si="2"/>
        <v>2024</v>
      </c>
      <c r="N37" s="33"/>
      <c r="O37" s="34"/>
    </row>
    <row r="38" ht="22.5" customHeight="1">
      <c r="A38" s="21" t="s">
        <v>2003</v>
      </c>
      <c r="B38" s="21" t="s">
        <v>613</v>
      </c>
      <c r="C38" s="21" t="str">
        <f t="array" ref="C38">XLOOKUP(B38,Customer[Customer_ID],Customer[Name(Cleaned)])</f>
        <v>Melissa Hamilton</v>
      </c>
      <c r="D38" s="22" t="str">
        <f>VLOOKUP(B38,Customer[#ALL],6)</f>
        <v>Male</v>
      </c>
      <c r="E38" s="23">
        <f>Sales[Order_Date]</f>
        <v>45907</v>
      </c>
      <c r="F38" s="21" t="str">
        <f>Sales[Store_ID]</f>
        <v>STORE4</v>
      </c>
      <c r="G38" s="21" t="str">
        <f t="array" ref="G38">INDEX(Store[Store_Name],MATCH(F38,Store[Store_ID],0))</f>
        <v>Alexander Group</v>
      </c>
      <c r="H38" s="21" t="str">
        <f>Sales[Product_ID]</f>
        <v>PROD34</v>
      </c>
      <c r="I38" s="21" t="str">
        <f>VLOOKUP(H38,Products[],2)</f>
        <v>Gaming Mechanical Keyboard</v>
      </c>
      <c r="J38" s="24">
        <f>Sales[Total_Amount]</f>
        <v>2997.6156</v>
      </c>
      <c r="K38" s="21" t="str">
        <f t="shared" si="1"/>
        <v>Sep</v>
      </c>
      <c r="L38" s="21">
        <f t="shared" si="2"/>
        <v>2025</v>
      </c>
      <c r="N38" s="33"/>
      <c r="O38" s="34"/>
    </row>
    <row r="39" ht="22.5" customHeight="1">
      <c r="A39" s="21" t="s">
        <v>2004</v>
      </c>
      <c r="B39" s="21" t="s">
        <v>437</v>
      </c>
      <c r="C39" s="21" t="str">
        <f t="array" ref="C39">XLOOKUP(B39,Customer[Customer_ID],Customer[Name(Cleaned)])</f>
        <v>Donald Lee</v>
      </c>
      <c r="D39" s="22" t="str">
        <f>VLOOKUP(B39,Customer[#ALL],6)</f>
        <v>Female</v>
      </c>
      <c r="E39" s="23">
        <f>Sales[Order_Date]</f>
        <v>45424</v>
      </c>
      <c r="F39" s="21" t="str">
        <f>Sales[Store_ID]</f>
        <v>STORE0</v>
      </c>
      <c r="G39" s="21" t="str">
        <f t="array" ref="G39">INDEX(Store[Store_Name],MATCH(F39,Store[Store_ID],0))</f>
        <v>Rivera-Warner</v>
      </c>
      <c r="H39" s="21" t="str">
        <f>Sales[Product_ID]</f>
        <v>PROD73</v>
      </c>
      <c r="I39" s="21" t="str">
        <f>VLOOKUP(H39,Products[],2)</f>
        <v>Shin Guards – Adult</v>
      </c>
      <c r="J39" s="24">
        <f>Sales[Total_Amount]</f>
        <v>262.808</v>
      </c>
      <c r="K39" s="21" t="str">
        <f t="shared" si="1"/>
        <v>May</v>
      </c>
      <c r="L39" s="21">
        <f t="shared" si="2"/>
        <v>2024</v>
      </c>
      <c r="N39" s="33"/>
      <c r="O39" s="34"/>
    </row>
    <row r="40" ht="22.5" customHeight="1">
      <c r="A40" s="21" t="s">
        <v>2005</v>
      </c>
      <c r="B40" s="21" t="s">
        <v>887</v>
      </c>
      <c r="C40" s="21" t="str">
        <f t="array" ref="C40">XLOOKUP(B40,Customer[Customer_ID],Customer[Name(Cleaned)])</f>
        <v>Sarah Lane</v>
      </c>
      <c r="D40" s="22" t="str">
        <f>VLOOKUP(B40,Customer[#ALL],6)</f>
        <v>Female</v>
      </c>
      <c r="E40" s="23">
        <f>Sales[Order_Date]</f>
        <v>45719</v>
      </c>
      <c r="F40" s="21" t="str">
        <f>Sales[Store_ID]</f>
        <v>STORE4</v>
      </c>
      <c r="G40" s="21" t="str">
        <f t="array" ref="G40">INDEX(Store[Store_Name],MATCH(F40,Store[Store_ID],0))</f>
        <v>Alexander Group</v>
      </c>
      <c r="H40" s="21" t="str">
        <f>Sales[Product_ID]</f>
        <v>PROD44</v>
      </c>
      <c r="I40" s="21" t="str">
        <f>VLOOKUP(H40,Products[],2)</f>
        <v>Adjustable Jump Rope</v>
      </c>
      <c r="J40" s="24">
        <f>Sales[Total_Amount]</f>
        <v>33.1296</v>
      </c>
      <c r="K40" s="21" t="str">
        <f t="shared" si="1"/>
        <v>Mar</v>
      </c>
      <c r="L40" s="21">
        <f t="shared" si="2"/>
        <v>2025</v>
      </c>
      <c r="N40" s="33"/>
      <c r="O40" s="34"/>
    </row>
    <row r="41" ht="22.5" customHeight="1">
      <c r="A41" s="21" t="s">
        <v>2006</v>
      </c>
      <c r="B41" s="21" t="s">
        <v>380</v>
      </c>
      <c r="C41" s="21" t="str">
        <f t="array" ref="C41">XLOOKUP(B41,Customer[Customer_ID],Customer[Name(Cleaned)])</f>
        <v>Lance Baker</v>
      </c>
      <c r="D41" s="22" t="str">
        <f>VLOOKUP(B41,Customer[#ALL],6)</f>
        <v>Male</v>
      </c>
      <c r="E41" s="23">
        <f>Sales[Order_Date]</f>
        <v>45250</v>
      </c>
      <c r="F41" s="21" t="str">
        <f>Sales[Store_ID]</f>
        <v>STORE11</v>
      </c>
      <c r="G41" s="21" t="str">
        <f t="array" ref="G41">INDEX(Store[Store_Name],MATCH(F41,Store[Store_ID],0))</f>
        <v>Aguirre-Keller</v>
      </c>
      <c r="H41" s="21" t="str">
        <f>Sales[Product_ID]</f>
        <v>PROD19</v>
      </c>
      <c r="I41" s="21" t="str">
        <f>VLOOKUP(H41,Products[],2)</f>
        <v>Knee Support Brace</v>
      </c>
      <c r="J41" s="24">
        <f>Sales[Total_Amount]</f>
        <v>1871.7186</v>
      </c>
      <c r="K41" s="21" t="str">
        <f t="shared" si="1"/>
        <v>Nov</v>
      </c>
      <c r="L41" s="21">
        <f t="shared" si="2"/>
        <v>2023</v>
      </c>
      <c r="N41" s="33"/>
      <c r="O41" s="34"/>
    </row>
    <row r="42" ht="22.5" customHeight="1">
      <c r="A42" s="21" t="s">
        <v>2007</v>
      </c>
      <c r="B42" s="21" t="s">
        <v>803</v>
      </c>
      <c r="C42" s="21" t="str">
        <f t="array" ref="C42">XLOOKUP(B42,Customer[Customer_ID],Customer[Name(Cleaned)])</f>
        <v>Mary Russell</v>
      </c>
      <c r="D42" s="22" t="str">
        <f>VLOOKUP(B42,Customer[#ALL],6)</f>
        <v>Female</v>
      </c>
      <c r="E42" s="23">
        <f>Sales[Order_Date]</f>
        <v>45479</v>
      </c>
      <c r="F42" s="21" t="str">
        <f>Sales[Store_ID]</f>
        <v>STORE9</v>
      </c>
      <c r="G42" s="21" t="str">
        <f t="array" ref="G42">INDEX(Store[Store_Name],MATCH(F42,Store[Store_ID],0))</f>
        <v>Moore, Padilla and Butler</v>
      </c>
      <c r="H42" s="21" t="str">
        <f>Sales[Product_ID]</f>
        <v>PROD33</v>
      </c>
      <c r="I42" s="21" t="str">
        <f>VLOOKUP(H42,Products[],2)</f>
        <v>Modern Wall Clock</v>
      </c>
      <c r="J42" s="24">
        <f>Sales[Total_Amount]</f>
        <v>356.1867</v>
      </c>
      <c r="K42" s="21" t="str">
        <f t="shared" si="1"/>
        <v>Jul</v>
      </c>
      <c r="L42" s="21">
        <f t="shared" si="2"/>
        <v>2024</v>
      </c>
      <c r="N42" s="33"/>
      <c r="O42" s="34"/>
    </row>
    <row r="43" ht="22.5" customHeight="1">
      <c r="A43" s="21" t="s">
        <v>2008</v>
      </c>
      <c r="B43" s="21" t="s">
        <v>340</v>
      </c>
      <c r="C43" s="21" t="str">
        <f t="array" ref="C43">XLOOKUP(B43,Customer[Customer_ID],Customer[Name(Cleaned)])</f>
        <v>Robert Jackson</v>
      </c>
      <c r="D43" s="22" t="str">
        <f>VLOOKUP(B43,Customer[#ALL],6)</f>
        <v>Male</v>
      </c>
      <c r="E43" s="23">
        <f>Sales[Order_Date]</f>
        <v>45727</v>
      </c>
      <c r="F43" s="21" t="str">
        <f>Sales[Store_ID]</f>
        <v>STORE3</v>
      </c>
      <c r="G43" s="21" t="str">
        <f t="array" ref="G43">INDEX(Store[Store_Name],MATCH(F43,Store[Store_ID],0))</f>
        <v>Johnson-Wright</v>
      </c>
      <c r="H43" s="21" t="str">
        <f>Sales[Product_ID]</f>
        <v>PROD78</v>
      </c>
      <c r="I43" s="21" t="str">
        <f>VLOOKUP(H43,Products[],2)</f>
        <v>Essential Oil Diffuser</v>
      </c>
      <c r="J43" s="24">
        <f>Sales[Total_Amount]</f>
        <v>1230.9501</v>
      </c>
      <c r="K43" s="21" t="str">
        <f t="shared" si="1"/>
        <v>Mar</v>
      </c>
      <c r="L43" s="21">
        <f t="shared" si="2"/>
        <v>2025</v>
      </c>
      <c r="N43" s="33"/>
      <c r="O43" s="34"/>
    </row>
    <row r="44" ht="22.5" customHeight="1">
      <c r="A44" s="21" t="s">
        <v>2009</v>
      </c>
      <c r="B44" s="21" t="s">
        <v>1167</v>
      </c>
      <c r="C44" s="21" t="str">
        <f t="array" ref="C44">XLOOKUP(B44,Customer[Customer_ID],Customer[Name(Cleaned)])</f>
        <v>Miranda King</v>
      </c>
      <c r="D44" s="22" t="str">
        <f>VLOOKUP(B44,Customer[#ALL],6)</f>
        <v>Male</v>
      </c>
      <c r="E44" s="23">
        <f>Sales[Order_Date]</f>
        <v>45394</v>
      </c>
      <c r="F44" s="21" t="str">
        <f>Sales[Store_ID]</f>
        <v>STORE14</v>
      </c>
      <c r="G44" s="21" t="str">
        <f t="array" ref="G44">INDEX(Store[Store_Name],MATCH(F44,Store[Store_ID],0))</f>
        <v>Mcdonald Inc</v>
      </c>
      <c r="H44" s="21" t="str">
        <f>Sales[Product_ID]</f>
        <v>PROD19</v>
      </c>
      <c r="I44" s="21" t="str">
        <f>VLOOKUP(H44,Products[],2)</f>
        <v>Knee Support Brace</v>
      </c>
      <c r="J44" s="24">
        <f>Sales[Total_Amount]</f>
        <v>1489.8744</v>
      </c>
      <c r="K44" s="21" t="str">
        <f t="shared" si="1"/>
        <v>Apr</v>
      </c>
      <c r="L44" s="21">
        <f t="shared" si="2"/>
        <v>2024</v>
      </c>
      <c r="N44" s="33"/>
      <c r="O44" s="34"/>
    </row>
    <row r="45" ht="22.5" customHeight="1">
      <c r="A45" s="21" t="s">
        <v>2010</v>
      </c>
      <c r="B45" s="21" t="s">
        <v>899</v>
      </c>
      <c r="C45" s="21" t="str">
        <f t="array" ref="C45">XLOOKUP(B45,Customer[Customer_ID],Customer[Name(Cleaned)])</f>
        <v>Stephen Fowler</v>
      </c>
      <c r="D45" s="22" t="str">
        <f>VLOOKUP(B45,Customer[#ALL],6)</f>
        <v>Male</v>
      </c>
      <c r="E45" s="23">
        <f>Sales[Order_Date]</f>
        <v>45773</v>
      </c>
      <c r="F45" s="21" t="str">
        <f>Sales[Store_ID]</f>
        <v>STORE1</v>
      </c>
      <c r="G45" s="21" t="str">
        <f t="array" ref="G45">INDEX(Store[Store_Name],MATCH(F45,Store[Store_ID],0))</f>
        <v>Martinez, Adkins and Johnson</v>
      </c>
      <c r="H45" s="21" t="str">
        <f>Sales[Product_ID]</f>
        <v>PROD23</v>
      </c>
      <c r="I45" s="21" t="str">
        <f>VLOOKUP(H45,Products[],2)</f>
        <v>Men's Formal Shirt</v>
      </c>
      <c r="J45" s="24">
        <f>Sales[Total_Amount]</f>
        <v>1818.3264</v>
      </c>
      <c r="K45" s="21" t="str">
        <f t="shared" si="1"/>
        <v>Apr</v>
      </c>
      <c r="L45" s="21">
        <f t="shared" si="2"/>
        <v>2025</v>
      </c>
      <c r="N45" s="33"/>
      <c r="O45" s="34"/>
    </row>
    <row r="46" ht="22.5" customHeight="1">
      <c r="A46" s="21" t="s">
        <v>2011</v>
      </c>
      <c r="B46" s="21" t="s">
        <v>543</v>
      </c>
      <c r="C46" s="21" t="str">
        <f t="array" ref="C46">XLOOKUP(B46,Customer[Customer_ID],Customer[Name(Cleaned)])</f>
        <v>Brian Choi</v>
      </c>
      <c r="D46" s="22" t="str">
        <f>VLOOKUP(B46,Customer[#ALL],6)</f>
        <v>Male</v>
      </c>
      <c r="E46" s="23">
        <f>Sales[Order_Date]</f>
        <v>45779</v>
      </c>
      <c r="F46" s="21" t="str">
        <f>Sales[Store_ID]</f>
        <v>STORE9</v>
      </c>
      <c r="G46" s="21" t="str">
        <f t="array" ref="G46">INDEX(Store[Store_Name],MATCH(F46,Store[Store_ID],0))</f>
        <v>Moore, Padilla and Butler</v>
      </c>
      <c r="H46" s="21" t="str">
        <f>Sales[Product_ID]</f>
        <v>PROD43</v>
      </c>
      <c r="I46" s="21" t="str">
        <f>VLOOKUP(H46,Products[],2)</f>
        <v>USB External Hard Drive</v>
      </c>
      <c r="J46" s="24">
        <f>Sales[Total_Amount]</f>
        <v>489.782</v>
      </c>
      <c r="K46" s="21" t="str">
        <f t="shared" si="1"/>
        <v>May</v>
      </c>
      <c r="L46" s="21">
        <f t="shared" si="2"/>
        <v>2025</v>
      </c>
      <c r="N46" s="33"/>
      <c r="O46" s="34"/>
    </row>
    <row r="47" ht="22.5" customHeight="1">
      <c r="A47" s="21" t="s">
        <v>2012</v>
      </c>
      <c r="B47" s="21" t="s">
        <v>206</v>
      </c>
      <c r="C47" s="21" t="str">
        <f t="array" ref="C47">XLOOKUP(B47,Customer[Customer_ID],Customer[Name(Cleaned)])</f>
        <v>Debra Liu</v>
      </c>
      <c r="D47" s="22" t="str">
        <f>VLOOKUP(B47,Customer[#ALL],6)</f>
        <v>Female</v>
      </c>
      <c r="E47" s="23">
        <f>Sales[Order_Date]</f>
        <v>45400</v>
      </c>
      <c r="F47" s="21" t="str">
        <f>Sales[Store_ID]</f>
        <v>STORE7</v>
      </c>
      <c r="G47" s="21" t="str">
        <f t="array" ref="G47">INDEX(Store[Store_Name],MATCH(F47,Store[Store_ID],0))</f>
        <v>Martinez-Mullins</v>
      </c>
      <c r="H47" s="21" t="str">
        <f>Sales[Product_ID]</f>
        <v>PROD53</v>
      </c>
      <c r="I47" s="21" t="str">
        <f>VLOOKUP(H47,Products[],2)</f>
        <v>Men's Track Pants</v>
      </c>
      <c r="J47" s="24">
        <f>Sales[Total_Amount]</f>
        <v>509.1498</v>
      </c>
      <c r="K47" s="21" t="str">
        <f t="shared" si="1"/>
        <v>Apr</v>
      </c>
      <c r="L47" s="21">
        <f t="shared" si="2"/>
        <v>2024</v>
      </c>
      <c r="N47" s="33"/>
      <c r="O47" s="34"/>
    </row>
    <row r="48" ht="22.5" customHeight="1">
      <c r="A48" s="21" t="s">
        <v>2013</v>
      </c>
      <c r="B48" s="21" t="s">
        <v>531</v>
      </c>
      <c r="C48" s="21" t="str">
        <f t="array" ref="C48">XLOOKUP(B48,Customer[Customer_ID],Customer[Name(Cleaned)])</f>
        <v>Curtis Haynes</v>
      </c>
      <c r="D48" s="22" t="str">
        <f>VLOOKUP(B48,Customer[#ALL],6)</f>
        <v>Male</v>
      </c>
      <c r="E48" s="23">
        <f>Sales[Order_Date]</f>
        <v>45520</v>
      </c>
      <c r="F48" s="21" t="str">
        <f>Sales[Store_ID]</f>
        <v>STORE14</v>
      </c>
      <c r="G48" s="21" t="str">
        <f t="array" ref="G48">INDEX(Store[Store_Name],MATCH(F48,Store[Store_ID],0))</f>
        <v>Mcdonald Inc</v>
      </c>
      <c r="H48" s="21" t="str">
        <f>Sales[Product_ID]</f>
        <v>PROD72</v>
      </c>
      <c r="I48" s="21" t="str">
        <f>VLOOKUP(H48,Products[],2)</f>
        <v>Professional Jump Rope</v>
      </c>
      <c r="J48" s="24">
        <f>Sales[Total_Amount]</f>
        <v>998.1873</v>
      </c>
      <c r="K48" s="21" t="str">
        <f t="shared" si="1"/>
        <v>Aug</v>
      </c>
      <c r="L48" s="21">
        <f t="shared" si="2"/>
        <v>2024</v>
      </c>
      <c r="N48" s="33"/>
      <c r="O48" s="34"/>
    </row>
    <row r="49" ht="22.5" customHeight="1">
      <c r="A49" s="21" t="s">
        <v>2014</v>
      </c>
      <c r="B49" s="21" t="s">
        <v>129</v>
      </c>
      <c r="C49" s="21" t="str">
        <f t="array" ref="C49">XLOOKUP(B49,Customer[Customer_ID],Customer[Name(Cleaned)])</f>
        <v>David Arnold</v>
      </c>
      <c r="D49" s="22" t="str">
        <f>VLOOKUP(B49,Customer[#ALL],6)</f>
        <v>Male</v>
      </c>
      <c r="E49" s="23">
        <f>Sales[Order_Date]</f>
        <v>45330</v>
      </c>
      <c r="F49" s="21" t="str">
        <f>Sales[Store_ID]</f>
        <v>STORE11</v>
      </c>
      <c r="G49" s="21" t="str">
        <f t="array" ref="G49">INDEX(Store[Store_Name],MATCH(F49,Store[Store_ID],0))</f>
        <v>Aguirre-Keller</v>
      </c>
      <c r="H49" s="21" t="str">
        <f>Sales[Product_ID]</f>
        <v>PROD86</v>
      </c>
      <c r="I49" s="21" t="str">
        <f>VLOOKUP(H49,Products[],2)</f>
        <v>Kitchen Cutting Board</v>
      </c>
      <c r="J49" s="24">
        <f>Sales[Total_Amount]</f>
        <v>1636.1118</v>
      </c>
      <c r="K49" s="21" t="str">
        <f t="shared" si="1"/>
        <v>Feb</v>
      </c>
      <c r="L49" s="21">
        <f t="shared" si="2"/>
        <v>2024</v>
      </c>
      <c r="N49" s="33"/>
      <c r="O49" s="34"/>
    </row>
    <row r="50" ht="22.5" customHeight="1">
      <c r="A50" s="21" t="s">
        <v>2015</v>
      </c>
      <c r="B50" s="21" t="s">
        <v>25</v>
      </c>
      <c r="C50" s="21" t="str">
        <f t="array" ref="C50">XLOOKUP(B50,Customer[Customer_ID],Customer[Name(Cleaned)])</f>
        <v>Dr. Benjamin Price</v>
      </c>
      <c r="D50" s="22" t="str">
        <f>VLOOKUP(B50,Customer[#ALL],6)</f>
        <v>Male</v>
      </c>
      <c r="E50" s="23">
        <f>Sales[Order_Date]</f>
        <v>45861</v>
      </c>
      <c r="F50" s="21" t="str">
        <f>Sales[Store_ID]</f>
        <v>STORE17</v>
      </c>
      <c r="G50" s="21" t="str">
        <f t="array" ref="G50">INDEX(Store[Store_Name],MATCH(F50,Store[Store_ID],0))</f>
        <v>Holloway Ltd</v>
      </c>
      <c r="H50" s="21" t="str">
        <f>Sales[Product_ID]</f>
        <v>PROD75</v>
      </c>
      <c r="I50" s="21" t="str">
        <f>VLOOKUP(H50,Products[],2)</f>
        <v>Women's Ankle Boots</v>
      </c>
      <c r="J50" s="24">
        <f>Sales[Total_Amount]</f>
        <v>466.7817</v>
      </c>
      <c r="K50" s="21" t="str">
        <f t="shared" si="1"/>
        <v>Jul</v>
      </c>
      <c r="L50" s="21">
        <f t="shared" si="2"/>
        <v>2025</v>
      </c>
      <c r="N50" s="33"/>
      <c r="O50" s="34"/>
    </row>
    <row r="51" ht="22.5" customHeight="1">
      <c r="A51" s="21" t="s">
        <v>2016</v>
      </c>
      <c r="B51" s="21" t="s">
        <v>993</v>
      </c>
      <c r="C51" s="21" t="str">
        <f t="array" ref="C51">XLOOKUP(B51,Customer[Customer_ID],Customer[Name(Cleaned)])</f>
        <v>Kara Dodson</v>
      </c>
      <c r="D51" s="22" t="str">
        <f>VLOOKUP(B51,Customer[#ALL],6)</f>
        <v>Female</v>
      </c>
      <c r="E51" s="23">
        <f>Sales[Order_Date]</f>
        <v>45781</v>
      </c>
      <c r="F51" s="21" t="str">
        <f>Sales[Store_ID]</f>
        <v>STORE8</v>
      </c>
      <c r="G51" s="21" t="str">
        <f t="array" ref="G51">INDEX(Store[Store_Name],MATCH(F51,Store[Store_ID],0))</f>
        <v>Bean, Jones and Park</v>
      </c>
      <c r="H51" s="21" t="str">
        <f>Sales[Product_ID]</f>
        <v>PROD17</v>
      </c>
      <c r="I51" s="21" t="str">
        <f>VLOOKUP(H51,Products[],2)</f>
        <v>Soccer Training Cone Set</v>
      </c>
      <c r="J51" s="24">
        <f>Sales[Total_Amount]</f>
        <v>698.76</v>
      </c>
      <c r="K51" s="21" t="str">
        <f t="shared" si="1"/>
        <v>May</v>
      </c>
      <c r="L51" s="21">
        <f t="shared" si="2"/>
        <v>2025</v>
      </c>
      <c r="N51" s="33"/>
      <c r="O51" s="34"/>
    </row>
    <row r="52" ht="22.5" customHeight="1">
      <c r="A52" s="21" t="s">
        <v>2017</v>
      </c>
      <c r="B52" s="21" t="s">
        <v>579</v>
      </c>
      <c r="C52" s="21" t="str">
        <f t="array" ref="C52">XLOOKUP(B52,Customer[Customer_ID],Customer[Name(Cleaned)])</f>
        <v>Amy Wilson</v>
      </c>
      <c r="D52" s="22" t="str">
        <f>VLOOKUP(B52,Customer[#ALL],6)</f>
        <v>Male</v>
      </c>
      <c r="E52" s="23">
        <f>Sales[Order_Date]</f>
        <v>45906</v>
      </c>
      <c r="F52" s="21" t="str">
        <f>Sales[Store_ID]</f>
        <v>STORE10</v>
      </c>
      <c r="G52" s="21" t="str">
        <f t="array" ref="G52">INDEX(Store[Store_Name],MATCH(F52,Store[Store_ID],0))</f>
        <v>Hill, Wagner and Ballard</v>
      </c>
      <c r="H52" s="21" t="str">
        <f>Sales[Product_ID]</f>
        <v>PROD75</v>
      </c>
      <c r="I52" s="21" t="str">
        <f>VLOOKUP(H52,Products[],2)</f>
        <v>Women's Ankle Boots</v>
      </c>
      <c r="J52" s="24">
        <f>Sales[Total_Amount]</f>
        <v>1988.568</v>
      </c>
      <c r="K52" s="21" t="str">
        <f t="shared" si="1"/>
        <v>Sep</v>
      </c>
      <c r="L52" s="21">
        <f t="shared" si="2"/>
        <v>2025</v>
      </c>
      <c r="N52" s="33"/>
      <c r="O52" s="34"/>
    </row>
    <row r="53" ht="22.5" customHeight="1">
      <c r="A53" s="21" t="s">
        <v>2018</v>
      </c>
      <c r="B53" s="21" t="s">
        <v>386</v>
      </c>
      <c r="C53" s="21" t="str">
        <f t="array" ref="C53">XLOOKUP(B53,Customer[Customer_ID],Customer[Name(Cleaned)])</f>
        <v>Erica Carney</v>
      </c>
      <c r="D53" s="22" t="str">
        <f>VLOOKUP(B53,Customer[#ALL],6)</f>
        <v>Male</v>
      </c>
      <c r="E53" s="23">
        <f>Sales[Order_Date]</f>
        <v>45251</v>
      </c>
      <c r="F53" s="21" t="str">
        <f>Sales[Store_ID]</f>
        <v>STORE17</v>
      </c>
      <c r="G53" s="21" t="str">
        <f t="array" ref="G53">INDEX(Store[Store_Name],MATCH(F53,Store[Store_ID],0))</f>
        <v>Holloway Ltd</v>
      </c>
      <c r="H53" s="21" t="str">
        <f>Sales[Product_ID]</f>
        <v>PROD58</v>
      </c>
      <c r="I53" s="21" t="str">
        <f>VLOOKUP(H53,Products[],2)</f>
        <v>Womens Cotton Scarf</v>
      </c>
      <c r="J53" s="24">
        <f>Sales[Total_Amount]</f>
        <v>1177.0512</v>
      </c>
      <c r="K53" s="21" t="str">
        <f t="shared" si="1"/>
        <v>Nov</v>
      </c>
      <c r="L53" s="21">
        <f t="shared" si="2"/>
        <v>2023</v>
      </c>
      <c r="N53" s="33"/>
      <c r="O53" s="34"/>
    </row>
    <row r="54" ht="22.5" customHeight="1">
      <c r="A54" s="21" t="s">
        <v>2019</v>
      </c>
      <c r="B54" s="21" t="s">
        <v>210</v>
      </c>
      <c r="C54" s="21" t="str">
        <f t="array" ref="C54">XLOOKUP(B54,Customer[Customer_ID],Customer[Name(Cleaned)])</f>
        <v>Sharon Brown</v>
      </c>
      <c r="D54" s="22" t="str">
        <f>VLOOKUP(B54,Customer[#ALL],6)</f>
        <v>Male</v>
      </c>
      <c r="E54" s="23">
        <f>Sales[Order_Date]</f>
        <v>45257</v>
      </c>
      <c r="F54" s="21" t="str">
        <f>Sales[Store_ID]</f>
        <v>STORE19</v>
      </c>
      <c r="G54" s="21" t="str">
        <f t="array" ref="G54">INDEX(Store[Store_Name],MATCH(F54,Store[Store_ID],0))</f>
        <v>Mann-Austin</v>
      </c>
      <c r="H54" s="21" t="str">
        <f>Sales[Product_ID]</f>
        <v>PROD47</v>
      </c>
      <c r="I54" s="21" t="str">
        <f>VLOOKUP(H54,Products[],2)</f>
        <v>Makeup Brush Set</v>
      </c>
      <c r="J54" s="24">
        <f>Sales[Total_Amount]</f>
        <v>680.652</v>
      </c>
      <c r="K54" s="21" t="str">
        <f t="shared" si="1"/>
        <v>Nov</v>
      </c>
      <c r="L54" s="21">
        <f t="shared" si="2"/>
        <v>2023</v>
      </c>
      <c r="N54" s="33"/>
      <c r="O54" s="34"/>
    </row>
    <row r="55" ht="22.5" customHeight="1">
      <c r="A55" s="21" t="s">
        <v>2020</v>
      </c>
      <c r="B55" s="21" t="s">
        <v>1549</v>
      </c>
      <c r="C55" s="21" t="str">
        <f t="array" ref="C55">XLOOKUP(B55,Customer[Customer_ID],Customer[Name(Cleaned)])</f>
        <v>Philip Pennington</v>
      </c>
      <c r="D55" s="22" t="str">
        <f>VLOOKUP(B55,Customer[#ALL],6)</f>
        <v>Male</v>
      </c>
      <c r="E55" s="23">
        <f>Sales[Order_Date]</f>
        <v>45818</v>
      </c>
      <c r="F55" s="21" t="str">
        <f>Sales[Store_ID]</f>
        <v>STORE4</v>
      </c>
      <c r="G55" s="21" t="str">
        <f t="array" ref="G55">INDEX(Store[Store_Name],MATCH(F55,Store[Store_ID],0))</f>
        <v>Alexander Group</v>
      </c>
      <c r="H55" s="21" t="str">
        <f>Sales[Product_ID]</f>
        <v>PROD30</v>
      </c>
      <c r="I55" s="21" t="str">
        <f>VLOOKUP(H55,Products[],2)</f>
        <v>Stainless Steel Cutlery Set</v>
      </c>
      <c r="J55" s="24">
        <f>Sales[Total_Amount]</f>
        <v>808.6419</v>
      </c>
      <c r="K55" s="21" t="str">
        <f t="shared" si="1"/>
        <v>Jun</v>
      </c>
      <c r="L55" s="21">
        <f t="shared" si="2"/>
        <v>2025</v>
      </c>
      <c r="N55" s="33"/>
      <c r="O55" s="34"/>
    </row>
    <row r="56" ht="22.5" customHeight="1">
      <c r="A56" s="21" t="s">
        <v>2021</v>
      </c>
      <c r="B56" s="21" t="s">
        <v>857</v>
      </c>
      <c r="C56" s="21" t="str">
        <f t="array" ref="C56">XLOOKUP(B56,Customer[Customer_ID],Customer[Name(Cleaned)])</f>
        <v>Matthew Payne</v>
      </c>
      <c r="D56" s="22" t="str">
        <f>VLOOKUP(B56,Customer[#ALL],6)</f>
        <v>Female</v>
      </c>
      <c r="E56" s="23">
        <f>Sales[Order_Date]</f>
        <v>45806</v>
      </c>
      <c r="F56" s="21" t="str">
        <f>Sales[Store_ID]</f>
        <v>STORE11</v>
      </c>
      <c r="G56" s="21" t="str">
        <f t="array" ref="G56">INDEX(Store[Store_Name],MATCH(F56,Store[Store_ID],0))</f>
        <v>Aguirre-Keller</v>
      </c>
      <c r="H56" s="21" t="str">
        <f>Sales[Product_ID]</f>
        <v>PROD92</v>
      </c>
      <c r="I56" s="21" t="str">
        <f>VLOOKUP(H56,Products[],2)</f>
        <v>Microwave Oven</v>
      </c>
      <c r="J56" s="24">
        <f>Sales[Total_Amount]</f>
        <v>150.7608</v>
      </c>
      <c r="K56" s="21" t="str">
        <f t="shared" si="1"/>
        <v>May</v>
      </c>
      <c r="L56" s="21">
        <f t="shared" si="2"/>
        <v>2025</v>
      </c>
      <c r="N56" s="33"/>
      <c r="O56" s="34"/>
    </row>
    <row r="57" ht="22.5" customHeight="1">
      <c r="A57" s="21" t="s">
        <v>2022</v>
      </c>
      <c r="B57" s="21" t="s">
        <v>210</v>
      </c>
      <c r="C57" s="21" t="str">
        <f t="array" ref="C57">XLOOKUP(B57,Customer[Customer_ID],Customer[Name(Cleaned)])</f>
        <v>Sharon Brown</v>
      </c>
      <c r="D57" s="22" t="str">
        <f>VLOOKUP(B57,Customer[#ALL],6)</f>
        <v>Male</v>
      </c>
      <c r="E57" s="23">
        <f>Sales[Order_Date]</f>
        <v>45288</v>
      </c>
      <c r="F57" s="21" t="str">
        <f>Sales[Store_ID]</f>
        <v>STORE9</v>
      </c>
      <c r="G57" s="21" t="str">
        <f t="array" ref="G57">INDEX(Store[Store_Name],MATCH(F57,Store[Store_ID],0))</f>
        <v>Moore, Padilla and Butler</v>
      </c>
      <c r="H57" s="21" t="str">
        <f>Sales[Product_ID]</f>
        <v>PROD80</v>
      </c>
      <c r="I57" s="21" t="str">
        <f>VLOOKUP(H57,Products[],2)</f>
        <v>Wall-Mounted Spice Rack</v>
      </c>
      <c r="J57" s="24">
        <f>Sales[Total_Amount]</f>
        <v>626.6799</v>
      </c>
      <c r="K57" s="21" t="str">
        <f t="shared" si="1"/>
        <v>Dec</v>
      </c>
      <c r="L57" s="21">
        <f t="shared" si="2"/>
        <v>2023</v>
      </c>
      <c r="N57" s="33"/>
      <c r="O57" s="34"/>
    </row>
    <row r="58" ht="22.5" customHeight="1">
      <c r="A58" s="21" t="s">
        <v>2023</v>
      </c>
      <c r="B58" s="21" t="s">
        <v>836</v>
      </c>
      <c r="C58" s="21" t="str">
        <f t="array" ref="C58">XLOOKUP(B58,Customer[Customer_ID],Customer[Name(Cleaned)])</f>
        <v>Christopher David</v>
      </c>
      <c r="D58" s="22" t="str">
        <f>VLOOKUP(B58,Customer[#ALL],6)</f>
        <v>Female</v>
      </c>
      <c r="E58" s="23">
        <f>Sales[Order_Date]</f>
        <v>45783</v>
      </c>
      <c r="F58" s="21" t="str">
        <f>Sales[Store_ID]</f>
        <v>STORE0</v>
      </c>
      <c r="G58" s="21" t="str">
        <f t="array" ref="G58">INDEX(Store[Store_Name],MATCH(F58,Store[Store_ID],0))</f>
        <v>Rivera-Warner</v>
      </c>
      <c r="H58" s="21" t="str">
        <f>Sales[Product_ID]</f>
        <v>PROD28</v>
      </c>
      <c r="I58" s="21" t="str">
        <f>VLOOKUP(H58,Products[],2)</f>
        <v>Sports Stopwatch Timer</v>
      </c>
      <c r="J58" s="24">
        <f>Sales[Total_Amount]</f>
        <v>116.397</v>
      </c>
      <c r="K58" s="21" t="str">
        <f t="shared" si="1"/>
        <v>May</v>
      </c>
      <c r="L58" s="21">
        <f t="shared" si="2"/>
        <v>2025</v>
      </c>
      <c r="N58" s="33"/>
      <c r="O58" s="34"/>
    </row>
    <row r="59" ht="22.5" customHeight="1">
      <c r="A59" s="21" t="s">
        <v>2024</v>
      </c>
      <c r="B59" s="21" t="s">
        <v>1465</v>
      </c>
      <c r="C59" s="21" t="str">
        <f t="array" ref="C59">XLOOKUP(B59,Customer[Customer_ID],Customer[Name(Cleaned)])</f>
        <v>Manuel Fisher</v>
      </c>
      <c r="D59" s="22" t="str">
        <f>VLOOKUP(B59,Customer[#ALL],6)</f>
        <v>Male</v>
      </c>
      <c r="E59" s="23">
        <f>Sales[Order_Date]</f>
        <v>45385</v>
      </c>
      <c r="F59" s="21" t="str">
        <f>Sales[Store_ID]</f>
        <v>STORE1</v>
      </c>
      <c r="G59" s="21" t="str">
        <f t="array" ref="G59">INDEX(Store[Store_Name],MATCH(F59,Store[Store_ID],0))</f>
        <v>Martinez, Adkins and Johnson</v>
      </c>
      <c r="H59" s="21" t="str">
        <f>Sales[Product_ID]</f>
        <v>PROD46</v>
      </c>
      <c r="I59" s="21" t="str">
        <f>VLOOKUP(H59,Products[],2)</f>
        <v>Men's Winter Jacket</v>
      </c>
      <c r="J59" s="24">
        <f>Sales[Total_Amount]</f>
        <v>3181.892</v>
      </c>
      <c r="K59" s="21" t="str">
        <f t="shared" si="1"/>
        <v>Apr</v>
      </c>
      <c r="L59" s="21">
        <f t="shared" si="2"/>
        <v>2024</v>
      </c>
      <c r="N59" s="33"/>
      <c r="O59" s="34"/>
    </row>
    <row r="60" ht="22.5" customHeight="1">
      <c r="A60" s="21" t="s">
        <v>2025</v>
      </c>
      <c r="B60" s="21" t="s">
        <v>25</v>
      </c>
      <c r="C60" s="21" t="str">
        <f t="array" ref="C60">XLOOKUP(B60,Customer[Customer_ID],Customer[Name(Cleaned)])</f>
        <v>Dr. Benjamin Price</v>
      </c>
      <c r="D60" s="22" t="str">
        <f>VLOOKUP(B60,Customer[#ALL],6)</f>
        <v>Male</v>
      </c>
      <c r="E60" s="23">
        <f>Sales[Order_Date]</f>
        <v>45214</v>
      </c>
      <c r="F60" s="21" t="str">
        <f>Sales[Store_ID]</f>
        <v>STORE17</v>
      </c>
      <c r="G60" s="21" t="str">
        <f t="array" ref="G60">INDEX(Store[Store_Name],MATCH(F60,Store[Store_ID],0))</f>
        <v>Holloway Ltd</v>
      </c>
      <c r="H60" s="21" t="str">
        <f>Sales[Product_ID]</f>
        <v>PROD79</v>
      </c>
      <c r="I60" s="21" t="str">
        <f>VLOOKUP(H60,Products[],2)</f>
        <v>Decorative Lamp Shade</v>
      </c>
      <c r="J60" s="24">
        <f>Sales[Total_Amount]</f>
        <v>602.2512</v>
      </c>
      <c r="K60" s="21" t="str">
        <f t="shared" si="1"/>
        <v>Oct</v>
      </c>
      <c r="L60" s="21">
        <f t="shared" si="2"/>
        <v>2023</v>
      </c>
      <c r="N60" s="33"/>
      <c r="O60" s="34"/>
    </row>
    <row r="61" ht="22.5" customHeight="1">
      <c r="A61" s="21" t="s">
        <v>2026</v>
      </c>
      <c r="B61" s="21" t="s">
        <v>425</v>
      </c>
      <c r="C61" s="21" t="str">
        <f t="array" ref="C61">XLOOKUP(B61,Customer[Customer_ID],Customer[Name(Cleaned)])</f>
        <v>Jacob Hopkins</v>
      </c>
      <c r="D61" s="22" t="str">
        <f>VLOOKUP(B61,Customer[#ALL],6)</f>
        <v>Male</v>
      </c>
      <c r="E61" s="23">
        <f>Sales[Order_Date]</f>
        <v>45878</v>
      </c>
      <c r="F61" s="21" t="str">
        <f>Sales[Store_ID]</f>
        <v>STORE19</v>
      </c>
      <c r="G61" s="21" t="str">
        <f t="array" ref="G61">INDEX(Store[Store_Name],MATCH(F61,Store[Store_ID],0))</f>
        <v>Mann-Austin</v>
      </c>
      <c r="H61" s="21" t="str">
        <f>Sales[Product_ID]</f>
        <v>PROD15</v>
      </c>
      <c r="I61" s="21" t="str">
        <f>VLOOKUP(H61,Products[],2)</f>
        <v>4K Home Projector</v>
      </c>
      <c r="J61" s="24">
        <f>Sales[Total_Amount]</f>
        <v>127.3944</v>
      </c>
      <c r="K61" s="21" t="str">
        <f t="shared" si="1"/>
        <v>Aug</v>
      </c>
      <c r="L61" s="21">
        <f t="shared" si="2"/>
        <v>2025</v>
      </c>
      <c r="N61" s="33"/>
      <c r="O61" s="34"/>
    </row>
    <row r="62" ht="22.5" customHeight="1">
      <c r="A62" s="21" t="s">
        <v>2027</v>
      </c>
      <c r="B62" s="21" t="s">
        <v>1549</v>
      </c>
      <c r="C62" s="21" t="str">
        <f t="array" ref="C62">XLOOKUP(B62,Customer[Customer_ID],Customer[Name(Cleaned)])</f>
        <v>Philip Pennington</v>
      </c>
      <c r="D62" s="22" t="str">
        <f>VLOOKUP(B62,Customer[#ALL],6)</f>
        <v>Male</v>
      </c>
      <c r="E62" s="23">
        <f>Sales[Order_Date]</f>
        <v>45720</v>
      </c>
      <c r="F62" s="21" t="str">
        <f>Sales[Store_ID]</f>
        <v>STORE8</v>
      </c>
      <c r="G62" s="21" t="str">
        <f t="array" ref="G62">INDEX(Store[Store_Name],MATCH(F62,Store[Store_ID],0))</f>
        <v>Bean, Jones and Park</v>
      </c>
      <c r="H62" s="21" t="str">
        <f>Sales[Product_ID]</f>
        <v>PROD44</v>
      </c>
      <c r="I62" s="21" t="str">
        <f>VLOOKUP(H62,Products[],2)</f>
        <v>Adjustable Jump Rope</v>
      </c>
      <c r="J62" s="24">
        <f>Sales[Total_Amount]</f>
        <v>2826.516</v>
      </c>
      <c r="K62" s="21" t="str">
        <f t="shared" si="1"/>
        <v>Mar</v>
      </c>
      <c r="L62" s="21">
        <f t="shared" si="2"/>
        <v>2025</v>
      </c>
      <c r="N62" s="33"/>
      <c r="O62" s="34"/>
    </row>
    <row r="63" ht="22.5" customHeight="1">
      <c r="A63" s="21" t="s">
        <v>2028</v>
      </c>
      <c r="B63" s="21" t="s">
        <v>1173</v>
      </c>
      <c r="C63" s="21" t="str">
        <f t="array" ref="C63">XLOOKUP(B63,Customer[Customer_ID],Customer[Name(Cleaned)])</f>
        <v>James Holloway Jr.</v>
      </c>
      <c r="D63" s="22" t="str">
        <f>VLOOKUP(B63,Customer[#ALL],6)</f>
        <v>Female</v>
      </c>
      <c r="E63" s="23">
        <f>Sales[Order_Date]</f>
        <v>45503</v>
      </c>
      <c r="F63" s="21" t="str">
        <f>Sales[Store_ID]</f>
        <v>STORE18</v>
      </c>
      <c r="G63" s="21" t="str">
        <f t="array" ref="G63">INDEX(Store[Store_Name],MATCH(F63,Store[Store_ID],0))</f>
        <v>Guerrero-Schmitt</v>
      </c>
      <c r="H63" s="21" t="str">
        <f>Sales[Product_ID]</f>
        <v>PROD74</v>
      </c>
      <c r="I63" s="21" t="str">
        <f>VLOOKUP(H63,Products[],2)</f>
        <v>Bluetooth Car Audio System</v>
      </c>
      <c r="J63" s="24">
        <f>Sales[Total_Amount]</f>
        <v>1542.1752</v>
      </c>
      <c r="K63" s="21" t="str">
        <f t="shared" si="1"/>
        <v>Jul</v>
      </c>
      <c r="L63" s="21">
        <f t="shared" si="2"/>
        <v>2024</v>
      </c>
      <c r="N63" s="33"/>
      <c r="O63" s="34"/>
    </row>
    <row r="64" ht="22.5" customHeight="1">
      <c r="A64" s="21" t="s">
        <v>2029</v>
      </c>
      <c r="B64" s="21" t="s">
        <v>1203</v>
      </c>
      <c r="C64" s="21" t="str">
        <f t="array" ref="C64">XLOOKUP(B64,Customer[Customer_ID],Customer[Name(Cleaned)])</f>
        <v>Shelley Ponce</v>
      </c>
      <c r="D64" s="22" t="str">
        <f>VLOOKUP(B64,Customer[#ALL],6)</f>
        <v>Female</v>
      </c>
      <c r="E64" s="23">
        <f>Sales[Order_Date]</f>
        <v>45551</v>
      </c>
      <c r="F64" s="21" t="str">
        <f>Sales[Store_ID]</f>
        <v>STORE15</v>
      </c>
      <c r="G64" s="21" t="str">
        <f t="array" ref="G64">INDEX(Store[Store_Name],MATCH(F64,Store[Store_ID],0))</f>
        <v>Shelton PLC</v>
      </c>
      <c r="H64" s="21" t="str">
        <f>Sales[Product_ID]</f>
        <v>PROD38</v>
      </c>
      <c r="I64" s="21" t="str">
        <f>VLOOKUP(H64,Products[],2)</f>
        <v>Sports Water Hydration Pack</v>
      </c>
      <c r="J64" s="24">
        <f>Sales[Total_Amount]</f>
        <v>467.7728</v>
      </c>
      <c r="K64" s="21" t="str">
        <f t="shared" si="1"/>
        <v>Sep</v>
      </c>
      <c r="L64" s="21">
        <f t="shared" si="2"/>
        <v>2024</v>
      </c>
      <c r="N64" s="33"/>
      <c r="O64" s="34"/>
    </row>
    <row r="65" ht="22.5" customHeight="1">
      <c r="A65" s="21" t="s">
        <v>2030</v>
      </c>
      <c r="B65" s="21" t="s">
        <v>1371</v>
      </c>
      <c r="C65" s="21" t="str">
        <f t="array" ref="C65">XLOOKUP(B65,Customer[Customer_ID],Customer[Name(Cleaned)])</f>
        <v>Melinda Rivera</v>
      </c>
      <c r="D65" s="22" t="str">
        <f>VLOOKUP(B65,Customer[#ALL],6)</f>
        <v>Male</v>
      </c>
      <c r="E65" s="23">
        <f>Sales[Order_Date]</f>
        <v>45850</v>
      </c>
      <c r="F65" s="21" t="str">
        <f>Sales[Store_ID]</f>
        <v>STORE12</v>
      </c>
      <c r="G65" s="21" t="str">
        <f t="array" ref="G65">INDEX(Store[Store_Name],MATCH(F65,Store[Store_ID],0))</f>
        <v>Thomas, Bridges and Harris</v>
      </c>
      <c r="H65" s="21" t="str">
        <f>Sales[Product_ID]</f>
        <v>PROD35</v>
      </c>
      <c r="I65" s="21" t="str">
        <f>VLOOKUP(H65,Products[],2)</f>
        <v>Bedroom Table Lamp</v>
      </c>
      <c r="J65" s="24">
        <f>Sales[Total_Amount]</f>
        <v>1413.93</v>
      </c>
      <c r="K65" s="21" t="str">
        <f t="shared" si="1"/>
        <v>Jul</v>
      </c>
      <c r="L65" s="21">
        <f t="shared" si="2"/>
        <v>2025</v>
      </c>
      <c r="N65" s="33"/>
      <c r="O65" s="34"/>
    </row>
    <row r="66" ht="22.5" customHeight="1">
      <c r="A66" s="21" t="s">
        <v>2031</v>
      </c>
      <c r="B66" s="21" t="s">
        <v>1447</v>
      </c>
      <c r="C66" s="21" t="str">
        <f t="array" ref="C66">XLOOKUP(B66,Customer[Customer_ID],Customer[Name(Cleaned)])</f>
        <v>David Pierce</v>
      </c>
      <c r="D66" s="22" t="str">
        <f>VLOOKUP(B66,Customer[#ALL],6)</f>
        <v>Male</v>
      </c>
      <c r="E66" s="23">
        <f>Sales[Order_Date]</f>
        <v>45441</v>
      </c>
      <c r="F66" s="21" t="str">
        <f>Sales[Store_ID]</f>
        <v>STORE14</v>
      </c>
      <c r="G66" s="21" t="str">
        <f t="array" ref="G66">INDEX(Store[Store_Name],MATCH(F66,Store[Store_ID],0))</f>
        <v>Mcdonald Inc</v>
      </c>
      <c r="H66" s="21" t="str">
        <f>Sales[Product_ID]</f>
        <v>PROD76</v>
      </c>
      <c r="I66" s="21" t="str">
        <f>VLOOKUP(H66,Products[],2)</f>
        <v>Wireless Mouse</v>
      </c>
      <c r="J66" s="24">
        <f>Sales[Total_Amount]</f>
        <v>1066.0736</v>
      </c>
      <c r="K66" s="21" t="str">
        <f t="shared" si="1"/>
        <v>May</v>
      </c>
      <c r="L66" s="21">
        <f t="shared" si="2"/>
        <v>2024</v>
      </c>
      <c r="N66" s="33"/>
      <c r="O66" s="34"/>
    </row>
    <row r="67" ht="22.5" customHeight="1">
      <c r="A67" s="21" t="s">
        <v>2032</v>
      </c>
      <c r="B67" s="21" t="s">
        <v>283</v>
      </c>
      <c r="C67" s="21" t="str">
        <f t="array" ref="C67">XLOOKUP(B67,Customer[Customer_ID],Customer[Name(Cleaned)])</f>
        <v>Rhonda Morales</v>
      </c>
      <c r="D67" s="22" t="str">
        <f>VLOOKUP(B67,Customer[#ALL],6)</f>
        <v>Male</v>
      </c>
      <c r="E67" s="23">
        <f>Sales[Order_Date]</f>
        <v>45431</v>
      </c>
      <c r="F67" s="21" t="str">
        <f>Sales[Store_ID]</f>
        <v>STORE18</v>
      </c>
      <c r="G67" s="21" t="str">
        <f t="array" ref="G67">INDEX(Store[Store_Name],MATCH(F67,Store[Store_ID],0))</f>
        <v>Guerrero-Schmitt</v>
      </c>
      <c r="H67" s="21" t="str">
        <f>Sales[Product_ID]</f>
        <v>PROD66</v>
      </c>
      <c r="I67" s="21" t="str">
        <f>VLOOKUP(H67,Products[],2)</f>
        <v>Women's Hair Dryer Brush</v>
      </c>
      <c r="J67" s="24">
        <f>Sales[Total_Amount]</f>
        <v>355.7152</v>
      </c>
      <c r="K67" s="21" t="str">
        <f t="shared" si="1"/>
        <v>May</v>
      </c>
      <c r="L67" s="21">
        <f t="shared" si="2"/>
        <v>2024</v>
      </c>
      <c r="N67" s="33"/>
      <c r="O67" s="34"/>
    </row>
    <row r="68" ht="22.5" customHeight="1">
      <c r="A68" s="21" t="s">
        <v>2033</v>
      </c>
      <c r="B68" s="21" t="s">
        <v>255</v>
      </c>
      <c r="C68" s="21" t="str">
        <f t="array" ref="C68">XLOOKUP(B68,Customer[Customer_ID],Customer[Name(Cleaned)])</f>
        <v>Amber Mcclain</v>
      </c>
      <c r="D68" s="22" t="str">
        <f>VLOOKUP(B68,Customer[#ALL],6)</f>
        <v>Female</v>
      </c>
      <c r="E68" s="23">
        <f>Sales[Order_Date]</f>
        <v>45873</v>
      </c>
      <c r="F68" s="21" t="str">
        <f>Sales[Store_ID]</f>
        <v>STORE3</v>
      </c>
      <c r="G68" s="21" t="str">
        <f t="array" ref="G68">INDEX(Store[Store_Name],MATCH(F68,Store[Store_ID],0))</f>
        <v>Johnson-Wright</v>
      </c>
      <c r="H68" s="21" t="str">
        <f>Sales[Product_ID]</f>
        <v>PROD10</v>
      </c>
      <c r="I68" s="21" t="str">
        <f>VLOOKUP(H68,Products[],2)</f>
        <v>Men's Graphic T-Shirt</v>
      </c>
      <c r="J68" s="24">
        <f>Sales[Total_Amount]</f>
        <v>2404.6821</v>
      </c>
      <c r="K68" s="21" t="str">
        <f t="shared" si="1"/>
        <v>Aug</v>
      </c>
      <c r="L68" s="21">
        <f t="shared" si="2"/>
        <v>2025</v>
      </c>
      <c r="N68" s="33"/>
      <c r="O68" s="34"/>
    </row>
    <row r="69" ht="22.5" customHeight="1">
      <c r="A69" s="21" t="s">
        <v>2034</v>
      </c>
      <c r="B69" s="21" t="s">
        <v>1384</v>
      </c>
      <c r="C69" s="21" t="str">
        <f t="array" ref="C69">XLOOKUP(B69,Customer[Customer_ID],Customer[Name(Cleaned)])</f>
        <v>Kelli Smith</v>
      </c>
      <c r="D69" s="22" t="str">
        <f>VLOOKUP(B69,Customer[#ALL],6)</f>
        <v>Male</v>
      </c>
      <c r="E69" s="23">
        <f>Sales[Order_Date]</f>
        <v>45629</v>
      </c>
      <c r="F69" s="21" t="str">
        <f>Sales[Store_ID]</f>
        <v>STORE8</v>
      </c>
      <c r="G69" s="21" t="str">
        <f t="array" ref="G69">INDEX(Store[Store_Name],MATCH(F69,Store[Store_ID],0))</f>
        <v>Bean, Jones and Park</v>
      </c>
      <c r="H69" s="21" t="str">
        <f>Sales[Product_ID]</f>
        <v>PROD46</v>
      </c>
      <c r="I69" s="21" t="str">
        <f>VLOOKUP(H69,Products[],2)</f>
        <v>Men's Winter Jacket</v>
      </c>
      <c r="J69" s="24">
        <f>Sales[Total_Amount]</f>
        <v>606.7308</v>
      </c>
      <c r="K69" s="21" t="str">
        <f t="shared" si="1"/>
        <v>Dec</v>
      </c>
      <c r="L69" s="21">
        <f t="shared" si="2"/>
        <v>2024</v>
      </c>
      <c r="N69" s="33"/>
      <c r="O69" s="34"/>
    </row>
    <row r="70" ht="22.5" customHeight="1">
      <c r="A70" s="21" t="s">
        <v>2035</v>
      </c>
      <c r="B70" s="21" t="s">
        <v>55</v>
      </c>
      <c r="C70" s="21" t="str">
        <f t="array" ref="C70">XLOOKUP(B70,Customer[Customer_ID],Customer[Name(Cleaned)])</f>
        <v>Ms. Maria Leach</v>
      </c>
      <c r="D70" s="22" t="str">
        <f>VLOOKUP(B70,Customer[#ALL],6)</f>
        <v>Female</v>
      </c>
      <c r="E70" s="23">
        <f>Sales[Order_Date]</f>
        <v>45222</v>
      </c>
      <c r="F70" s="21" t="str">
        <f>Sales[Store_ID]</f>
        <v>STORE13</v>
      </c>
      <c r="G70" s="21" t="str">
        <f t="array" ref="G70">INDEX(Store[Store_Name],MATCH(F70,Store[Store_ID],0))</f>
        <v>Gardner, Humphrey and Contreras</v>
      </c>
      <c r="H70" s="21" t="str">
        <f>Sales[Product_ID]</f>
        <v>PROD78</v>
      </c>
      <c r="I70" s="21" t="str">
        <f>VLOOKUP(H70,Products[],2)</f>
        <v>Essential Oil Diffuser</v>
      </c>
      <c r="J70" s="24">
        <f>Sales[Total_Amount]</f>
        <v>1173.508</v>
      </c>
      <c r="K70" s="21" t="str">
        <f t="shared" si="1"/>
        <v>Oct</v>
      </c>
      <c r="L70" s="21">
        <f t="shared" si="2"/>
        <v>2023</v>
      </c>
      <c r="N70" s="33"/>
      <c r="O70" s="34"/>
    </row>
    <row r="71" ht="22.5" customHeight="1">
      <c r="A71" s="21" t="s">
        <v>2036</v>
      </c>
      <c r="B71" s="21" t="s">
        <v>872</v>
      </c>
      <c r="C71" s="21" t="str">
        <f t="array" ref="C71">XLOOKUP(B71,Customer[Customer_ID],Customer[Name(Cleaned)])</f>
        <v>Tyrone Olson</v>
      </c>
      <c r="D71" s="22" t="str">
        <f>VLOOKUP(B71,Customer[#ALL],6)</f>
        <v>Male</v>
      </c>
      <c r="E71" s="23">
        <f>Sales[Order_Date]</f>
        <v>45891</v>
      </c>
      <c r="F71" s="21" t="str">
        <f>Sales[Store_ID]</f>
        <v>STORE18</v>
      </c>
      <c r="G71" s="21" t="str">
        <f t="array" ref="G71">INDEX(Store[Store_Name],MATCH(F71,Store[Store_ID],0))</f>
        <v>Guerrero-Schmitt</v>
      </c>
      <c r="H71" s="21" t="str">
        <f>Sales[Product_ID]</f>
        <v>PROD19</v>
      </c>
      <c r="I71" s="21" t="str">
        <f>VLOOKUP(H71,Products[],2)</f>
        <v>Knee Support Brace</v>
      </c>
      <c r="J71" s="24">
        <f>Sales[Total_Amount]</f>
        <v>1605.5052</v>
      </c>
      <c r="K71" s="21" t="str">
        <f t="shared" si="1"/>
        <v>Aug</v>
      </c>
      <c r="L71" s="21">
        <f t="shared" si="2"/>
        <v>2025</v>
      </c>
      <c r="N71" s="33"/>
      <c r="O71" s="34"/>
    </row>
    <row r="72" ht="22.5" customHeight="1">
      <c r="A72" s="21" t="s">
        <v>2037</v>
      </c>
      <c r="B72" s="21" t="s">
        <v>649</v>
      </c>
      <c r="C72" s="21" t="str">
        <f t="array" ref="C72">XLOOKUP(B72,Customer[Customer_ID],Customer[Name(Cleaned)])</f>
        <v>Ashley Ferguson</v>
      </c>
      <c r="D72" s="22" t="str">
        <f>VLOOKUP(B72,Customer[#ALL],6)</f>
        <v>Female</v>
      </c>
      <c r="E72" s="23">
        <f>Sales[Order_Date]</f>
        <v>45797</v>
      </c>
      <c r="F72" s="21" t="str">
        <f>Sales[Store_ID]</f>
        <v>STORE12</v>
      </c>
      <c r="G72" s="21" t="str">
        <f t="array" ref="G72">INDEX(Store[Store_Name],MATCH(F72,Store[Store_ID],0))</f>
        <v>Thomas, Bridges and Harris</v>
      </c>
      <c r="H72" s="21" t="str">
        <f>Sales[Product_ID]</f>
        <v>PROD87</v>
      </c>
      <c r="I72" s="21" t="str">
        <f>VLOOKUP(H72,Products[],2)</f>
        <v>LED Bedside Lamp</v>
      </c>
      <c r="J72" s="24">
        <f>Sales[Total_Amount]</f>
        <v>1191.6812</v>
      </c>
      <c r="K72" s="21" t="str">
        <f t="shared" si="1"/>
        <v>May</v>
      </c>
      <c r="L72" s="21">
        <f t="shared" si="2"/>
        <v>2025</v>
      </c>
      <c r="N72" s="33"/>
      <c r="O72" s="34"/>
    </row>
    <row r="73" ht="22.5" customHeight="1">
      <c r="A73" s="21" t="s">
        <v>2038</v>
      </c>
      <c r="B73" s="21" t="s">
        <v>1203</v>
      </c>
      <c r="C73" s="21" t="str">
        <f t="array" ref="C73">XLOOKUP(B73,Customer[Customer_ID],Customer[Name(Cleaned)])</f>
        <v>Shelley Ponce</v>
      </c>
      <c r="D73" s="22" t="str">
        <f>VLOOKUP(B73,Customer[#ALL],6)</f>
        <v>Female</v>
      </c>
      <c r="E73" s="23">
        <f>Sales[Order_Date]</f>
        <v>45554</v>
      </c>
      <c r="F73" s="21" t="str">
        <f>Sales[Store_ID]</f>
        <v>STORE7</v>
      </c>
      <c r="G73" s="21" t="str">
        <f t="array" ref="G73">INDEX(Store[Store_Name],MATCH(F73,Store[Store_ID],0))</f>
        <v>Martinez-Mullins</v>
      </c>
      <c r="H73" s="21" t="str">
        <f>Sales[Product_ID]</f>
        <v>PROD61</v>
      </c>
      <c r="I73" s="21" t="str">
        <f>VLOOKUP(H73,Products[],2)</f>
        <v>Tennis Ball 3-Pack</v>
      </c>
      <c r="J73" s="24">
        <f>Sales[Total_Amount]</f>
        <v>955.0152</v>
      </c>
      <c r="K73" s="21" t="str">
        <f t="shared" si="1"/>
        <v>Sep</v>
      </c>
      <c r="L73" s="21">
        <f t="shared" si="2"/>
        <v>2024</v>
      </c>
      <c r="N73" s="33"/>
      <c r="O73" s="34"/>
    </row>
    <row r="74" ht="22.5" customHeight="1">
      <c r="A74" s="21" t="s">
        <v>2039</v>
      </c>
      <c r="B74" s="21" t="s">
        <v>380</v>
      </c>
      <c r="C74" s="21" t="str">
        <f t="array" ref="C74">XLOOKUP(B74,Customer[Customer_ID],Customer[Name(Cleaned)])</f>
        <v>Lance Baker</v>
      </c>
      <c r="D74" s="22" t="str">
        <f>VLOOKUP(B74,Customer[#ALL],6)</f>
        <v>Male</v>
      </c>
      <c r="E74" s="23">
        <f>Sales[Order_Date]</f>
        <v>45385</v>
      </c>
      <c r="F74" s="21" t="str">
        <f>Sales[Store_ID]</f>
        <v>STORE13</v>
      </c>
      <c r="G74" s="21" t="str">
        <f t="array" ref="G74">INDEX(Store[Store_Name],MATCH(F74,Store[Store_ID],0))</f>
        <v>Gardner, Humphrey and Contreras</v>
      </c>
      <c r="H74" s="21" t="str">
        <f>Sales[Product_ID]</f>
        <v>PROD73</v>
      </c>
      <c r="I74" s="21" t="str">
        <f>VLOOKUP(H74,Products[],2)</f>
        <v>Shin Guards – Adult</v>
      </c>
      <c r="J74" s="24">
        <f>Sales[Total_Amount]</f>
        <v>1690.304</v>
      </c>
      <c r="K74" s="21" t="str">
        <f t="shared" si="1"/>
        <v>Apr</v>
      </c>
      <c r="L74" s="21">
        <f t="shared" si="2"/>
        <v>2024</v>
      </c>
      <c r="N74" s="33"/>
      <c r="O74" s="34"/>
    </row>
    <row r="75" ht="22.5" customHeight="1">
      <c r="A75" s="21" t="s">
        <v>2040</v>
      </c>
      <c r="B75" s="21" t="s">
        <v>730</v>
      </c>
      <c r="C75" s="21" t="str">
        <f t="array" ref="C75">XLOOKUP(B75,Customer[Customer_ID],Customer[Name(Cleaned)])</f>
        <v>Lisa Young</v>
      </c>
      <c r="D75" s="22" t="str">
        <f>VLOOKUP(B75,Customer[#ALL],6)</f>
        <v>Female</v>
      </c>
      <c r="E75" s="23">
        <f>Sales[Order_Date]</f>
        <v>45704</v>
      </c>
      <c r="F75" s="21" t="str">
        <f>Sales[Store_ID]</f>
        <v>STORE7</v>
      </c>
      <c r="G75" s="21" t="str">
        <f t="array" ref="G75">INDEX(Store[Store_Name],MATCH(F75,Store[Store_ID],0))</f>
        <v>Martinez-Mullins</v>
      </c>
      <c r="H75" s="21" t="str">
        <f>Sales[Product_ID]</f>
        <v>PROD34</v>
      </c>
      <c r="I75" s="21" t="str">
        <f>VLOOKUP(H75,Products[],2)</f>
        <v>Gaming Mechanical Keyboard</v>
      </c>
      <c r="J75" s="24">
        <f>Sales[Total_Amount]</f>
        <v>136.5984</v>
      </c>
      <c r="K75" s="21" t="str">
        <f t="shared" si="1"/>
        <v>Feb</v>
      </c>
      <c r="L75" s="21">
        <f t="shared" si="2"/>
        <v>2025</v>
      </c>
      <c r="N75" s="33"/>
      <c r="O75" s="34"/>
    </row>
    <row r="76" ht="22.5" customHeight="1">
      <c r="A76" s="21" t="s">
        <v>2041</v>
      </c>
      <c r="B76" s="21" t="s">
        <v>1173</v>
      </c>
      <c r="C76" s="21" t="str">
        <f t="array" ref="C76">XLOOKUP(B76,Customer[Customer_ID],Customer[Name(Cleaned)])</f>
        <v>James Holloway Jr.</v>
      </c>
      <c r="D76" s="22" t="str">
        <f>VLOOKUP(B76,Customer[#ALL],6)</f>
        <v>Female</v>
      </c>
      <c r="E76" s="23">
        <f>Sales[Order_Date]</f>
        <v>45545</v>
      </c>
      <c r="F76" s="21" t="str">
        <f>Sales[Store_ID]</f>
        <v>STORE19</v>
      </c>
      <c r="G76" s="21" t="str">
        <f t="array" ref="G76">INDEX(Store[Store_Name],MATCH(F76,Store[Store_ID],0))</f>
        <v>Mann-Austin</v>
      </c>
      <c r="H76" s="21" t="str">
        <f>Sales[Product_ID]</f>
        <v>PROD78</v>
      </c>
      <c r="I76" s="21" t="str">
        <f>VLOOKUP(H76,Products[],2)</f>
        <v>Essential Oil Diffuser</v>
      </c>
      <c r="J76" s="24">
        <f>Sales[Total_Amount]</f>
        <v>1270.746</v>
      </c>
      <c r="K76" s="21" t="str">
        <f t="shared" si="1"/>
        <v>Sep</v>
      </c>
      <c r="L76" s="21">
        <f t="shared" si="2"/>
        <v>2024</v>
      </c>
      <c r="N76" s="33"/>
      <c r="O76" s="34"/>
    </row>
    <row r="77" ht="22.5" customHeight="1">
      <c r="A77" s="21" t="s">
        <v>2042</v>
      </c>
      <c r="B77" s="21" t="s">
        <v>108</v>
      </c>
      <c r="C77" s="21" t="str">
        <f t="array" ref="C77">XLOOKUP(B77,Customer[Customer_ID],Customer[Name(Cleaned)])</f>
        <v>Jonathan Steele</v>
      </c>
      <c r="D77" s="22" t="str">
        <f>VLOOKUP(B77,Customer[#ALL],6)</f>
        <v>Male</v>
      </c>
      <c r="E77" s="23">
        <f>Sales[Order_Date]</f>
        <v>45736</v>
      </c>
      <c r="F77" s="21" t="str">
        <f>Sales[Store_ID]</f>
        <v>STORE1</v>
      </c>
      <c r="G77" s="21" t="str">
        <f t="array" ref="G77">INDEX(Store[Store_Name],MATCH(F77,Store[Store_ID],0))</f>
        <v>Martinez, Adkins and Johnson</v>
      </c>
      <c r="H77" s="21" t="str">
        <f>Sales[Product_ID]</f>
        <v>PROD40</v>
      </c>
      <c r="I77" s="21" t="str">
        <f>VLOOKUP(H77,Products[],2)</f>
        <v>Noise-Canceling Headphones</v>
      </c>
      <c r="J77" s="24">
        <f>Sales[Total_Amount]</f>
        <v>1968.6942</v>
      </c>
      <c r="K77" s="21" t="str">
        <f t="shared" si="1"/>
        <v>Mar</v>
      </c>
      <c r="L77" s="21">
        <f t="shared" si="2"/>
        <v>2025</v>
      </c>
      <c r="N77" s="33"/>
      <c r="O77" s="34"/>
    </row>
    <row r="78" ht="22.5" customHeight="1">
      <c r="A78" s="21" t="s">
        <v>2043</v>
      </c>
      <c r="B78" s="21" t="s">
        <v>1323</v>
      </c>
      <c r="C78" s="21" t="str">
        <f t="array" ref="C78">XLOOKUP(B78,Customer[Customer_ID],Customer[Name(Cleaned)])</f>
        <v>Holly Robinson</v>
      </c>
      <c r="D78" s="22" t="str">
        <f>VLOOKUP(B78,Customer[#ALL],6)</f>
        <v>Male</v>
      </c>
      <c r="E78" s="23">
        <f>Sales[Order_Date]</f>
        <v>45608</v>
      </c>
      <c r="F78" s="21" t="str">
        <f>Sales[Store_ID]</f>
        <v>STORE18</v>
      </c>
      <c r="G78" s="21" t="str">
        <f t="array" ref="G78">INDEX(Store[Store_Name],MATCH(F78,Store[Store_ID],0))</f>
        <v>Guerrero-Schmitt</v>
      </c>
      <c r="H78" s="21" t="str">
        <f>Sales[Product_ID]</f>
        <v>PROD92</v>
      </c>
      <c r="I78" s="21" t="str">
        <f>VLOOKUP(H78,Products[],2)</f>
        <v>Microwave Oven</v>
      </c>
      <c r="J78" s="24">
        <f>Sales[Total_Amount]</f>
        <v>809.0456</v>
      </c>
      <c r="K78" s="21" t="str">
        <f t="shared" si="1"/>
        <v>Nov</v>
      </c>
      <c r="L78" s="21">
        <f t="shared" si="2"/>
        <v>2024</v>
      </c>
      <c r="N78" s="33"/>
      <c r="O78" s="34"/>
    </row>
    <row r="79" ht="22.5" customHeight="1">
      <c r="A79" s="21" t="s">
        <v>2044</v>
      </c>
      <c r="B79" s="21" t="s">
        <v>1110</v>
      </c>
      <c r="C79" s="21" t="str">
        <f t="array" ref="C79">XLOOKUP(B79,Customer[Customer_ID],Customer[Name(Cleaned)])</f>
        <v>Heather Valenzuela</v>
      </c>
      <c r="D79" s="22" t="str">
        <f>VLOOKUP(B79,Customer[#ALL],6)</f>
        <v>Female</v>
      </c>
      <c r="E79" s="23">
        <f>Sales[Order_Date]</f>
        <v>45334</v>
      </c>
      <c r="F79" s="21" t="str">
        <f>Sales[Store_ID]</f>
        <v>STORE11</v>
      </c>
      <c r="G79" s="21" t="str">
        <f t="array" ref="G79">INDEX(Store[Store_Name],MATCH(F79,Store[Store_ID],0))</f>
        <v>Aguirre-Keller</v>
      </c>
      <c r="H79" s="21" t="str">
        <f>Sales[Product_ID]</f>
        <v>PROD34</v>
      </c>
      <c r="I79" s="21" t="str">
        <f>VLOOKUP(H79,Products[],2)</f>
        <v>Gaming Mechanical Keyboard</v>
      </c>
      <c r="J79" s="24">
        <f>Sales[Total_Amount]</f>
        <v>144.9624</v>
      </c>
      <c r="K79" s="21" t="str">
        <f t="shared" si="1"/>
        <v>Feb</v>
      </c>
      <c r="L79" s="21">
        <f t="shared" si="2"/>
        <v>2024</v>
      </c>
      <c r="N79" s="33"/>
      <c r="O79" s="34"/>
    </row>
    <row r="80" ht="22.5" customHeight="1">
      <c r="A80" s="21" t="s">
        <v>2045</v>
      </c>
      <c r="B80" s="21" t="s">
        <v>238</v>
      </c>
      <c r="C80" s="21" t="str">
        <f t="array" ref="C80">XLOOKUP(B80,Customer[Customer_ID],Customer[Name(Cleaned)])</f>
        <v>James Bean</v>
      </c>
      <c r="D80" s="22" t="str">
        <f>VLOOKUP(B80,Customer[#ALL],6)</f>
        <v>Female</v>
      </c>
      <c r="E80" s="23">
        <f>Sales[Order_Date]</f>
        <v>45690</v>
      </c>
      <c r="F80" s="21" t="str">
        <f>Sales[Store_ID]</f>
        <v>STORE7</v>
      </c>
      <c r="G80" s="21" t="str">
        <f t="array" ref="G80">INDEX(Store[Store_Name],MATCH(F80,Store[Store_ID],0))</f>
        <v>Martinez-Mullins</v>
      </c>
      <c r="H80" s="21" t="str">
        <f>Sales[Product_ID]</f>
        <v>PROD37</v>
      </c>
      <c r="I80" s="21" t="str">
        <f>VLOOKUP(H80,Products[],2)</f>
        <v>Men's Casual Sneakers</v>
      </c>
      <c r="J80" s="24">
        <f>Sales[Total_Amount]</f>
        <v>1018.668</v>
      </c>
      <c r="K80" s="21" t="str">
        <f t="shared" si="1"/>
        <v>Feb</v>
      </c>
      <c r="L80" s="21">
        <f t="shared" si="2"/>
        <v>2025</v>
      </c>
      <c r="N80" s="33"/>
      <c r="O80" s="34"/>
    </row>
    <row r="81" ht="22.5" customHeight="1">
      <c r="A81" s="21" t="s">
        <v>2046</v>
      </c>
      <c r="B81" s="21" t="s">
        <v>555</v>
      </c>
      <c r="C81" s="21" t="str">
        <f t="array" ref="C81">XLOOKUP(B81,Customer[Customer_ID],Customer[Name(Cleaned)])</f>
        <v>Joseph Jones</v>
      </c>
      <c r="D81" s="22" t="str">
        <f>VLOOKUP(B81,Customer[#ALL],6)</f>
        <v>Female</v>
      </c>
      <c r="E81" s="23">
        <f>Sales[Order_Date]</f>
        <v>45481</v>
      </c>
      <c r="F81" s="21" t="str">
        <f>Sales[Store_ID]</f>
        <v>STORE4</v>
      </c>
      <c r="G81" s="21" t="str">
        <f t="array" ref="G81">INDEX(Store[Store_Name],MATCH(F81,Store[Store_ID],0))</f>
        <v>Alexander Group</v>
      </c>
      <c r="H81" s="21" t="str">
        <f>Sales[Product_ID]</f>
        <v>PROD98</v>
      </c>
      <c r="I81" s="21" t="str">
        <f>VLOOKUP(H81,Products[],2)</f>
        <v>Portable Bluetooth Speaker</v>
      </c>
      <c r="J81" s="24">
        <f>Sales[Total_Amount]</f>
        <v>2468.4387</v>
      </c>
      <c r="K81" s="21" t="str">
        <f t="shared" si="1"/>
        <v>Jul</v>
      </c>
      <c r="L81" s="21">
        <f t="shared" si="2"/>
        <v>2024</v>
      </c>
      <c r="N81" s="33"/>
      <c r="O81" s="34"/>
    </row>
    <row r="82" ht="22.5" customHeight="1">
      <c r="A82" s="21" t="s">
        <v>2047</v>
      </c>
      <c r="B82" s="21" t="s">
        <v>1077</v>
      </c>
      <c r="C82" s="21" t="str">
        <f t="array" ref="C82">XLOOKUP(B82,Customer[Customer_ID],Customer[Name(Cleaned)])</f>
        <v>Jasmine Snyder</v>
      </c>
      <c r="D82" s="22" t="str">
        <f>VLOOKUP(B82,Customer[#ALL],6)</f>
        <v>Male</v>
      </c>
      <c r="E82" s="23">
        <f>Sales[Order_Date]</f>
        <v>45323</v>
      </c>
      <c r="F82" s="21" t="str">
        <f>Sales[Store_ID]</f>
        <v>STORE7</v>
      </c>
      <c r="G82" s="21" t="str">
        <f t="array" ref="G82">INDEX(Store[Store_Name],MATCH(F82,Store[Store_ID],0))</f>
        <v>Martinez-Mullins</v>
      </c>
      <c r="H82" s="21" t="str">
        <f>Sales[Product_ID]</f>
        <v>PROD86</v>
      </c>
      <c r="I82" s="21" t="str">
        <f>VLOOKUP(H82,Products[],2)</f>
        <v>Kitchen Cutting Board</v>
      </c>
      <c r="J82" s="24">
        <f>Sales[Total_Amount]</f>
        <v>2060.3912</v>
      </c>
      <c r="K82" s="21" t="str">
        <f t="shared" si="1"/>
        <v>Feb</v>
      </c>
      <c r="L82" s="21">
        <f t="shared" si="2"/>
        <v>2024</v>
      </c>
      <c r="N82" s="33"/>
      <c r="O82" s="34"/>
    </row>
    <row r="83" ht="22.5" customHeight="1">
      <c r="A83" s="21" t="s">
        <v>2048</v>
      </c>
      <c r="B83" s="21" t="s">
        <v>519</v>
      </c>
      <c r="C83" s="21" t="str">
        <f t="array" ref="C83">XLOOKUP(B83,Customer[Customer_ID],Customer[Name(Cleaned)])</f>
        <v>Michael Davies</v>
      </c>
      <c r="D83" s="22" t="str">
        <f>VLOOKUP(B83,Customer[#ALL],6)</f>
        <v>Male</v>
      </c>
      <c r="E83" s="23">
        <f>Sales[Order_Date]</f>
        <v>45576</v>
      </c>
      <c r="F83" s="21" t="str">
        <f>Sales[Store_ID]</f>
        <v>STORE2</v>
      </c>
      <c r="G83" s="21" t="str">
        <f t="array" ref="G83">INDEX(Store[Store_Name],MATCH(F83,Store[Store_ID],0))</f>
        <v>Black-Horn</v>
      </c>
      <c r="H83" s="21" t="str">
        <f>Sales[Product_ID]</f>
        <v>PROD50</v>
      </c>
      <c r="I83" s="21" t="str">
        <f>VLOOKUP(H83,Products[],2)</f>
        <v>Boxing Hand Wraps</v>
      </c>
      <c r="J83" s="24">
        <f>Sales[Total_Amount]</f>
        <v>2278.3208</v>
      </c>
      <c r="K83" s="21" t="str">
        <f t="shared" si="1"/>
        <v>Oct</v>
      </c>
      <c r="L83" s="21">
        <f t="shared" si="2"/>
        <v>2024</v>
      </c>
      <c r="N83" s="33"/>
      <c r="O83" s="34"/>
    </row>
    <row r="84" ht="22.5" customHeight="1">
      <c r="A84" s="21" t="s">
        <v>2049</v>
      </c>
      <c r="B84" s="21" t="s">
        <v>742</v>
      </c>
      <c r="C84" s="21" t="str">
        <f t="array" ref="C84">XLOOKUP(B84,Customer[Customer_ID],Customer[Name(Cleaned)])</f>
        <v>Elizabeth Stanley</v>
      </c>
      <c r="D84" s="22" t="str">
        <f>VLOOKUP(B84,Customer[#ALL],6)</f>
        <v>Male</v>
      </c>
      <c r="E84" s="23">
        <f>Sales[Order_Date]</f>
        <v>45215</v>
      </c>
      <c r="F84" s="21" t="str">
        <f>Sales[Store_ID]</f>
        <v>STORE2</v>
      </c>
      <c r="G84" s="21" t="str">
        <f t="array" ref="G84">INDEX(Store[Store_Name],MATCH(F84,Store[Store_ID],0))</f>
        <v>Black-Horn</v>
      </c>
      <c r="H84" s="21" t="str">
        <f>Sales[Product_ID]</f>
        <v>PROD89</v>
      </c>
      <c r="I84" s="21" t="str">
        <f>VLOOKUP(H84,Products[],2)</f>
        <v>Face Foundation Kit</v>
      </c>
      <c r="J84" s="24">
        <f>Sales[Total_Amount]</f>
        <v>2291.6432</v>
      </c>
      <c r="K84" s="21" t="str">
        <f t="shared" si="1"/>
        <v>Oct</v>
      </c>
      <c r="L84" s="21">
        <f t="shared" si="2"/>
        <v>2023</v>
      </c>
      <c r="N84" s="33"/>
      <c r="O84" s="34"/>
    </row>
    <row r="85" ht="22.5" customHeight="1">
      <c r="A85" s="21" t="s">
        <v>2050</v>
      </c>
      <c r="B85" s="21" t="s">
        <v>658</v>
      </c>
      <c r="C85" s="21" t="str">
        <f t="array" ref="C85">XLOOKUP(B85,Customer[Customer_ID],Customer[Name(Cleaned)])</f>
        <v>Andrea Jacobs</v>
      </c>
      <c r="D85" s="22" t="str">
        <f>VLOOKUP(B85,Customer[#ALL],6)</f>
        <v>Male</v>
      </c>
      <c r="E85" s="23">
        <f>Sales[Order_Date]</f>
        <v>45653</v>
      </c>
      <c r="F85" s="21" t="str">
        <f>Sales[Store_ID]</f>
        <v>STORE8</v>
      </c>
      <c r="G85" s="21" t="str">
        <f t="array" ref="G85">INDEX(Store[Store_Name],MATCH(F85,Store[Store_ID],0))</f>
        <v>Bean, Jones and Park</v>
      </c>
      <c r="H85" s="21" t="str">
        <f>Sales[Product_ID]</f>
        <v>PROD21</v>
      </c>
      <c r="I85" s="21" t="str">
        <f>VLOOKUP(H85,Products[],2)</f>
        <v>Multi-Purpose Storage Box</v>
      </c>
      <c r="J85" s="24">
        <f>Sales[Total_Amount]</f>
        <v>64.8956</v>
      </c>
      <c r="K85" s="21" t="str">
        <f t="shared" si="1"/>
        <v>Dec</v>
      </c>
      <c r="L85" s="21">
        <f t="shared" si="2"/>
        <v>2024</v>
      </c>
      <c r="N85" s="33"/>
      <c r="O85" s="34"/>
    </row>
    <row r="86" ht="22.5" customHeight="1">
      <c r="A86" s="21" t="s">
        <v>2051</v>
      </c>
      <c r="B86" s="21" t="s">
        <v>1074</v>
      </c>
      <c r="C86" s="21" t="str">
        <f t="array" ref="C86">XLOOKUP(B86,Customer[Customer_ID],Customer[Name(Cleaned)])</f>
        <v>Carol Lewis</v>
      </c>
      <c r="D86" s="22" t="str">
        <f>VLOOKUP(B86,Customer[#ALL],6)</f>
        <v>Male</v>
      </c>
      <c r="E86" s="23">
        <f>Sales[Order_Date]</f>
        <v>45241</v>
      </c>
      <c r="F86" s="21" t="str">
        <f>Sales[Store_ID]</f>
        <v>STORE14</v>
      </c>
      <c r="G86" s="21" t="str">
        <f t="array" ref="G86">INDEX(Store[Store_Name],MATCH(F86,Store[Store_ID],0))</f>
        <v>Mcdonald Inc</v>
      </c>
      <c r="H86" s="21" t="str">
        <f>Sales[Product_ID]</f>
        <v>PROD64</v>
      </c>
      <c r="I86" s="21" t="str">
        <f>VLOOKUP(H86,Products[],2)</f>
        <v>Matte Lipstick Set</v>
      </c>
      <c r="J86" s="24">
        <f>Sales[Total_Amount]</f>
        <v>1266.356</v>
      </c>
      <c r="K86" s="21" t="str">
        <f t="shared" si="1"/>
        <v>Nov</v>
      </c>
      <c r="L86" s="21">
        <f t="shared" si="2"/>
        <v>2023</v>
      </c>
      <c r="N86" s="33"/>
      <c r="O86" s="34"/>
    </row>
    <row r="87" ht="22.5" customHeight="1">
      <c r="A87" s="21" t="s">
        <v>2052</v>
      </c>
      <c r="B87" s="21" t="s">
        <v>1152</v>
      </c>
      <c r="C87" s="21" t="str">
        <f t="array" ref="C87">XLOOKUP(B87,Customer[Customer_ID],Customer[Name(Cleaned)])</f>
        <v>Elizabeth Smith</v>
      </c>
      <c r="D87" s="22" t="str">
        <f>VLOOKUP(B87,Customer[#ALL],6)</f>
        <v>Female</v>
      </c>
      <c r="E87" s="23">
        <f>Sales[Order_Date]</f>
        <v>45428</v>
      </c>
      <c r="F87" s="21" t="str">
        <f>Sales[Store_ID]</f>
        <v>STORE9</v>
      </c>
      <c r="G87" s="21" t="str">
        <f t="array" ref="G87">INDEX(Store[Store_Name],MATCH(F87,Store[Store_ID],0))</f>
        <v>Moore, Padilla and Butler</v>
      </c>
      <c r="H87" s="21" t="str">
        <f>Sales[Product_ID]</f>
        <v>PROD75</v>
      </c>
      <c r="I87" s="21" t="str">
        <f>VLOOKUP(H87,Products[],2)</f>
        <v>Women's Ankle Boots</v>
      </c>
      <c r="J87" s="24">
        <f>Sales[Total_Amount]</f>
        <v>991.2624</v>
      </c>
      <c r="K87" s="21" t="str">
        <f t="shared" si="1"/>
        <v>May</v>
      </c>
      <c r="L87" s="21">
        <f t="shared" si="2"/>
        <v>2024</v>
      </c>
      <c r="N87" s="33"/>
      <c r="O87" s="34"/>
    </row>
    <row r="88" ht="22.5" customHeight="1">
      <c r="A88" s="21" t="s">
        <v>2053</v>
      </c>
      <c r="B88" s="21" t="s">
        <v>966</v>
      </c>
      <c r="C88" s="21" t="str">
        <f t="array" ref="C88">XLOOKUP(B88,Customer[Customer_ID],Customer[Name(Cleaned)])</f>
        <v>Ryan Kane</v>
      </c>
      <c r="D88" s="22" t="str">
        <f>VLOOKUP(B88,Customer[#ALL],6)</f>
        <v>Female</v>
      </c>
      <c r="E88" s="23">
        <f>Sales[Order_Date]</f>
        <v>45593</v>
      </c>
      <c r="F88" s="21" t="str">
        <f>Sales[Store_ID]</f>
        <v>STORE17</v>
      </c>
      <c r="G88" s="21" t="str">
        <f t="array" ref="G88">INDEX(Store[Store_Name],MATCH(F88,Store[Store_ID],0))</f>
        <v>Holloway Ltd</v>
      </c>
      <c r="H88" s="21" t="str">
        <f>Sales[Product_ID]</f>
        <v>PROD84</v>
      </c>
      <c r="I88" s="21" t="str">
        <f>VLOOKUP(H88,Products[],2)</f>
        <v>Wooden Bookshelf</v>
      </c>
      <c r="J88" s="24">
        <f>Sales[Total_Amount]</f>
        <v>1742.0256</v>
      </c>
      <c r="K88" s="21" t="str">
        <f t="shared" si="1"/>
        <v>Oct</v>
      </c>
      <c r="L88" s="21">
        <f t="shared" si="2"/>
        <v>2024</v>
      </c>
      <c r="N88" s="33"/>
      <c r="O88" s="34"/>
    </row>
    <row r="89" ht="22.5" customHeight="1">
      <c r="A89" s="21" t="s">
        <v>2054</v>
      </c>
      <c r="B89" s="21" t="s">
        <v>183</v>
      </c>
      <c r="C89" s="21" t="str">
        <f t="array" ref="C89">XLOOKUP(B89,Customer[Customer_ID],Customer[Name(Cleaned)])</f>
        <v>Jordan Jackson Dds</v>
      </c>
      <c r="D89" s="22" t="str">
        <f>VLOOKUP(B89,Customer[#ALL],6)</f>
        <v>Female</v>
      </c>
      <c r="E89" s="23">
        <f>Sales[Order_Date]</f>
        <v>45370</v>
      </c>
      <c r="F89" s="21" t="str">
        <f>Sales[Store_ID]</f>
        <v>STORE17</v>
      </c>
      <c r="G89" s="21" t="str">
        <f t="array" ref="G89">INDEX(Store[Store_Name],MATCH(F89,Store[Store_ID],0))</f>
        <v>Holloway Ltd</v>
      </c>
      <c r="H89" s="21" t="str">
        <f>Sales[Product_ID]</f>
        <v>PROD33</v>
      </c>
      <c r="I89" s="21" t="str">
        <f>VLOOKUP(H89,Products[],2)</f>
        <v>Modern Wall Clock</v>
      </c>
      <c r="J89" s="24">
        <f>Sales[Total_Amount]</f>
        <v>1628.1702</v>
      </c>
      <c r="K89" s="21" t="str">
        <f t="shared" si="1"/>
        <v>Mar</v>
      </c>
      <c r="L89" s="21">
        <f t="shared" si="2"/>
        <v>2024</v>
      </c>
      <c r="N89" s="33"/>
      <c r="O89" s="34"/>
    </row>
    <row r="90" ht="22.5" customHeight="1">
      <c r="A90" s="21" t="s">
        <v>2055</v>
      </c>
      <c r="B90" s="21" t="s">
        <v>481</v>
      </c>
      <c r="C90" s="21" t="str">
        <f t="array" ref="C90">XLOOKUP(B90,Customer[Customer_ID],Customer[Name(Cleaned)])</f>
        <v>Sean Roth</v>
      </c>
      <c r="D90" s="22" t="str">
        <f>VLOOKUP(B90,Customer[#ALL],6)</f>
        <v>Female</v>
      </c>
      <c r="E90" s="23">
        <f>Sales[Order_Date]</f>
        <v>45882</v>
      </c>
      <c r="F90" s="21" t="str">
        <f>Sales[Store_ID]</f>
        <v>STORE16</v>
      </c>
      <c r="G90" s="21" t="str">
        <f t="array" ref="G90">INDEX(Store[Store_Name],MATCH(F90,Store[Store_ID],0))</f>
        <v>Frederick-Wright</v>
      </c>
      <c r="H90" s="21" t="str">
        <f>Sales[Product_ID]</f>
        <v>PROD71</v>
      </c>
      <c r="I90" s="21" t="str">
        <f>VLOOKUP(H90,Products[],2)</f>
        <v>Hair Repair Oil Treatment</v>
      </c>
      <c r="J90" s="24">
        <f>Sales[Total_Amount]</f>
        <v>1518.6336</v>
      </c>
      <c r="K90" s="21" t="str">
        <f t="shared" si="1"/>
        <v>Aug</v>
      </c>
      <c r="L90" s="21">
        <f t="shared" si="2"/>
        <v>2025</v>
      </c>
      <c r="N90" s="33"/>
      <c r="O90" s="34"/>
    </row>
    <row r="91" ht="22.5" customHeight="1">
      <c r="A91" s="21" t="s">
        <v>2056</v>
      </c>
      <c r="B91" s="21" t="s">
        <v>1302</v>
      </c>
      <c r="C91" s="21" t="str">
        <f t="array" ref="C91">XLOOKUP(B91,Customer[Customer_ID],Customer[Name(Cleaned)])</f>
        <v>Melissa Valentine</v>
      </c>
      <c r="D91" s="22" t="str">
        <f>VLOOKUP(B91,Customer[#ALL],6)</f>
        <v>Male</v>
      </c>
      <c r="E91" s="23">
        <f>Sales[Order_Date]</f>
        <v>45878</v>
      </c>
      <c r="F91" s="21" t="str">
        <f>Sales[Store_ID]</f>
        <v>STORE11</v>
      </c>
      <c r="G91" s="21" t="str">
        <f t="array" ref="G91">INDEX(Store[Store_Name],MATCH(F91,Store[Store_ID],0))</f>
        <v>Aguirre-Keller</v>
      </c>
      <c r="H91" s="21" t="str">
        <f>Sales[Product_ID]</f>
        <v>PROD4</v>
      </c>
      <c r="I91" s="21" t="str">
        <f>VLOOKUP(H91,Products[],2)</f>
        <v>Portable Power Bank</v>
      </c>
      <c r="J91" s="24">
        <f>Sales[Total_Amount]</f>
        <v>646.296</v>
      </c>
      <c r="K91" s="21" t="str">
        <f t="shared" si="1"/>
        <v>Aug</v>
      </c>
      <c r="L91" s="21">
        <f t="shared" si="2"/>
        <v>2025</v>
      </c>
      <c r="N91" s="33"/>
      <c r="O91" s="34"/>
    </row>
    <row r="92" ht="22.5" customHeight="1">
      <c r="A92" s="21" t="s">
        <v>2057</v>
      </c>
      <c r="B92" s="21" t="s">
        <v>1050</v>
      </c>
      <c r="C92" s="21" t="str">
        <f t="array" ref="C92">XLOOKUP(B92,Customer[Customer_ID],Customer[Name(Cleaned)])</f>
        <v>Victor Mcintosh</v>
      </c>
      <c r="D92" s="22" t="str">
        <f>VLOOKUP(B92,Customer[#ALL],6)</f>
        <v>Male</v>
      </c>
      <c r="E92" s="23">
        <f>Sales[Order_Date]</f>
        <v>45420</v>
      </c>
      <c r="F92" s="21" t="str">
        <f>Sales[Store_ID]</f>
        <v>STORE17</v>
      </c>
      <c r="G92" s="21" t="str">
        <f t="array" ref="G92">INDEX(Store[Store_Name],MATCH(F92,Store[Store_ID],0))</f>
        <v>Holloway Ltd</v>
      </c>
      <c r="H92" s="21" t="str">
        <f>Sales[Product_ID]</f>
        <v>PROD4</v>
      </c>
      <c r="I92" s="21" t="str">
        <f>VLOOKUP(H92,Products[],2)</f>
        <v>Portable Power Bank</v>
      </c>
      <c r="J92" s="24">
        <f>Sales[Total_Amount]</f>
        <v>197.7336</v>
      </c>
      <c r="K92" s="21" t="str">
        <f t="shared" si="1"/>
        <v>May</v>
      </c>
      <c r="L92" s="21">
        <f t="shared" si="2"/>
        <v>2024</v>
      </c>
      <c r="N92" s="33"/>
      <c r="O92" s="34"/>
    </row>
    <row r="93" ht="22.5" customHeight="1">
      <c r="A93" s="21" t="s">
        <v>2058</v>
      </c>
      <c r="B93" s="21" t="s">
        <v>168</v>
      </c>
      <c r="C93" s="21" t="str">
        <f t="array" ref="C93">XLOOKUP(B93,Customer[Customer_ID],Customer[Name(Cleaned)])</f>
        <v>James Gibbs</v>
      </c>
      <c r="D93" s="22" t="str">
        <f>VLOOKUP(B93,Customer[#ALL],6)</f>
        <v>Female</v>
      </c>
      <c r="E93" s="23">
        <f>Sales[Order_Date]</f>
        <v>45785</v>
      </c>
      <c r="F93" s="21" t="str">
        <f>Sales[Store_ID]</f>
        <v>STORE13</v>
      </c>
      <c r="G93" s="21" t="str">
        <f t="array" ref="G93">INDEX(Store[Store_Name],MATCH(F93,Store[Store_ID],0))</f>
        <v>Gardner, Humphrey and Contreras</v>
      </c>
      <c r="H93" s="21" t="str">
        <f>Sales[Product_ID]</f>
        <v>PROD22</v>
      </c>
      <c r="I93" s="21" t="str">
        <f>VLOOKUP(H93,Products[],2)</f>
        <v>Carbon Fiber Tennis Racket</v>
      </c>
      <c r="J93" s="24">
        <f>Sales[Total_Amount]</f>
        <v>2372.523</v>
      </c>
      <c r="K93" s="21" t="str">
        <f t="shared" si="1"/>
        <v>May</v>
      </c>
      <c r="L93" s="21">
        <f t="shared" si="2"/>
        <v>2025</v>
      </c>
      <c r="N93" s="33"/>
      <c r="O93" s="34"/>
    </row>
    <row r="94" ht="22.5" customHeight="1">
      <c r="A94" s="21" t="s">
        <v>2059</v>
      </c>
      <c r="B94" s="21" t="s">
        <v>203</v>
      </c>
      <c r="C94" s="21" t="str">
        <f t="array" ref="C94">XLOOKUP(B94,Customer[Customer_ID],Customer[Name(Cleaned)])</f>
        <v>Sarah Rodgers</v>
      </c>
      <c r="D94" s="22" t="str">
        <f>VLOOKUP(B94,Customer[#ALL],6)</f>
        <v>Male</v>
      </c>
      <c r="E94" s="23">
        <f>Sales[Order_Date]</f>
        <v>45361</v>
      </c>
      <c r="F94" s="21" t="str">
        <f>Sales[Store_ID]</f>
        <v>STORE17</v>
      </c>
      <c r="G94" s="21" t="str">
        <f t="array" ref="G94">INDEX(Store[Store_Name],MATCH(F94,Store[Store_ID],0))</f>
        <v>Holloway Ltd</v>
      </c>
      <c r="H94" s="21" t="str">
        <f>Sales[Product_ID]</f>
        <v>PROD2</v>
      </c>
      <c r="I94" s="21" t="str">
        <f>VLOOKUP(H94,Products[],2)</f>
        <v>Knee Support Brace</v>
      </c>
      <c r="J94" s="24">
        <f>Sales[Total_Amount]</f>
        <v>433.772</v>
      </c>
      <c r="K94" s="21" t="str">
        <f t="shared" si="1"/>
        <v>Mar</v>
      </c>
      <c r="L94" s="21">
        <f t="shared" si="2"/>
        <v>2024</v>
      </c>
      <c r="N94" s="33"/>
      <c r="O94" s="34"/>
    </row>
    <row r="95" ht="22.5" customHeight="1">
      <c r="A95" s="21" t="s">
        <v>2060</v>
      </c>
      <c r="B95" s="21" t="s">
        <v>1314</v>
      </c>
      <c r="C95" s="21" t="str">
        <f t="array" ref="C95">XLOOKUP(B95,Customer[Customer_ID],Customer[Name(Cleaned)])</f>
        <v>Luke Parks</v>
      </c>
      <c r="D95" s="22" t="str">
        <f>VLOOKUP(B95,Customer[#ALL],6)</f>
        <v>Male</v>
      </c>
      <c r="E95" s="23">
        <f>Sales[Order_Date]</f>
        <v>45702</v>
      </c>
      <c r="F95" s="21" t="str">
        <f>Sales[Store_ID]</f>
        <v>STORE3</v>
      </c>
      <c r="G95" s="21" t="str">
        <f t="array" ref="G95">INDEX(Store[Store_Name],MATCH(F95,Store[Store_ID],0))</f>
        <v>Johnson-Wright</v>
      </c>
      <c r="H95" s="21" t="str">
        <f>Sales[Product_ID]</f>
        <v>PROD44</v>
      </c>
      <c r="I95" s="21" t="str">
        <f>VLOOKUP(H95,Products[],2)</f>
        <v>Adjustable Jump Rope</v>
      </c>
      <c r="J95" s="24">
        <f>Sales[Total_Amount]</f>
        <v>721.8211</v>
      </c>
      <c r="K95" s="21" t="str">
        <f t="shared" si="1"/>
        <v>Feb</v>
      </c>
      <c r="L95" s="21">
        <f t="shared" si="2"/>
        <v>2025</v>
      </c>
      <c r="N95" s="33"/>
      <c r="O95" s="34"/>
    </row>
    <row r="96" ht="22.5" customHeight="1">
      <c r="A96" s="21" t="s">
        <v>2061</v>
      </c>
      <c r="B96" s="21" t="s">
        <v>966</v>
      </c>
      <c r="C96" s="21" t="str">
        <f t="array" ref="C96">XLOOKUP(B96,Customer[Customer_ID],Customer[Name(Cleaned)])</f>
        <v>Ryan Kane</v>
      </c>
      <c r="D96" s="22" t="str">
        <f>VLOOKUP(B96,Customer[#ALL],6)</f>
        <v>Female</v>
      </c>
      <c r="E96" s="23">
        <f>Sales[Order_Date]</f>
        <v>45871</v>
      </c>
      <c r="F96" s="21" t="str">
        <f>Sales[Store_ID]</f>
        <v>STORE12</v>
      </c>
      <c r="G96" s="21" t="str">
        <f t="array" ref="G96">INDEX(Store[Store_Name],MATCH(F96,Store[Store_ID],0))</f>
        <v>Thomas, Bridges and Harris</v>
      </c>
      <c r="H96" s="21" t="str">
        <f>Sales[Product_ID]</f>
        <v>PROD83</v>
      </c>
      <c r="I96" s="21" t="str">
        <f>VLOOKUP(H96,Products[],2)</f>
        <v>Hydrating Face Cleanser</v>
      </c>
      <c r="J96" s="24">
        <f>Sales[Total_Amount]</f>
        <v>1267.6251</v>
      </c>
      <c r="K96" s="21" t="str">
        <f t="shared" si="1"/>
        <v>Aug</v>
      </c>
      <c r="L96" s="21">
        <f t="shared" si="2"/>
        <v>2025</v>
      </c>
      <c r="N96" s="33"/>
      <c r="O96" s="34"/>
    </row>
    <row r="97" ht="22.5" customHeight="1">
      <c r="A97" s="21" t="s">
        <v>2062</v>
      </c>
      <c r="B97" s="21" t="s">
        <v>1218</v>
      </c>
      <c r="C97" s="21" t="str">
        <f t="array" ref="C97">XLOOKUP(B97,Customer[Customer_ID],Customer[Name(Cleaned)])</f>
        <v>Tammy Brennan</v>
      </c>
      <c r="D97" s="22" t="str">
        <f>VLOOKUP(B97,Customer[#ALL],6)</f>
        <v>Female</v>
      </c>
      <c r="E97" s="23">
        <f>Sales[Order_Date]</f>
        <v>45531</v>
      </c>
      <c r="F97" s="21" t="str">
        <f>Sales[Store_ID]</f>
        <v>STORE16</v>
      </c>
      <c r="G97" s="21" t="str">
        <f t="array" ref="G97">INDEX(Store[Store_Name],MATCH(F97,Store[Store_ID],0))</f>
        <v>Frederick-Wright</v>
      </c>
      <c r="H97" s="21" t="str">
        <f>Sales[Product_ID]</f>
        <v>PROD29</v>
      </c>
      <c r="I97" s="21" t="str">
        <f>VLOOKUP(H97,Products[],2)</f>
        <v>Fabric Sofa Throw Blanket</v>
      </c>
      <c r="J97" s="24">
        <f>Sales[Total_Amount]</f>
        <v>603.5426</v>
      </c>
      <c r="K97" s="21" t="str">
        <f t="shared" si="1"/>
        <v>Aug</v>
      </c>
      <c r="L97" s="21">
        <f t="shared" si="2"/>
        <v>2024</v>
      </c>
      <c r="N97" s="33"/>
      <c r="O97" s="34"/>
    </row>
    <row r="98" ht="22.5" customHeight="1">
      <c r="A98" s="21" t="s">
        <v>2063</v>
      </c>
      <c r="B98" s="21" t="s">
        <v>1104</v>
      </c>
      <c r="C98" s="21" t="str">
        <f t="array" ref="C98">XLOOKUP(B98,Customer[Customer_ID],Customer[Name(Cleaned)])</f>
        <v>Justin Mason Dds</v>
      </c>
      <c r="D98" s="22" t="str">
        <f>VLOOKUP(B98,Customer[#ALL],6)</f>
        <v>Male</v>
      </c>
      <c r="E98" s="23">
        <f>Sales[Order_Date]</f>
        <v>45330</v>
      </c>
      <c r="F98" s="21" t="str">
        <f>Sales[Store_ID]</f>
        <v>STORE16</v>
      </c>
      <c r="G98" s="21" t="str">
        <f t="array" ref="G98">INDEX(Store[Store_Name],MATCH(F98,Store[Store_ID],0))</f>
        <v>Frederick-Wright</v>
      </c>
      <c r="H98" s="21" t="str">
        <f>Sales[Product_ID]</f>
        <v>PROD16</v>
      </c>
      <c r="I98" s="21" t="str">
        <f>VLOOKUP(H98,Products[],2)</f>
        <v>Beard Grooming Kit</v>
      </c>
      <c r="J98" s="24">
        <f>Sales[Total_Amount]</f>
        <v>1251.5072</v>
      </c>
      <c r="K98" s="21" t="str">
        <f t="shared" si="1"/>
        <v>Feb</v>
      </c>
      <c r="L98" s="21">
        <f t="shared" si="2"/>
        <v>2024</v>
      </c>
      <c r="N98" s="33"/>
      <c r="O98" s="34"/>
    </row>
    <row r="99" ht="22.5" customHeight="1">
      <c r="A99" s="21" t="s">
        <v>2064</v>
      </c>
      <c r="B99" s="21" t="s">
        <v>1517</v>
      </c>
      <c r="C99" s="21" t="str">
        <f t="array" ref="C99">XLOOKUP(B99,Customer[Customer_ID],Customer[Name(Cleaned)])</f>
        <v>Zachary Andrade</v>
      </c>
      <c r="D99" s="22" t="str">
        <f>VLOOKUP(B99,Customer[#ALL],6)</f>
        <v>Male</v>
      </c>
      <c r="E99" s="23">
        <f>Sales[Order_Date]</f>
        <v>45311</v>
      </c>
      <c r="F99" s="21" t="str">
        <f>Sales[Store_ID]</f>
        <v>STORE13</v>
      </c>
      <c r="G99" s="21" t="str">
        <f t="array" ref="G99">INDEX(Store[Store_Name],MATCH(F99,Store[Store_ID],0))</f>
        <v>Gardner, Humphrey and Contreras</v>
      </c>
      <c r="H99" s="21" t="str">
        <f>Sales[Product_ID]</f>
        <v>PROD4</v>
      </c>
      <c r="I99" s="21" t="str">
        <f>VLOOKUP(H99,Products[],2)</f>
        <v>Portable Power Bank</v>
      </c>
      <c r="J99" s="24">
        <f>Sales[Total_Amount]</f>
        <v>895.6881</v>
      </c>
      <c r="K99" s="21" t="str">
        <f t="shared" si="1"/>
        <v>Jan</v>
      </c>
      <c r="L99" s="21">
        <f t="shared" si="2"/>
        <v>2024</v>
      </c>
      <c r="N99" s="33"/>
      <c r="O99" s="34"/>
    </row>
    <row r="100" ht="22.5" customHeight="1">
      <c r="A100" s="21" t="s">
        <v>2065</v>
      </c>
      <c r="B100" s="21" t="s">
        <v>920</v>
      </c>
      <c r="C100" s="21" t="str">
        <f t="array" ref="C100">XLOOKUP(B100,Customer[Customer_ID],Customer[Name(Cleaned)])</f>
        <v>Donna Guerra</v>
      </c>
      <c r="D100" s="22" t="str">
        <f>VLOOKUP(B100,Customer[#ALL],6)</f>
        <v>Male</v>
      </c>
      <c r="E100" s="23">
        <f>Sales[Order_Date]</f>
        <v>45567</v>
      </c>
      <c r="F100" s="21" t="str">
        <f>Sales[Store_ID]</f>
        <v>STORE5</v>
      </c>
      <c r="G100" s="21" t="str">
        <f t="array" ref="G100">INDEX(Store[Store_Name],MATCH(F100,Store[Store_ID],0))</f>
        <v>Gray Ltd</v>
      </c>
      <c r="H100" s="21" t="str">
        <f>Sales[Product_ID]</f>
        <v>PROD57</v>
      </c>
      <c r="I100" s="21" t="str">
        <f>VLOOKUP(H100,Products[],2)</f>
        <v>Foam Roller</v>
      </c>
      <c r="J100" s="24">
        <f>Sales[Total_Amount]</f>
        <v>946.53</v>
      </c>
      <c r="K100" s="21" t="str">
        <f t="shared" si="1"/>
        <v>Oct</v>
      </c>
      <c r="L100" s="21">
        <f t="shared" si="2"/>
        <v>2024</v>
      </c>
      <c r="N100" s="33"/>
      <c r="O100" s="34"/>
    </row>
    <row r="101" ht="22.5" customHeight="1">
      <c r="A101" s="21" t="s">
        <v>2066</v>
      </c>
      <c r="B101" s="21" t="s">
        <v>1203</v>
      </c>
      <c r="C101" s="21" t="str">
        <f t="array" ref="C101">XLOOKUP(B101,Customer[Customer_ID],Customer[Name(Cleaned)])</f>
        <v>Shelley Ponce</v>
      </c>
      <c r="D101" s="22" t="str">
        <f>VLOOKUP(B101,Customer[#ALL],6)</f>
        <v>Female</v>
      </c>
      <c r="E101" s="23">
        <f>Sales[Order_Date]</f>
        <v>45239</v>
      </c>
      <c r="F101" s="21" t="str">
        <f>Sales[Store_ID]</f>
        <v>STORE3</v>
      </c>
      <c r="G101" s="21" t="str">
        <f t="array" ref="G101">INDEX(Store[Store_Name],MATCH(F101,Store[Store_ID],0))</f>
        <v>Johnson-Wright</v>
      </c>
      <c r="H101" s="21" t="str">
        <f>Sales[Product_ID]</f>
        <v>PROD39</v>
      </c>
      <c r="I101" s="21" t="str">
        <f>VLOOKUP(H101,Products[],2)</f>
        <v>Portable Power Bank</v>
      </c>
      <c r="J101" s="24">
        <f>Sales[Total_Amount]</f>
        <v>1787.3469</v>
      </c>
      <c r="K101" s="21" t="str">
        <f t="shared" si="1"/>
        <v>Nov</v>
      </c>
      <c r="L101" s="21">
        <f t="shared" si="2"/>
        <v>2023</v>
      </c>
      <c r="N101" s="33"/>
      <c r="O101" s="34"/>
    </row>
    <row r="102" ht="22.5" customHeight="1">
      <c r="A102" s="21" t="s">
        <v>2067</v>
      </c>
      <c r="B102" s="21" t="s">
        <v>818</v>
      </c>
      <c r="C102" s="21" t="str">
        <f t="array" ref="C102">XLOOKUP(B102,Customer[Customer_ID],Customer[Name(Cleaned)])</f>
        <v>Tyler Garner</v>
      </c>
      <c r="D102" s="22" t="str">
        <f>VLOOKUP(B102,Customer[#ALL],6)</f>
        <v>Female</v>
      </c>
      <c r="E102" s="23">
        <f>Sales[Order_Date]</f>
        <v>45284</v>
      </c>
      <c r="F102" s="21" t="str">
        <f>Sales[Store_ID]</f>
        <v>STORE1</v>
      </c>
      <c r="G102" s="21" t="str">
        <f t="array" ref="G102">INDEX(Store[Store_Name],MATCH(F102,Store[Store_ID],0))</f>
        <v>Martinez, Adkins and Johnson</v>
      </c>
      <c r="H102" s="21" t="str">
        <f>Sales[Product_ID]</f>
        <v>PROD84</v>
      </c>
      <c r="I102" s="21" t="str">
        <f>VLOOKUP(H102,Products[],2)</f>
        <v>Wooden Bookshelf</v>
      </c>
      <c r="J102" s="24">
        <f>Sales[Total_Amount]</f>
        <v>528.3066</v>
      </c>
      <c r="K102" s="21" t="str">
        <f t="shared" si="1"/>
        <v>Dec</v>
      </c>
      <c r="L102" s="21">
        <f t="shared" si="2"/>
        <v>2023</v>
      </c>
      <c r="N102" s="33"/>
      <c r="O102" s="34"/>
    </row>
    <row r="103" ht="22.5" customHeight="1">
      <c r="A103" s="21" t="s">
        <v>2068</v>
      </c>
      <c r="B103" s="21" t="s">
        <v>161</v>
      </c>
      <c r="C103" s="21" t="str">
        <f t="array" ref="C103">XLOOKUP(B103,Customer[Customer_ID],Customer[Name(Cleaned)])</f>
        <v>Tonya Reynolds</v>
      </c>
      <c r="D103" s="22" t="str">
        <f>VLOOKUP(B103,Customer[#ALL],6)</f>
        <v>Male</v>
      </c>
      <c r="E103" s="23">
        <f>Sales[Order_Date]</f>
        <v>45686</v>
      </c>
      <c r="F103" s="21" t="str">
        <f>Sales[Store_ID]</f>
        <v>STORE18</v>
      </c>
      <c r="G103" s="21" t="str">
        <f t="array" ref="G103">INDEX(Store[Store_Name],MATCH(F103,Store[Store_ID],0))</f>
        <v>Guerrero-Schmitt</v>
      </c>
      <c r="H103" s="21" t="str">
        <f>Sales[Product_ID]</f>
        <v>PROD48</v>
      </c>
      <c r="I103" s="21" t="str">
        <f>VLOOKUP(H103,Products[],2)</f>
        <v>Car Dashboard Phone Holder</v>
      </c>
      <c r="J103" s="24">
        <f>Sales[Total_Amount]</f>
        <v>305.9424</v>
      </c>
      <c r="K103" s="21" t="str">
        <f t="shared" si="1"/>
        <v>Jan</v>
      </c>
      <c r="L103" s="21">
        <f t="shared" si="2"/>
        <v>2025</v>
      </c>
      <c r="N103" s="33"/>
      <c r="O103" s="34"/>
    </row>
    <row r="104" ht="22.5" customHeight="1">
      <c r="A104" s="21" t="s">
        <v>2069</v>
      </c>
      <c r="B104" s="21" t="s">
        <v>708</v>
      </c>
      <c r="C104" s="21" t="str">
        <f t="array" ref="C104">XLOOKUP(B104,Customer[Customer_ID],Customer[Name(Cleaned)])</f>
        <v>Eric Todd</v>
      </c>
      <c r="D104" s="22" t="str">
        <f>VLOOKUP(B104,Customer[#ALL],6)</f>
        <v>Female</v>
      </c>
      <c r="E104" s="23">
        <f>Sales[Order_Date]</f>
        <v>45738</v>
      </c>
      <c r="F104" s="21" t="str">
        <f>Sales[Store_ID]</f>
        <v>STORE0</v>
      </c>
      <c r="G104" s="21" t="str">
        <f t="array" ref="G104">INDEX(Store[Store_Name],MATCH(F104,Store[Store_ID],0))</f>
        <v>Rivera-Warner</v>
      </c>
      <c r="H104" s="21" t="str">
        <f>Sales[Product_ID]</f>
        <v>PROD91</v>
      </c>
      <c r="I104" s="21" t="str">
        <f>VLOOKUP(H104,Products[],2)</f>
        <v>Women's High Heels</v>
      </c>
      <c r="J104" s="24">
        <f>Sales[Total_Amount]</f>
        <v>1027.7358</v>
      </c>
      <c r="K104" s="21" t="str">
        <f t="shared" si="1"/>
        <v>Mar</v>
      </c>
      <c r="L104" s="21">
        <f t="shared" si="2"/>
        <v>2025</v>
      </c>
      <c r="N104" s="33"/>
      <c r="O104" s="34"/>
    </row>
    <row r="105" ht="22.5" customHeight="1">
      <c r="A105" s="21" t="s">
        <v>2070</v>
      </c>
      <c r="B105" s="21" t="s">
        <v>1038</v>
      </c>
      <c r="C105" s="21" t="str">
        <f t="array" ref="C105">XLOOKUP(B105,Customer[Customer_ID],Customer[Name(Cleaned)])</f>
        <v>Andrew Smith</v>
      </c>
      <c r="D105" s="22" t="str">
        <f>VLOOKUP(B105,Customer[#ALL],6)</f>
        <v>Female</v>
      </c>
      <c r="E105" s="23">
        <f>Sales[Order_Date]</f>
        <v>45824</v>
      </c>
      <c r="F105" s="21" t="str">
        <f>Sales[Store_ID]</f>
        <v>STORE5</v>
      </c>
      <c r="G105" s="21" t="str">
        <f t="array" ref="G105">INDEX(Store[Store_Name],MATCH(F105,Store[Store_ID],0))</f>
        <v>Gray Ltd</v>
      </c>
      <c r="H105" s="21" t="str">
        <f>Sales[Product_ID]</f>
        <v>PROD66</v>
      </c>
      <c r="I105" s="21" t="str">
        <f>VLOOKUP(H105,Products[],2)</f>
        <v>Women's Hair Dryer Brush</v>
      </c>
      <c r="J105" s="24">
        <f>Sales[Total_Amount]</f>
        <v>1369.6744</v>
      </c>
      <c r="K105" s="21" t="str">
        <f t="shared" si="1"/>
        <v>Jun</v>
      </c>
      <c r="L105" s="21">
        <f t="shared" si="2"/>
        <v>2025</v>
      </c>
      <c r="N105" s="33"/>
      <c r="O105" s="34"/>
    </row>
    <row r="106" ht="22.5" customHeight="1">
      <c r="A106" s="21" t="s">
        <v>2071</v>
      </c>
      <c r="B106" s="21" t="s">
        <v>830</v>
      </c>
      <c r="C106" s="21" t="str">
        <f t="array" ref="C106">XLOOKUP(B106,Customer[Customer_ID],Customer[Name(Cleaned)])</f>
        <v>Damon Perez</v>
      </c>
      <c r="D106" s="22" t="str">
        <f>VLOOKUP(B106,Customer[#ALL],6)</f>
        <v>Female</v>
      </c>
      <c r="E106" s="23">
        <f>Sales[Order_Date]</f>
        <v>45867</v>
      </c>
      <c r="F106" s="21" t="str">
        <f>Sales[Store_ID]</f>
        <v>STORE13</v>
      </c>
      <c r="G106" s="21" t="str">
        <f t="array" ref="G106">INDEX(Store[Store_Name],MATCH(F106,Store[Store_ID],0))</f>
        <v>Gardner, Humphrey and Contreras</v>
      </c>
      <c r="H106" s="21" t="str">
        <f>Sales[Product_ID]</f>
        <v>PROD57</v>
      </c>
      <c r="I106" s="21" t="str">
        <f>VLOOKUP(H106,Products[],2)</f>
        <v>Foam Roller</v>
      </c>
      <c r="J106" s="24">
        <f>Sales[Total_Amount]</f>
        <v>1228.4412</v>
      </c>
      <c r="K106" s="21" t="str">
        <f t="shared" si="1"/>
        <v>Jul</v>
      </c>
      <c r="L106" s="21">
        <f t="shared" si="2"/>
        <v>2025</v>
      </c>
      <c r="N106" s="33"/>
      <c r="O106" s="34"/>
    </row>
    <row r="107" ht="22.5" customHeight="1">
      <c r="A107" s="21" t="s">
        <v>2072</v>
      </c>
      <c r="B107" s="21" t="s">
        <v>878</v>
      </c>
      <c r="C107" s="21" t="str">
        <f t="array" ref="C107">XLOOKUP(B107,Customer[Customer_ID],Customer[Name(Cleaned)])</f>
        <v>Daisy Johnson Dds</v>
      </c>
      <c r="D107" s="22" t="str">
        <f>VLOOKUP(B107,Customer[#ALL],6)</f>
        <v>Female</v>
      </c>
      <c r="E107" s="23">
        <f>Sales[Order_Date]</f>
        <v>45578</v>
      </c>
      <c r="F107" s="21" t="str">
        <f>Sales[Store_ID]</f>
        <v>STORE15</v>
      </c>
      <c r="G107" s="21" t="str">
        <f t="array" ref="G107">INDEX(Store[Store_Name],MATCH(F107,Store[Store_ID],0))</f>
        <v>Shelton PLC</v>
      </c>
      <c r="H107" s="21" t="str">
        <f>Sales[Product_ID]</f>
        <v>PROD11</v>
      </c>
      <c r="I107" s="21" t="str">
        <f>VLOOKUP(H107,Products[],2)</f>
        <v>Men's Graphic T-Shirt</v>
      </c>
      <c r="J107" s="24">
        <f>Sales[Total_Amount]</f>
        <v>1896.72</v>
      </c>
      <c r="K107" s="21" t="str">
        <f t="shared" si="1"/>
        <v>Oct</v>
      </c>
      <c r="L107" s="21">
        <f t="shared" si="2"/>
        <v>2024</v>
      </c>
      <c r="N107" s="33"/>
      <c r="O107" s="34"/>
    </row>
    <row r="108" ht="22.5" customHeight="1">
      <c r="A108" s="21" t="s">
        <v>2073</v>
      </c>
      <c r="B108" s="21" t="s">
        <v>549</v>
      </c>
      <c r="C108" s="21" t="str">
        <f t="array" ref="C108">XLOOKUP(B108,Customer[Customer_ID],Customer[Name(Cleaned)])</f>
        <v>Cynthia Morris</v>
      </c>
      <c r="D108" s="22" t="str">
        <f>VLOOKUP(B108,Customer[#ALL],6)</f>
        <v>Male</v>
      </c>
      <c r="E108" s="23">
        <f>Sales[Order_Date]</f>
        <v>45575</v>
      </c>
      <c r="F108" s="21" t="str">
        <f>Sales[Store_ID]</f>
        <v>STORE3</v>
      </c>
      <c r="G108" s="21" t="str">
        <f t="array" ref="G108">INDEX(Store[Store_Name],MATCH(F108,Store[Store_ID],0))</f>
        <v>Johnson-Wright</v>
      </c>
      <c r="H108" s="21" t="str">
        <f>Sales[Product_ID]</f>
        <v>PROD78</v>
      </c>
      <c r="I108" s="21" t="str">
        <f>VLOOKUP(H108,Products[],2)</f>
        <v>Essential Oil Diffuser</v>
      </c>
      <c r="J108" s="24">
        <f>Sales[Total_Amount]</f>
        <v>1386.2428</v>
      </c>
      <c r="K108" s="21" t="str">
        <f t="shared" si="1"/>
        <v>Oct</v>
      </c>
      <c r="L108" s="21">
        <f t="shared" si="2"/>
        <v>2024</v>
      </c>
      <c r="N108" s="33"/>
      <c r="O108" s="34"/>
    </row>
    <row r="109" ht="22.5" customHeight="1">
      <c r="A109" s="21" t="s">
        <v>2074</v>
      </c>
      <c r="B109" s="21" t="s">
        <v>1543</v>
      </c>
      <c r="C109" s="21" t="str">
        <f t="array" ref="C109">XLOOKUP(B109,Customer[Customer_ID],Customer[Name(Cleaned)])</f>
        <v>Sarah Marsh</v>
      </c>
      <c r="D109" s="22" t="str">
        <f>VLOOKUP(B109,Customer[#ALL],6)</f>
        <v>Male</v>
      </c>
      <c r="E109" s="23">
        <f>Sales[Order_Date]</f>
        <v>45816</v>
      </c>
      <c r="F109" s="21" t="str">
        <f>Sales[Store_ID]</f>
        <v>STORE13</v>
      </c>
      <c r="G109" s="21" t="str">
        <f t="array" ref="G109">INDEX(Store[Store_Name],MATCH(F109,Store[Store_ID],0))</f>
        <v>Gardner, Humphrey and Contreras</v>
      </c>
      <c r="H109" s="21" t="str">
        <f>Sales[Product_ID]</f>
        <v>PROD87</v>
      </c>
      <c r="I109" s="21" t="str">
        <f>VLOOKUP(H109,Products[],2)</f>
        <v>LED Bedside Lamp</v>
      </c>
      <c r="J109" s="24">
        <f>Sales[Total_Amount]</f>
        <v>478.0302</v>
      </c>
      <c r="K109" s="21" t="str">
        <f t="shared" si="1"/>
        <v>Jun</v>
      </c>
      <c r="L109" s="21">
        <f t="shared" si="2"/>
        <v>2025</v>
      </c>
      <c r="N109" s="33"/>
      <c r="O109" s="34"/>
    </row>
    <row r="110" ht="22.5" customHeight="1">
      <c r="A110" s="21" t="s">
        <v>2075</v>
      </c>
      <c r="B110" s="21" t="s">
        <v>818</v>
      </c>
      <c r="C110" s="21" t="str">
        <f t="array" ref="C110">XLOOKUP(B110,Customer[Customer_ID],Customer[Name(Cleaned)])</f>
        <v>Tyler Garner</v>
      </c>
      <c r="D110" s="22" t="str">
        <f>VLOOKUP(B110,Customer[#ALL],6)</f>
        <v>Female</v>
      </c>
      <c r="E110" s="23">
        <f>Sales[Order_Date]</f>
        <v>45620</v>
      </c>
      <c r="F110" s="21" t="str">
        <f>Sales[Store_ID]</f>
        <v>STORE15</v>
      </c>
      <c r="G110" s="21" t="str">
        <f t="array" ref="G110">INDEX(Store[Store_Name],MATCH(F110,Store[Store_ID],0))</f>
        <v>Shelton PLC</v>
      </c>
      <c r="H110" s="21" t="str">
        <f>Sales[Product_ID]</f>
        <v>PROD84</v>
      </c>
      <c r="I110" s="21" t="str">
        <f>VLOOKUP(H110,Products[],2)</f>
        <v>Wooden Bookshelf</v>
      </c>
      <c r="J110" s="24">
        <f>Sales[Total_Amount]</f>
        <v>671.8978</v>
      </c>
      <c r="K110" s="21" t="str">
        <f t="shared" si="1"/>
        <v>Nov</v>
      </c>
      <c r="L110" s="21">
        <f t="shared" si="2"/>
        <v>2024</v>
      </c>
      <c r="N110" s="33"/>
      <c r="O110" s="34"/>
    </row>
    <row r="111" ht="22.5" customHeight="1">
      <c r="A111" s="21" t="s">
        <v>2076</v>
      </c>
      <c r="B111" s="21" t="s">
        <v>864</v>
      </c>
      <c r="C111" s="21" t="str">
        <f t="array" ref="C111">XLOOKUP(B111,Customer[Customer_ID],Customer[Name(Cleaned)])</f>
        <v>Cynthia Payne</v>
      </c>
      <c r="D111" s="22" t="str">
        <f>VLOOKUP(B111,Customer[#ALL],6)</f>
        <v>Male</v>
      </c>
      <c r="E111" s="23">
        <f>Sales[Order_Date]</f>
        <v>45695</v>
      </c>
      <c r="F111" s="21" t="str">
        <f>Sales[Store_ID]</f>
        <v>STORE12</v>
      </c>
      <c r="G111" s="21" t="str">
        <f t="array" ref="G111">INDEX(Store[Store_Name],MATCH(F111,Store[Store_ID],0))</f>
        <v>Thomas, Bridges and Harris</v>
      </c>
      <c r="H111" s="21" t="str">
        <f>Sales[Product_ID]</f>
        <v>PROD20</v>
      </c>
      <c r="I111" s="21" t="str">
        <f>VLOOKUP(H111,Products[],2)</f>
        <v>Outdoor Sports Water Bottle</v>
      </c>
      <c r="J111" s="24">
        <f>Sales[Total_Amount]</f>
        <v>91.402</v>
      </c>
      <c r="K111" s="21" t="str">
        <f t="shared" si="1"/>
        <v>Feb</v>
      </c>
      <c r="L111" s="21">
        <f t="shared" si="2"/>
        <v>2025</v>
      </c>
      <c r="N111" s="33"/>
      <c r="O111" s="34"/>
    </row>
    <row r="112" ht="22.5" customHeight="1">
      <c r="A112" s="21" t="s">
        <v>2077</v>
      </c>
      <c r="B112" s="21" t="s">
        <v>269</v>
      </c>
      <c r="C112" s="21" t="str">
        <f t="array" ref="C112">XLOOKUP(B112,Customer[Customer_ID],Customer[Name(Cleaned)])</f>
        <v>Andrea Perez</v>
      </c>
      <c r="D112" s="22" t="str">
        <f>VLOOKUP(B112,Customer[#ALL],6)</f>
        <v>Male</v>
      </c>
      <c r="E112" s="23">
        <f>Sales[Order_Date]</f>
        <v>45596</v>
      </c>
      <c r="F112" s="21" t="str">
        <f>Sales[Store_ID]</f>
        <v>STORE3</v>
      </c>
      <c r="G112" s="21" t="str">
        <f t="array" ref="G112">INDEX(Store[Store_Name],MATCH(F112,Store[Store_ID],0))</f>
        <v>Johnson-Wright</v>
      </c>
      <c r="H112" s="21" t="str">
        <f>Sales[Product_ID]</f>
        <v>PROD0</v>
      </c>
      <c r="I112" s="21" t="str">
        <f>VLOOKUP(H112,Products[],2)</f>
        <v>Brother Laser Printer</v>
      </c>
      <c r="J112" s="24">
        <f>Sales[Total_Amount]</f>
        <v>591.5836</v>
      </c>
      <c r="K112" s="21" t="str">
        <f t="shared" si="1"/>
        <v>Oct</v>
      </c>
      <c r="L112" s="21">
        <f t="shared" si="2"/>
        <v>2024</v>
      </c>
      <c r="N112" s="33"/>
      <c r="O112" s="34"/>
    </row>
    <row r="113" ht="22.5" customHeight="1">
      <c r="A113" s="21" t="s">
        <v>2078</v>
      </c>
      <c r="B113" s="21" t="s">
        <v>1497</v>
      </c>
      <c r="C113" s="21" t="str">
        <f t="array" ref="C113">XLOOKUP(B113,Customer[Customer_ID],Customer[Name(Cleaned)])</f>
        <v>Bryan Tran</v>
      </c>
      <c r="D113" s="22" t="str">
        <f>VLOOKUP(B113,Customer[#ALL],6)</f>
        <v>Female</v>
      </c>
      <c r="E113" s="23">
        <f>Sales[Order_Date]</f>
        <v>45869</v>
      </c>
      <c r="F113" s="21" t="str">
        <f>Sales[Store_ID]</f>
        <v>STORE15</v>
      </c>
      <c r="G113" s="21" t="str">
        <f t="array" ref="G113">INDEX(Store[Store_Name],MATCH(F113,Store[Store_ID],0))</f>
        <v>Shelton PLC</v>
      </c>
      <c r="H113" s="21" t="str">
        <f>Sales[Product_ID]</f>
        <v>PROD15</v>
      </c>
      <c r="I113" s="21" t="str">
        <f>VLOOKUP(H113,Products[],2)</f>
        <v>4K Home Projector</v>
      </c>
      <c r="J113" s="24">
        <f>Sales[Total_Amount]</f>
        <v>566.4204</v>
      </c>
      <c r="K113" s="21" t="str">
        <f t="shared" si="1"/>
        <v>Jul</v>
      </c>
      <c r="L113" s="21">
        <f t="shared" si="2"/>
        <v>2025</v>
      </c>
      <c r="N113" s="33"/>
      <c r="O113" s="34"/>
    </row>
    <row r="114" ht="22.5" customHeight="1">
      <c r="A114" s="21" t="s">
        <v>2079</v>
      </c>
      <c r="B114" s="21" t="s">
        <v>1459</v>
      </c>
      <c r="C114" s="21" t="str">
        <f t="array" ref="C114">XLOOKUP(B114,Customer[Customer_ID],Customer[Name(Cleaned)])</f>
        <v>Gregory Curtis</v>
      </c>
      <c r="D114" s="22" t="str">
        <f>VLOOKUP(B114,Customer[#ALL],6)</f>
        <v>Female</v>
      </c>
      <c r="E114" s="23">
        <f>Sales[Order_Date]</f>
        <v>45631</v>
      </c>
      <c r="F114" s="21" t="str">
        <f>Sales[Store_ID]</f>
        <v>STORE1</v>
      </c>
      <c r="G114" s="21" t="str">
        <f t="array" ref="G114">INDEX(Store[Store_Name],MATCH(F114,Store[Store_ID],0))</f>
        <v>Martinez, Adkins and Johnson</v>
      </c>
      <c r="H114" s="21" t="str">
        <f>Sales[Product_ID]</f>
        <v>PROD85</v>
      </c>
      <c r="I114" s="21" t="str">
        <f>VLOOKUP(H114,Products[],2)</f>
        <v>Women's Beanie Hat</v>
      </c>
      <c r="J114" s="24">
        <f>Sales[Total_Amount]</f>
        <v>674.6356</v>
      </c>
      <c r="K114" s="21" t="str">
        <f t="shared" si="1"/>
        <v>Dec</v>
      </c>
      <c r="L114" s="21">
        <f t="shared" si="2"/>
        <v>2024</v>
      </c>
      <c r="N114" s="33"/>
      <c r="O114" s="34"/>
    </row>
    <row r="115" ht="22.5" customHeight="1">
      <c r="A115" s="21" t="s">
        <v>2080</v>
      </c>
      <c r="B115" s="21" t="s">
        <v>1023</v>
      </c>
      <c r="C115" s="21" t="str">
        <f t="array" ref="C115">XLOOKUP(B115,Customer[Customer_ID],Customer[Name(Cleaned)])</f>
        <v>Jessica Gonzalez</v>
      </c>
      <c r="D115" s="22" t="str">
        <f>VLOOKUP(B115,Customer[#ALL],6)</f>
        <v>Male</v>
      </c>
      <c r="E115" s="23">
        <f>Sales[Order_Date]</f>
        <v>45801</v>
      </c>
      <c r="F115" s="21" t="str">
        <f>Sales[Store_ID]</f>
        <v>STORE1</v>
      </c>
      <c r="G115" s="21" t="str">
        <f t="array" ref="G115">INDEX(Store[Store_Name],MATCH(F115,Store[Store_ID],0))</f>
        <v>Martinez, Adkins and Johnson</v>
      </c>
      <c r="H115" s="21" t="str">
        <f>Sales[Product_ID]</f>
        <v>PROD39</v>
      </c>
      <c r="I115" s="21" t="str">
        <f>VLOOKUP(H115,Products[],2)</f>
        <v>Portable Power Bank</v>
      </c>
      <c r="J115" s="24">
        <f>Sales[Total_Amount]</f>
        <v>952.5744</v>
      </c>
      <c r="K115" s="21" t="str">
        <f t="shared" si="1"/>
        <v>May</v>
      </c>
      <c r="L115" s="21">
        <f t="shared" si="2"/>
        <v>2025</v>
      </c>
      <c r="N115" s="33"/>
      <c r="O115" s="34"/>
    </row>
    <row r="116" ht="22.5" customHeight="1">
      <c r="A116" s="21" t="s">
        <v>2081</v>
      </c>
      <c r="B116" s="21" t="s">
        <v>47</v>
      </c>
      <c r="C116" s="21" t="str">
        <f t="array" ref="C116">XLOOKUP(B116,Customer[Customer_ID],Customer[Name(Cleaned)])</f>
        <v>Daniel Boyd</v>
      </c>
      <c r="D116" s="22" t="str">
        <f>VLOOKUP(B116,Customer[#ALL],6)</f>
        <v>Male</v>
      </c>
      <c r="E116" s="23">
        <f>Sales[Order_Date]</f>
        <v>45851</v>
      </c>
      <c r="F116" s="21" t="str">
        <f>Sales[Store_ID]</f>
        <v>STORE8</v>
      </c>
      <c r="G116" s="21" t="str">
        <f t="array" ref="G116">INDEX(Store[Store_Name],MATCH(F116,Store[Store_ID],0))</f>
        <v>Bean, Jones and Park</v>
      </c>
      <c r="H116" s="21" t="str">
        <f>Sales[Product_ID]</f>
        <v>PROD42</v>
      </c>
      <c r="I116" s="21" t="str">
        <f>VLOOKUP(H116,Products[],2)</f>
        <v>Smart Home WiFi Camera</v>
      </c>
      <c r="J116" s="24">
        <f>Sales[Total_Amount]</f>
        <v>882.5744</v>
      </c>
      <c r="K116" s="21" t="str">
        <f t="shared" si="1"/>
        <v>Jul</v>
      </c>
      <c r="L116" s="21">
        <f t="shared" si="2"/>
        <v>2025</v>
      </c>
      <c r="N116" s="33"/>
      <c r="O116" s="34"/>
    </row>
    <row r="117" ht="22.5" customHeight="1">
      <c r="A117" s="21" t="s">
        <v>2082</v>
      </c>
      <c r="B117" s="21" t="s">
        <v>842</v>
      </c>
      <c r="C117" s="21" t="str">
        <f t="array" ref="C117">XLOOKUP(B117,Customer[Customer_ID],Customer[Name(Cleaned)])</f>
        <v>Beth Allen</v>
      </c>
      <c r="D117" s="22" t="str">
        <f>VLOOKUP(B117,Customer[#ALL],6)</f>
        <v>Male</v>
      </c>
      <c r="E117" s="23">
        <f>Sales[Order_Date]</f>
        <v>45379</v>
      </c>
      <c r="F117" s="21" t="str">
        <f>Sales[Store_ID]</f>
        <v>STORE10</v>
      </c>
      <c r="G117" s="21" t="str">
        <f t="array" ref="G117">INDEX(Store[Store_Name],MATCH(F117,Store[Store_ID],0))</f>
        <v>Hill, Wagner and Ballard</v>
      </c>
      <c r="H117" s="21" t="str">
        <f>Sales[Product_ID]</f>
        <v>PROD52</v>
      </c>
      <c r="I117" s="21" t="str">
        <f>VLOOKUP(H117,Products[],2)</f>
        <v>Rugby Ball</v>
      </c>
      <c r="J117" s="24">
        <f>Sales[Total_Amount]</f>
        <v>155.2272</v>
      </c>
      <c r="K117" s="21" t="str">
        <f t="shared" si="1"/>
        <v>Mar</v>
      </c>
      <c r="L117" s="21">
        <f t="shared" si="2"/>
        <v>2024</v>
      </c>
      <c r="N117" s="33"/>
      <c r="O117" s="34"/>
    </row>
    <row r="118" ht="22.5" customHeight="1">
      <c r="A118" s="21" t="s">
        <v>2083</v>
      </c>
      <c r="B118" s="21" t="s">
        <v>395</v>
      </c>
      <c r="C118" s="21" t="str">
        <f t="array" ref="C118">XLOOKUP(B118,Customer[Customer_ID],Customer[Name(Cleaned)])</f>
        <v>Ashley Griffin</v>
      </c>
      <c r="D118" s="22" t="str">
        <f>VLOOKUP(B118,Customer[#ALL],6)</f>
        <v>Male</v>
      </c>
      <c r="E118" s="23">
        <f>Sales[Order_Date]</f>
        <v>45641</v>
      </c>
      <c r="F118" s="21" t="str">
        <f>Sales[Store_ID]</f>
        <v>STORE1</v>
      </c>
      <c r="G118" s="21" t="str">
        <f t="array" ref="G118">INDEX(Store[Store_Name],MATCH(F118,Store[Store_ID],0))</f>
        <v>Martinez, Adkins and Johnson</v>
      </c>
      <c r="H118" s="21" t="str">
        <f>Sales[Product_ID]</f>
        <v>PROD8</v>
      </c>
      <c r="I118" s="21" t="str">
        <f>VLOOKUP(H118,Products[],2)</f>
        <v>Decorative Lamp Shade</v>
      </c>
      <c r="J118" s="24">
        <f>Sales[Total_Amount]</f>
        <v>817.2108</v>
      </c>
      <c r="K118" s="21" t="str">
        <f t="shared" si="1"/>
        <v>Dec</v>
      </c>
      <c r="L118" s="21">
        <f t="shared" si="2"/>
        <v>2024</v>
      </c>
      <c r="N118" s="33"/>
      <c r="O118" s="34"/>
    </row>
    <row r="119" ht="22.5" customHeight="1">
      <c r="A119" s="21" t="s">
        <v>2084</v>
      </c>
      <c r="B119" s="21" t="s">
        <v>489</v>
      </c>
      <c r="C119" s="21" t="str">
        <f t="array" ref="C119">XLOOKUP(B119,Customer[Customer_ID],Customer[Name(Cleaned)])</f>
        <v>Cristian Wright</v>
      </c>
      <c r="D119" s="22" t="str">
        <f>VLOOKUP(B119,Customer[#ALL],6)</f>
        <v>Female</v>
      </c>
      <c r="E119" s="23">
        <f>Sales[Order_Date]</f>
        <v>45842</v>
      </c>
      <c r="F119" s="21" t="str">
        <f>Sales[Store_ID]</f>
        <v>STORE3</v>
      </c>
      <c r="G119" s="21" t="str">
        <f t="array" ref="G119">INDEX(Store[Store_Name],MATCH(F119,Store[Store_ID],0))</f>
        <v>Johnson-Wright</v>
      </c>
      <c r="H119" s="21" t="str">
        <f>Sales[Product_ID]</f>
        <v>PROD15</v>
      </c>
      <c r="I119" s="21" t="str">
        <f>VLOOKUP(H119,Products[],2)</f>
        <v>4K Home Projector</v>
      </c>
      <c r="J119" s="24">
        <f>Sales[Total_Amount]</f>
        <v>956.1664</v>
      </c>
      <c r="K119" s="21" t="str">
        <f t="shared" si="1"/>
        <v>Jul</v>
      </c>
      <c r="L119" s="21">
        <f t="shared" si="2"/>
        <v>2025</v>
      </c>
      <c r="N119" s="33"/>
      <c r="O119" s="34"/>
    </row>
    <row r="120" ht="22.5" customHeight="1">
      <c r="A120" s="21" t="s">
        <v>2085</v>
      </c>
      <c r="B120" s="21" t="s">
        <v>1188</v>
      </c>
      <c r="C120" s="21" t="str">
        <f t="array" ref="C120">XLOOKUP(B120,Customer[Customer_ID],Customer[Name(Cleaned)])</f>
        <v>Joshua Bell</v>
      </c>
      <c r="D120" s="22" t="str">
        <f>VLOOKUP(B120,Customer[#ALL],6)</f>
        <v>Female</v>
      </c>
      <c r="E120" s="23">
        <f>Sales[Order_Date]</f>
        <v>45257</v>
      </c>
      <c r="F120" s="21" t="str">
        <f>Sales[Store_ID]</f>
        <v>STORE13</v>
      </c>
      <c r="G120" s="21" t="str">
        <f t="array" ref="G120">INDEX(Store[Store_Name],MATCH(F120,Store[Store_ID],0))</f>
        <v>Gardner, Humphrey and Contreras</v>
      </c>
      <c r="H120" s="21" t="str">
        <f>Sales[Product_ID]</f>
        <v>PROD28</v>
      </c>
      <c r="I120" s="21" t="str">
        <f>VLOOKUP(H120,Products[],2)</f>
        <v>Sports Stopwatch Timer</v>
      </c>
      <c r="J120" s="24">
        <f>Sales[Total_Amount]</f>
        <v>664.35</v>
      </c>
      <c r="K120" s="21" t="str">
        <f t="shared" si="1"/>
        <v>Nov</v>
      </c>
      <c r="L120" s="21">
        <f t="shared" si="2"/>
        <v>2023</v>
      </c>
      <c r="N120" s="33"/>
      <c r="O120" s="34"/>
    </row>
    <row r="121" ht="22.5" customHeight="1">
      <c r="A121" s="21" t="s">
        <v>2086</v>
      </c>
      <c r="B121" s="21" t="s">
        <v>1215</v>
      </c>
      <c r="C121" s="21" t="str">
        <f t="array" ref="C121">XLOOKUP(B121,Customer[Customer_ID],Customer[Name(Cleaned)])</f>
        <v>Andrew Mason</v>
      </c>
      <c r="D121" s="22" t="str">
        <f>VLOOKUP(B121,Customer[#ALL],6)</f>
        <v>Male</v>
      </c>
      <c r="E121" s="23">
        <f>Sales[Order_Date]</f>
        <v>45468</v>
      </c>
      <c r="F121" s="21" t="str">
        <f>Sales[Store_ID]</f>
        <v>STORE10</v>
      </c>
      <c r="G121" s="21" t="str">
        <f t="array" ref="G121">INDEX(Store[Store_Name],MATCH(F121,Store[Store_ID],0))</f>
        <v>Hill, Wagner and Ballard</v>
      </c>
      <c r="H121" s="21" t="str">
        <f>Sales[Product_ID]</f>
        <v>PROD21</v>
      </c>
      <c r="I121" s="21" t="str">
        <f>VLOOKUP(H121,Products[],2)</f>
        <v>Multi-Purpose Storage Box</v>
      </c>
      <c r="J121" s="24">
        <f>Sales[Total_Amount]</f>
        <v>353.2734</v>
      </c>
      <c r="K121" s="21" t="str">
        <f t="shared" si="1"/>
        <v>Jun</v>
      </c>
      <c r="L121" s="21">
        <f t="shared" si="2"/>
        <v>2024</v>
      </c>
      <c r="N121" s="33"/>
      <c r="O121" s="34"/>
    </row>
    <row r="122" ht="22.5" customHeight="1">
      <c r="A122" s="21" t="s">
        <v>2087</v>
      </c>
      <c r="B122" s="21" t="s">
        <v>1212</v>
      </c>
      <c r="C122" s="21" t="str">
        <f t="array" ref="C122">XLOOKUP(B122,Customer[Customer_ID],Customer[Name(Cleaned)])</f>
        <v>Kristine Higgins</v>
      </c>
      <c r="D122" s="22" t="str">
        <f>VLOOKUP(B122,Customer[#ALL],6)</f>
        <v>Male</v>
      </c>
      <c r="E122" s="23">
        <f>Sales[Order_Date]</f>
        <v>45228</v>
      </c>
      <c r="F122" s="21" t="str">
        <f>Sales[Store_ID]</f>
        <v>STORE3</v>
      </c>
      <c r="G122" s="21" t="str">
        <f t="array" ref="G122">INDEX(Store[Store_Name],MATCH(F122,Store[Store_ID],0))</f>
        <v>Johnson-Wright</v>
      </c>
      <c r="H122" s="21" t="str">
        <f>Sales[Product_ID]</f>
        <v>PROD15</v>
      </c>
      <c r="I122" s="21" t="str">
        <f>VLOOKUP(H122,Products[],2)</f>
        <v>4K Home Projector</v>
      </c>
      <c r="J122" s="24">
        <f>Sales[Total_Amount]</f>
        <v>2691.7436</v>
      </c>
      <c r="K122" s="21" t="str">
        <f t="shared" si="1"/>
        <v>Oct</v>
      </c>
      <c r="L122" s="21">
        <f t="shared" si="2"/>
        <v>2023</v>
      </c>
      <c r="N122" s="33"/>
      <c r="O122" s="34"/>
    </row>
    <row r="123" ht="22.5" customHeight="1">
      <c r="A123" s="21" t="s">
        <v>2088</v>
      </c>
      <c r="B123" s="21" t="s">
        <v>570</v>
      </c>
      <c r="C123" s="21" t="str">
        <f t="array" ref="C123">XLOOKUP(B123,Customer[Customer_ID],Customer[Name(Cleaned)])</f>
        <v>Daniel Contreras</v>
      </c>
      <c r="D123" s="22" t="str">
        <f>VLOOKUP(B123,Customer[#ALL],6)</f>
        <v>Male</v>
      </c>
      <c r="E123" s="23">
        <f>Sales[Order_Date]</f>
        <v>45661</v>
      </c>
      <c r="F123" s="21" t="str">
        <f>Sales[Store_ID]</f>
        <v>STORE1</v>
      </c>
      <c r="G123" s="21" t="str">
        <f t="array" ref="G123">INDEX(Store[Store_Name],MATCH(F123,Store[Store_ID],0))</f>
        <v>Martinez, Adkins and Johnson</v>
      </c>
      <c r="H123" s="21" t="str">
        <f>Sales[Product_ID]</f>
        <v>PROD50</v>
      </c>
      <c r="I123" s="21" t="str">
        <f>VLOOKUP(H123,Products[],2)</f>
        <v>Boxing Hand Wraps</v>
      </c>
      <c r="J123" s="24">
        <f>Sales[Total_Amount]</f>
        <v>763.308</v>
      </c>
      <c r="K123" s="21" t="str">
        <f t="shared" si="1"/>
        <v>Jan</v>
      </c>
      <c r="L123" s="21">
        <f t="shared" si="2"/>
        <v>2025</v>
      </c>
      <c r="N123" s="33"/>
      <c r="O123" s="34"/>
    </row>
    <row r="124" ht="22.5" customHeight="1">
      <c r="A124" s="21" t="s">
        <v>2089</v>
      </c>
      <c r="B124" s="21" t="s">
        <v>1430</v>
      </c>
      <c r="C124" s="21" t="str">
        <f t="array" ref="C124">XLOOKUP(B124,Customer[Customer_ID],Customer[Name(Cleaned)])</f>
        <v>Kelly Garrett</v>
      </c>
      <c r="D124" s="22" t="str">
        <f>VLOOKUP(B124,Customer[#ALL],6)</f>
        <v>Male</v>
      </c>
      <c r="E124" s="23">
        <f>Sales[Order_Date]</f>
        <v>45701</v>
      </c>
      <c r="F124" s="21" t="str">
        <f>Sales[Store_ID]</f>
        <v>STORE19</v>
      </c>
      <c r="G124" s="21" t="str">
        <f t="array" ref="G124">INDEX(Store[Store_Name],MATCH(F124,Store[Store_ID],0))</f>
        <v>Mann-Austin</v>
      </c>
      <c r="H124" s="21" t="str">
        <f>Sales[Product_ID]</f>
        <v>PROD17</v>
      </c>
      <c r="I124" s="21" t="str">
        <f>VLOOKUP(H124,Products[],2)</f>
        <v>Soccer Training Cone Set</v>
      </c>
      <c r="J124" s="24">
        <f>Sales[Total_Amount]</f>
        <v>222.2675</v>
      </c>
      <c r="K124" s="21" t="str">
        <f t="shared" si="1"/>
        <v>Feb</v>
      </c>
      <c r="L124" s="21">
        <f t="shared" si="2"/>
        <v>2025</v>
      </c>
      <c r="N124" s="33"/>
      <c r="O124" s="34"/>
    </row>
    <row r="125" ht="22.5" customHeight="1">
      <c r="A125" s="21" t="s">
        <v>2090</v>
      </c>
      <c r="B125" s="21" t="s">
        <v>1170</v>
      </c>
      <c r="C125" s="21" t="str">
        <f t="array" ref="C125">XLOOKUP(B125,Customer[Customer_ID],Customer[Name(Cleaned)])</f>
        <v>Gregory Allen</v>
      </c>
      <c r="D125" s="22" t="str">
        <f>VLOOKUP(B125,Customer[#ALL],6)</f>
        <v>Male</v>
      </c>
      <c r="E125" s="23">
        <f>Sales[Order_Date]</f>
        <v>45448</v>
      </c>
      <c r="F125" s="21" t="str">
        <f>Sales[Store_ID]</f>
        <v>STORE10</v>
      </c>
      <c r="G125" s="21" t="str">
        <f t="array" ref="G125">INDEX(Store[Store_Name],MATCH(F125,Store[Store_ID],0))</f>
        <v>Hill, Wagner and Ballard</v>
      </c>
      <c r="H125" s="21" t="str">
        <f>Sales[Product_ID]</f>
        <v>PROD61</v>
      </c>
      <c r="I125" s="21" t="str">
        <f>VLOOKUP(H125,Products[],2)</f>
        <v>Tennis Ball 3-Pack</v>
      </c>
      <c r="J125" s="24">
        <f>Sales[Total_Amount]</f>
        <v>2135.4168</v>
      </c>
      <c r="K125" s="21" t="str">
        <f t="shared" si="1"/>
        <v>Jun</v>
      </c>
      <c r="L125" s="21">
        <f t="shared" si="2"/>
        <v>2024</v>
      </c>
      <c r="N125" s="33"/>
      <c r="O125" s="34"/>
    </row>
    <row r="126" ht="22.5" customHeight="1">
      <c r="A126" s="21" t="s">
        <v>2091</v>
      </c>
      <c r="B126" s="21" t="s">
        <v>1077</v>
      </c>
      <c r="C126" s="21" t="str">
        <f t="array" ref="C126">XLOOKUP(B126,Customer[Customer_ID],Customer[Name(Cleaned)])</f>
        <v>Jasmine Snyder</v>
      </c>
      <c r="D126" s="22" t="str">
        <f>VLOOKUP(B126,Customer[#ALL],6)</f>
        <v>Male</v>
      </c>
      <c r="E126" s="23">
        <f>Sales[Order_Date]</f>
        <v>45387</v>
      </c>
      <c r="F126" s="21" t="str">
        <f>Sales[Store_ID]</f>
        <v>STORE2</v>
      </c>
      <c r="G126" s="21" t="str">
        <f t="array" ref="G126">INDEX(Store[Store_Name],MATCH(F126,Store[Store_ID],0))</f>
        <v>Black-Horn</v>
      </c>
      <c r="H126" s="21" t="str">
        <f>Sales[Product_ID]</f>
        <v>PROD31</v>
      </c>
      <c r="I126" s="21" t="str">
        <f>VLOOKUP(H126,Products[],2)</f>
        <v>Basketball</v>
      </c>
      <c r="J126" s="24">
        <f>Sales[Total_Amount]</f>
        <v>2478.45</v>
      </c>
      <c r="K126" s="21" t="str">
        <f t="shared" si="1"/>
        <v>Apr</v>
      </c>
      <c r="L126" s="21">
        <f t="shared" si="2"/>
        <v>2024</v>
      </c>
      <c r="N126" s="33"/>
      <c r="O126" s="34"/>
    </row>
    <row r="127" ht="22.5" customHeight="1">
      <c r="A127" s="21" t="s">
        <v>2092</v>
      </c>
      <c r="B127" s="21" t="s">
        <v>422</v>
      </c>
      <c r="C127" s="21" t="str">
        <f t="array" ref="C127">XLOOKUP(B127,Customer[Customer_ID],Customer[Name(Cleaned)])</f>
        <v>Michael Jones</v>
      </c>
      <c r="D127" s="22" t="str">
        <f>VLOOKUP(B127,Customer[#ALL],6)</f>
        <v>Female</v>
      </c>
      <c r="E127" s="23">
        <f>Sales[Order_Date]</f>
        <v>45798</v>
      </c>
      <c r="F127" s="21" t="str">
        <f>Sales[Store_ID]</f>
        <v>STORE3</v>
      </c>
      <c r="G127" s="21" t="str">
        <f t="array" ref="G127">INDEX(Store[Store_Name],MATCH(F127,Store[Store_ID],0))</f>
        <v>Johnson-Wright</v>
      </c>
      <c r="H127" s="21" t="str">
        <f>Sales[Product_ID]</f>
        <v>PROD90</v>
      </c>
      <c r="I127" s="21" t="str">
        <f>VLOOKUP(H127,Products[],2)</f>
        <v>Gaming Mouse Pad XL</v>
      </c>
      <c r="J127" s="24">
        <f>Sales[Total_Amount]</f>
        <v>1674.5058</v>
      </c>
      <c r="K127" s="21" t="str">
        <f t="shared" si="1"/>
        <v>May</v>
      </c>
      <c r="L127" s="21">
        <f t="shared" si="2"/>
        <v>2025</v>
      </c>
      <c r="N127" s="33"/>
      <c r="O127" s="34"/>
    </row>
    <row r="128" ht="22.5" customHeight="1">
      <c r="A128" s="21" t="s">
        <v>2093</v>
      </c>
      <c r="B128" s="21" t="s">
        <v>628</v>
      </c>
      <c r="C128" s="21" t="str">
        <f t="array" ref="C128">XLOOKUP(B128,Customer[Customer_ID],Customer[Name(Cleaned)])</f>
        <v>Dr. Suzanne Bullock</v>
      </c>
      <c r="D128" s="22" t="str">
        <f>VLOOKUP(B128,Customer[#ALL],6)</f>
        <v>Male</v>
      </c>
      <c r="E128" s="23">
        <f>Sales[Order_Date]</f>
        <v>45652</v>
      </c>
      <c r="F128" s="21" t="str">
        <f>Sales[Store_ID]</f>
        <v>STORE19</v>
      </c>
      <c r="G128" s="21" t="str">
        <f t="array" ref="G128">INDEX(Store[Store_Name],MATCH(F128,Store[Store_ID],0))</f>
        <v>Mann-Austin</v>
      </c>
      <c r="H128" s="21" t="str">
        <f>Sales[Product_ID]</f>
        <v>PROD24</v>
      </c>
      <c r="I128" s="21" t="str">
        <f>VLOOKUP(H128,Products[],2)</f>
        <v>Foldable Camping Chair</v>
      </c>
      <c r="J128" s="24">
        <f>Sales[Total_Amount]</f>
        <v>1439.136</v>
      </c>
      <c r="K128" s="21" t="str">
        <f t="shared" si="1"/>
        <v>Dec</v>
      </c>
      <c r="L128" s="21">
        <f t="shared" si="2"/>
        <v>2024</v>
      </c>
      <c r="N128" s="33"/>
      <c r="O128" s="34"/>
    </row>
    <row r="129" ht="22.5" customHeight="1">
      <c r="A129" s="21" t="s">
        <v>2094</v>
      </c>
      <c r="B129" s="21" t="s">
        <v>887</v>
      </c>
      <c r="C129" s="21" t="str">
        <f t="array" ref="C129">XLOOKUP(B129,Customer[Customer_ID],Customer[Name(Cleaned)])</f>
        <v>Sarah Lane</v>
      </c>
      <c r="D129" s="22" t="str">
        <f>VLOOKUP(B129,Customer[#ALL],6)</f>
        <v>Female</v>
      </c>
      <c r="E129" s="23">
        <f>Sales[Order_Date]</f>
        <v>45316</v>
      </c>
      <c r="F129" s="21" t="str">
        <f>Sales[Store_ID]</f>
        <v>STORE10</v>
      </c>
      <c r="G129" s="21" t="str">
        <f t="array" ref="G129">INDEX(Store[Store_Name],MATCH(F129,Store[Store_ID],0))</f>
        <v>Hill, Wagner and Ballard</v>
      </c>
      <c r="H129" s="21" t="str">
        <f>Sales[Product_ID]</f>
        <v>PROD58</v>
      </c>
      <c r="I129" s="21" t="str">
        <f>VLOOKUP(H129,Products[],2)</f>
        <v>Womens Cotton Scarf</v>
      </c>
      <c r="J129" s="24">
        <f>Sales[Total_Amount]</f>
        <v>871.4193</v>
      </c>
      <c r="K129" s="21" t="str">
        <f t="shared" si="1"/>
        <v>Jan</v>
      </c>
      <c r="L129" s="21">
        <f t="shared" si="2"/>
        <v>2024</v>
      </c>
      <c r="N129" s="33"/>
      <c r="O129" s="34"/>
    </row>
    <row r="130" ht="22.5" customHeight="1">
      <c r="A130" s="21" t="s">
        <v>2095</v>
      </c>
      <c r="B130" s="21" t="s">
        <v>519</v>
      </c>
      <c r="C130" s="21" t="str">
        <f t="array" ref="C130">XLOOKUP(B130,Customer[Customer_ID],Customer[Name(Cleaned)])</f>
        <v>Michael Davies</v>
      </c>
      <c r="D130" s="22" t="str">
        <f>VLOOKUP(B130,Customer[#ALL],6)</f>
        <v>Male</v>
      </c>
      <c r="E130" s="23">
        <f>Sales[Order_Date]</f>
        <v>45316</v>
      </c>
      <c r="F130" s="21" t="str">
        <f>Sales[Store_ID]</f>
        <v>STORE5</v>
      </c>
      <c r="G130" s="21" t="str">
        <f t="array" ref="G130">INDEX(Store[Store_Name],MATCH(F130,Store[Store_ID],0))</f>
        <v>Gray Ltd</v>
      </c>
      <c r="H130" s="21" t="str">
        <f>Sales[Product_ID]</f>
        <v>PROD73</v>
      </c>
      <c r="I130" s="21" t="str">
        <f>VLOOKUP(H130,Products[],2)</f>
        <v>Shin Guards – Adult</v>
      </c>
      <c r="J130" s="24">
        <f>Sales[Total_Amount]</f>
        <v>1236.48</v>
      </c>
      <c r="K130" s="21" t="str">
        <f t="shared" si="1"/>
        <v>Jan</v>
      </c>
      <c r="L130" s="21">
        <f t="shared" si="2"/>
        <v>2024</v>
      </c>
      <c r="N130" s="33"/>
      <c r="O130" s="34"/>
    </row>
    <row r="131" ht="22.5" customHeight="1">
      <c r="A131" s="21" t="s">
        <v>2096</v>
      </c>
      <c r="B131" s="21" t="s">
        <v>346</v>
      </c>
      <c r="C131" s="21" t="str">
        <f t="array" ref="C131">XLOOKUP(B131,Customer[Customer_ID],Customer[Name(Cleaned)])</f>
        <v>David Patterson</v>
      </c>
      <c r="D131" s="22" t="str">
        <f>VLOOKUP(B131,Customer[#ALL],6)</f>
        <v>Male</v>
      </c>
      <c r="E131" s="23">
        <f>Sales[Order_Date]</f>
        <v>45888</v>
      </c>
      <c r="F131" s="21" t="str">
        <f>Sales[Store_ID]</f>
        <v>STORE5</v>
      </c>
      <c r="G131" s="21" t="str">
        <f t="array" ref="G131">INDEX(Store[Store_Name],MATCH(F131,Store[Store_ID],0))</f>
        <v>Gray Ltd</v>
      </c>
      <c r="H131" s="21" t="str">
        <f>Sales[Product_ID]</f>
        <v>PROD91</v>
      </c>
      <c r="I131" s="21" t="str">
        <f>VLOOKUP(H131,Products[],2)</f>
        <v>Women's High Heels</v>
      </c>
      <c r="J131" s="24">
        <f>Sales[Total_Amount]</f>
        <v>1794.303</v>
      </c>
      <c r="K131" s="21" t="str">
        <f t="shared" si="1"/>
        <v>Aug</v>
      </c>
      <c r="L131" s="21">
        <f t="shared" si="2"/>
        <v>2025</v>
      </c>
      <c r="N131" s="33"/>
      <c r="O131" s="34"/>
    </row>
    <row r="132" ht="22.5" customHeight="1">
      <c r="A132" s="21" t="s">
        <v>2097</v>
      </c>
      <c r="B132" s="21" t="s">
        <v>1453</v>
      </c>
      <c r="C132" s="21" t="str">
        <f t="array" ref="C132">XLOOKUP(B132,Customer[Customer_ID],Customer[Name(Cleaned)])</f>
        <v>Cynthia Parrish</v>
      </c>
      <c r="D132" s="22" t="str">
        <f>VLOOKUP(B132,Customer[#ALL],6)</f>
        <v>Female</v>
      </c>
      <c r="E132" s="23">
        <f>Sales[Order_Date]</f>
        <v>45791</v>
      </c>
      <c r="F132" s="21" t="str">
        <f>Sales[Store_ID]</f>
        <v>STORE2</v>
      </c>
      <c r="G132" s="21" t="str">
        <f t="array" ref="G132">INDEX(Store[Store_Name],MATCH(F132,Store[Store_ID],0))</f>
        <v>Black-Horn</v>
      </c>
      <c r="H132" s="21" t="str">
        <f>Sales[Product_ID]</f>
        <v>PROD87</v>
      </c>
      <c r="I132" s="21" t="str">
        <f>VLOOKUP(H132,Products[],2)</f>
        <v>LED Bedside Lamp</v>
      </c>
      <c r="J132" s="24">
        <f>Sales[Total_Amount]</f>
        <v>199.2928</v>
      </c>
      <c r="K132" s="21" t="str">
        <f t="shared" si="1"/>
        <v>May</v>
      </c>
      <c r="L132" s="21">
        <f t="shared" si="2"/>
        <v>2025</v>
      </c>
      <c r="N132" s="33"/>
      <c r="O132" s="34"/>
    </row>
    <row r="133" ht="22.5" customHeight="1">
      <c r="A133" s="21" t="s">
        <v>2098</v>
      </c>
      <c r="B133" s="21" t="s">
        <v>1265</v>
      </c>
      <c r="C133" s="21" t="str">
        <f t="array" ref="C133">XLOOKUP(B133,Customer[Customer_ID],Customer[Name(Cleaned)])</f>
        <v>Terry Moses</v>
      </c>
      <c r="D133" s="22" t="str">
        <f>VLOOKUP(B133,Customer[#ALL],6)</f>
        <v>Male</v>
      </c>
      <c r="E133" s="23">
        <f>Sales[Order_Date]</f>
        <v>45420</v>
      </c>
      <c r="F133" s="21" t="str">
        <f>Sales[Store_ID]</f>
        <v>STORE19</v>
      </c>
      <c r="G133" s="21" t="str">
        <f t="array" ref="G133">INDEX(Store[Store_Name],MATCH(F133,Store[Store_ID],0))</f>
        <v>Mann-Austin</v>
      </c>
      <c r="H133" s="21" t="str">
        <f>Sales[Product_ID]</f>
        <v>PROD65</v>
      </c>
      <c r="I133" s="21" t="str">
        <f>VLOOKUP(H133,Products[],2)</f>
        <v>Adjustable Dumbbells 20kg</v>
      </c>
      <c r="J133" s="24">
        <f>Sales[Total_Amount]</f>
        <v>1022.6838</v>
      </c>
      <c r="K133" s="21" t="str">
        <f t="shared" si="1"/>
        <v>May</v>
      </c>
      <c r="L133" s="21">
        <f t="shared" si="2"/>
        <v>2024</v>
      </c>
      <c r="N133" s="33"/>
      <c r="O133" s="34"/>
    </row>
    <row r="134" ht="22.5" customHeight="1">
      <c r="A134" s="21" t="s">
        <v>2099</v>
      </c>
      <c r="B134" s="21" t="s">
        <v>486</v>
      </c>
      <c r="C134" s="21" t="str">
        <f t="array" ref="C134">XLOOKUP(B134,Customer[Customer_ID],Customer[Name(Cleaned)])</f>
        <v>Patty Francis</v>
      </c>
      <c r="D134" s="22" t="str">
        <f>VLOOKUP(B134,Customer[#ALL],6)</f>
        <v>Male</v>
      </c>
      <c r="E134" s="23">
        <f>Sales[Order_Date]</f>
        <v>45219</v>
      </c>
      <c r="F134" s="21" t="str">
        <f>Sales[Store_ID]</f>
        <v>STORE8</v>
      </c>
      <c r="G134" s="21" t="str">
        <f t="array" ref="G134">INDEX(Store[Store_Name],MATCH(F134,Store[Store_ID],0))</f>
        <v>Bean, Jones and Park</v>
      </c>
      <c r="H134" s="21" t="str">
        <f>Sales[Product_ID]</f>
        <v>PROD13</v>
      </c>
      <c r="I134" s="21" t="str">
        <f>VLOOKUP(H134,Products[],2)</f>
        <v>USB-C Fast Charger</v>
      </c>
      <c r="J134" s="24">
        <f>Sales[Total_Amount]</f>
        <v>810.0858</v>
      </c>
      <c r="K134" s="21" t="str">
        <f t="shared" si="1"/>
        <v>Oct</v>
      </c>
      <c r="L134" s="21">
        <f t="shared" si="2"/>
        <v>2023</v>
      </c>
      <c r="N134" s="33"/>
      <c r="O134" s="34"/>
    </row>
    <row r="135" ht="22.5" customHeight="1">
      <c r="A135" s="21" t="s">
        <v>2100</v>
      </c>
      <c r="B135" s="21" t="s">
        <v>1371</v>
      </c>
      <c r="C135" s="21" t="str">
        <f t="array" ref="C135">XLOOKUP(B135,Customer[Customer_ID],Customer[Name(Cleaned)])</f>
        <v>Melinda Rivera</v>
      </c>
      <c r="D135" s="22" t="str">
        <f>VLOOKUP(B135,Customer[#ALL],6)</f>
        <v>Male</v>
      </c>
      <c r="E135" s="23">
        <f>Sales[Order_Date]</f>
        <v>45510</v>
      </c>
      <c r="F135" s="21" t="str">
        <f>Sales[Store_ID]</f>
        <v>STORE3</v>
      </c>
      <c r="G135" s="21" t="str">
        <f t="array" ref="G135">INDEX(Store[Store_Name],MATCH(F135,Store[Store_ID],0))</f>
        <v>Johnson-Wright</v>
      </c>
      <c r="H135" s="21" t="str">
        <f>Sales[Product_ID]</f>
        <v>PROD96</v>
      </c>
      <c r="I135" s="21" t="str">
        <f>VLOOKUP(H135,Products[],2)</f>
        <v>Women's Formal Blazer</v>
      </c>
      <c r="J135" s="24">
        <f>Sales[Total_Amount]</f>
        <v>2807.8008</v>
      </c>
      <c r="K135" s="21" t="str">
        <f t="shared" si="1"/>
        <v>Aug</v>
      </c>
      <c r="L135" s="21">
        <f t="shared" si="2"/>
        <v>2024</v>
      </c>
      <c r="N135" s="33"/>
      <c r="O135" s="34"/>
    </row>
    <row r="136" ht="22.5" customHeight="1">
      <c r="A136" s="21" t="s">
        <v>2101</v>
      </c>
      <c r="B136" s="21" t="s">
        <v>681</v>
      </c>
      <c r="C136" s="21" t="str">
        <f t="array" ref="C136">XLOOKUP(B136,Customer[Customer_ID],Customer[Name(Cleaned)])</f>
        <v>Michelle Carpenter</v>
      </c>
      <c r="D136" s="22" t="str">
        <f>VLOOKUP(B136,Customer[#ALL],6)</f>
        <v>Male</v>
      </c>
      <c r="E136" s="23">
        <f>Sales[Order_Date]</f>
        <v>45687</v>
      </c>
      <c r="F136" s="21" t="str">
        <f>Sales[Store_ID]</f>
        <v>STORE9</v>
      </c>
      <c r="G136" s="21" t="str">
        <f t="array" ref="G136">INDEX(Store[Store_Name],MATCH(F136,Store[Store_ID],0))</f>
        <v>Moore, Padilla and Butler</v>
      </c>
      <c r="H136" s="21" t="str">
        <f>Sales[Product_ID]</f>
        <v>PROD72</v>
      </c>
      <c r="I136" s="21" t="str">
        <f>VLOOKUP(H136,Products[],2)</f>
        <v>Professional Jump Rope</v>
      </c>
      <c r="J136" s="24">
        <f>Sales[Total_Amount]</f>
        <v>616.029</v>
      </c>
      <c r="K136" s="21" t="str">
        <f t="shared" si="1"/>
        <v>Jan</v>
      </c>
      <c r="L136" s="21">
        <f t="shared" si="2"/>
        <v>2025</v>
      </c>
      <c r="N136" s="33"/>
      <c r="O136" s="34"/>
    </row>
    <row r="137" ht="22.5" customHeight="1">
      <c r="A137" s="21" t="s">
        <v>2102</v>
      </c>
      <c r="B137" s="21" t="s">
        <v>1421</v>
      </c>
      <c r="C137" s="21" t="str">
        <f t="array" ref="C137">XLOOKUP(B137,Customer[Customer_ID],Customer[Name(Cleaned)])</f>
        <v>Tyler Weber</v>
      </c>
      <c r="D137" s="22" t="str">
        <f>VLOOKUP(B137,Customer[#ALL],6)</f>
        <v>Female</v>
      </c>
      <c r="E137" s="23">
        <f>Sales[Order_Date]</f>
        <v>45271</v>
      </c>
      <c r="F137" s="21" t="str">
        <f>Sales[Store_ID]</f>
        <v>STORE4</v>
      </c>
      <c r="G137" s="21" t="str">
        <f t="array" ref="G137">INDEX(Store[Store_Name],MATCH(F137,Store[Store_ID],0))</f>
        <v>Alexander Group</v>
      </c>
      <c r="H137" s="21" t="str">
        <f>Sales[Product_ID]</f>
        <v>PROD21</v>
      </c>
      <c r="I137" s="21" t="str">
        <f>VLOOKUP(H137,Products[],2)</f>
        <v>Multi-Purpose Storage Box</v>
      </c>
      <c r="J137" s="24">
        <f>Sales[Total_Amount]</f>
        <v>1442.76</v>
      </c>
      <c r="K137" s="21" t="str">
        <f t="shared" si="1"/>
        <v>Dec</v>
      </c>
      <c r="L137" s="21">
        <f t="shared" si="2"/>
        <v>2023</v>
      </c>
      <c r="N137" s="33"/>
      <c r="O137" s="34"/>
    </row>
    <row r="138" ht="22.5" customHeight="1">
      <c r="A138" s="21" t="s">
        <v>2103</v>
      </c>
      <c r="B138" s="21" t="s">
        <v>322</v>
      </c>
      <c r="C138" s="21" t="str">
        <f t="array" ref="C138">XLOOKUP(B138,Customer[Customer_ID],Customer[Name(Cleaned)])</f>
        <v>Melissa Duffy Md</v>
      </c>
      <c r="D138" s="22" t="str">
        <f>VLOOKUP(B138,Customer[#ALL],6)</f>
        <v>Male</v>
      </c>
      <c r="E138" s="23">
        <f>Sales[Order_Date]</f>
        <v>45705</v>
      </c>
      <c r="F138" s="21" t="str">
        <f>Sales[Store_ID]</f>
        <v>STORE13</v>
      </c>
      <c r="G138" s="21" t="str">
        <f t="array" ref="G138">INDEX(Store[Store_Name],MATCH(F138,Store[Store_ID],0))</f>
        <v>Gardner, Humphrey and Contreras</v>
      </c>
      <c r="H138" s="21" t="str">
        <f>Sales[Product_ID]</f>
        <v>PROD76</v>
      </c>
      <c r="I138" s="21" t="str">
        <f>VLOOKUP(H138,Products[],2)</f>
        <v>Wireless Mouse</v>
      </c>
      <c r="J138" s="24">
        <f>Sales[Total_Amount]</f>
        <v>2020.7097</v>
      </c>
      <c r="K138" s="21" t="str">
        <f t="shared" si="1"/>
        <v>Feb</v>
      </c>
      <c r="L138" s="21">
        <f t="shared" si="2"/>
        <v>2025</v>
      </c>
      <c r="N138" s="33"/>
      <c r="O138" s="34"/>
    </row>
    <row r="139" ht="22.5" customHeight="1">
      <c r="A139" s="21" t="s">
        <v>2104</v>
      </c>
      <c r="B139" s="21" t="s">
        <v>96</v>
      </c>
      <c r="C139" s="21" t="str">
        <f t="array" ref="C139">XLOOKUP(B139,Customer[Customer_ID],Customer[Name(Cleaned)])</f>
        <v>Bridget Allen</v>
      </c>
      <c r="D139" s="22" t="str">
        <f>VLOOKUP(B139,Customer[#ALL],6)</f>
        <v>Female</v>
      </c>
      <c r="E139" s="23">
        <f>Sales[Order_Date]</f>
        <v>45446</v>
      </c>
      <c r="F139" s="21" t="str">
        <f>Sales[Store_ID]</f>
        <v>STORE16</v>
      </c>
      <c r="G139" s="21" t="str">
        <f t="array" ref="G139">INDEX(Store[Store_Name],MATCH(F139,Store[Store_ID],0))</f>
        <v>Frederick-Wright</v>
      </c>
      <c r="H139" s="21" t="str">
        <f>Sales[Product_ID]</f>
        <v>PROD37</v>
      </c>
      <c r="I139" s="21" t="str">
        <f>VLOOKUP(H139,Products[],2)</f>
        <v>Men's Casual Sneakers</v>
      </c>
      <c r="J139" s="24">
        <f>Sales[Total_Amount]</f>
        <v>69.2736</v>
      </c>
      <c r="K139" s="21" t="str">
        <f t="shared" si="1"/>
        <v>Jun</v>
      </c>
      <c r="L139" s="21">
        <f t="shared" si="2"/>
        <v>2024</v>
      </c>
      <c r="N139" s="33"/>
      <c r="O139" s="34"/>
    </row>
    <row r="140" ht="22.5" customHeight="1">
      <c r="A140" s="21" t="s">
        <v>2105</v>
      </c>
      <c r="B140" s="21" t="s">
        <v>1020</v>
      </c>
      <c r="C140" s="21" t="str">
        <f t="array" ref="C140">XLOOKUP(B140,Customer[Customer_ID],Customer[Name(Cleaned)])</f>
        <v>Casey Simpson</v>
      </c>
      <c r="D140" s="22" t="str">
        <f>VLOOKUP(B140,Customer[#ALL],6)</f>
        <v>Female</v>
      </c>
      <c r="E140" s="23">
        <f>Sales[Order_Date]</f>
        <v>45579</v>
      </c>
      <c r="F140" s="21" t="str">
        <f>Sales[Store_ID]</f>
        <v>STORE4</v>
      </c>
      <c r="G140" s="21" t="str">
        <f t="array" ref="G140">INDEX(Store[Store_Name],MATCH(F140,Store[Store_ID],0))</f>
        <v>Alexander Group</v>
      </c>
      <c r="H140" s="21" t="str">
        <f>Sales[Product_ID]</f>
        <v>PROD0</v>
      </c>
      <c r="I140" s="21" t="str">
        <f>VLOOKUP(H140,Products[],2)</f>
        <v>Brother Laser Printer</v>
      </c>
      <c r="J140" s="24">
        <f>Sales[Total_Amount]</f>
        <v>2263.0068</v>
      </c>
      <c r="K140" s="21" t="str">
        <f t="shared" si="1"/>
        <v>Oct</v>
      </c>
      <c r="L140" s="21">
        <f t="shared" si="2"/>
        <v>2024</v>
      </c>
      <c r="N140" s="33"/>
      <c r="O140" s="34"/>
    </row>
    <row r="141" ht="22.5" customHeight="1">
      <c r="A141" s="21" t="s">
        <v>2106</v>
      </c>
      <c r="B141" s="21" t="s">
        <v>947</v>
      </c>
      <c r="C141" s="21" t="str">
        <f t="array" ref="C141">XLOOKUP(B141,Customer[Customer_ID],Customer[Name(Cleaned)])</f>
        <v>Lisa Chandler</v>
      </c>
      <c r="D141" s="22" t="str">
        <f>VLOOKUP(B141,Customer[#ALL],6)</f>
        <v>Female</v>
      </c>
      <c r="E141" s="23">
        <f>Sales[Order_Date]</f>
        <v>45725</v>
      </c>
      <c r="F141" s="21" t="str">
        <f>Sales[Store_ID]</f>
        <v>STORE0</v>
      </c>
      <c r="G141" s="21" t="str">
        <f t="array" ref="G141">INDEX(Store[Store_Name],MATCH(F141,Store[Store_ID],0))</f>
        <v>Rivera-Warner</v>
      </c>
      <c r="H141" s="21" t="str">
        <f>Sales[Product_ID]</f>
        <v>PROD42</v>
      </c>
      <c r="I141" s="21" t="str">
        <f>VLOOKUP(H141,Products[],2)</f>
        <v>Smart Home WiFi Camera</v>
      </c>
      <c r="J141" s="24">
        <f>Sales[Total_Amount]</f>
        <v>1149.558</v>
      </c>
      <c r="K141" s="21" t="str">
        <f t="shared" si="1"/>
        <v>Mar</v>
      </c>
      <c r="L141" s="21">
        <f t="shared" si="2"/>
        <v>2025</v>
      </c>
      <c r="N141" s="33"/>
      <c r="O141" s="34"/>
    </row>
    <row r="142" ht="22.5" customHeight="1">
      <c r="A142" s="21" t="s">
        <v>2107</v>
      </c>
      <c r="B142" s="21" t="s">
        <v>489</v>
      </c>
      <c r="C142" s="21" t="str">
        <f t="array" ref="C142">XLOOKUP(B142,Customer[Customer_ID],Customer[Name(Cleaned)])</f>
        <v>Cristian Wright</v>
      </c>
      <c r="D142" s="22" t="str">
        <f>VLOOKUP(B142,Customer[#ALL],6)</f>
        <v>Female</v>
      </c>
      <c r="E142" s="23">
        <f>Sales[Order_Date]</f>
        <v>45910</v>
      </c>
      <c r="F142" s="21" t="str">
        <f>Sales[Store_ID]</f>
        <v>STORE14</v>
      </c>
      <c r="G142" s="21" t="str">
        <f t="array" ref="G142">INDEX(Store[Store_Name],MATCH(F142,Store[Store_ID],0))</f>
        <v>Mcdonald Inc</v>
      </c>
      <c r="H142" s="21" t="str">
        <f>Sales[Product_ID]</f>
        <v>PROD17</v>
      </c>
      <c r="I142" s="21" t="str">
        <f>VLOOKUP(H142,Products[],2)</f>
        <v>Soccer Training Cone Set</v>
      </c>
      <c r="J142" s="24">
        <f>Sales[Total_Amount]</f>
        <v>803.2288</v>
      </c>
      <c r="K142" s="21" t="str">
        <f t="shared" si="1"/>
        <v>Sep</v>
      </c>
      <c r="L142" s="21">
        <f t="shared" si="2"/>
        <v>2025</v>
      </c>
      <c r="N142" s="33"/>
      <c r="O142" s="34"/>
    </row>
    <row r="143" ht="22.5" customHeight="1">
      <c r="A143" s="21" t="s">
        <v>2108</v>
      </c>
      <c r="B143" s="21" t="s">
        <v>1146</v>
      </c>
      <c r="C143" s="21" t="str">
        <f t="array" ref="C143">XLOOKUP(B143,Customer[Customer_ID],Customer[Name(Cleaned)])</f>
        <v>Natalie Johnson</v>
      </c>
      <c r="D143" s="22" t="str">
        <f>VLOOKUP(B143,Customer[#ALL],6)</f>
        <v>Female</v>
      </c>
      <c r="E143" s="23">
        <f>Sales[Order_Date]</f>
        <v>45447</v>
      </c>
      <c r="F143" s="21" t="str">
        <f>Sales[Store_ID]</f>
        <v>STORE14</v>
      </c>
      <c r="G143" s="21" t="str">
        <f t="array" ref="G143">INDEX(Store[Store_Name],MATCH(F143,Store[Store_ID],0))</f>
        <v>Mcdonald Inc</v>
      </c>
      <c r="H143" s="21" t="str">
        <f>Sales[Product_ID]</f>
        <v>PROD76</v>
      </c>
      <c r="I143" s="21" t="str">
        <f>VLOOKUP(H143,Products[],2)</f>
        <v>Wireless Mouse</v>
      </c>
      <c r="J143" s="24">
        <f>Sales[Total_Amount]</f>
        <v>611.205</v>
      </c>
      <c r="K143" s="21" t="str">
        <f t="shared" si="1"/>
        <v>Jun</v>
      </c>
      <c r="L143" s="21">
        <f t="shared" si="2"/>
        <v>2024</v>
      </c>
      <c r="N143" s="33"/>
      <c r="O143" s="34"/>
    </row>
    <row r="144" ht="22.5" customHeight="1">
      <c r="A144" s="21" t="s">
        <v>2109</v>
      </c>
      <c r="B144" s="21" t="s">
        <v>764</v>
      </c>
      <c r="C144" s="21" t="str">
        <f t="array" ref="C144">XLOOKUP(B144,Customer[Customer_ID],Customer[Name(Cleaned)])</f>
        <v>Michelle Gonzalez</v>
      </c>
      <c r="D144" s="22" t="str">
        <f>VLOOKUP(B144,Customer[#ALL],6)</f>
        <v>Female</v>
      </c>
      <c r="E144" s="23">
        <f>Sales[Order_Date]</f>
        <v>45307</v>
      </c>
      <c r="F144" s="21" t="str">
        <f>Sales[Store_ID]</f>
        <v>STORE15</v>
      </c>
      <c r="G144" s="21" t="str">
        <f t="array" ref="G144">INDEX(Store[Store_Name],MATCH(F144,Store[Store_ID],0))</f>
        <v>Shelton PLC</v>
      </c>
      <c r="H144" s="21" t="str">
        <f>Sales[Product_ID]</f>
        <v>PROD95</v>
      </c>
      <c r="I144" s="21" t="str">
        <f>VLOOKUP(H144,Products[],2)</f>
        <v>Sports Stopwatch Basic</v>
      </c>
      <c r="J144" s="24">
        <f>Sales[Total_Amount]</f>
        <v>676.7392</v>
      </c>
      <c r="K144" s="21" t="str">
        <f t="shared" si="1"/>
        <v>Jan</v>
      </c>
      <c r="L144" s="21">
        <f t="shared" si="2"/>
        <v>2024</v>
      </c>
      <c r="N144" s="33"/>
      <c r="O144" s="34"/>
    </row>
    <row r="145" ht="22.5" customHeight="1">
      <c r="A145" s="21" t="s">
        <v>2110</v>
      </c>
      <c r="B145" s="21" t="s">
        <v>1200</v>
      </c>
      <c r="C145" s="21" t="str">
        <f t="array" ref="C145">XLOOKUP(B145,Customer[Customer_ID],Customer[Name(Cleaned)])</f>
        <v>Tanya Lopez</v>
      </c>
      <c r="D145" s="22" t="str">
        <f>VLOOKUP(B145,Customer[#ALL],6)</f>
        <v>Male</v>
      </c>
      <c r="E145" s="23">
        <f>Sales[Order_Date]</f>
        <v>45653</v>
      </c>
      <c r="F145" s="21" t="str">
        <f>Sales[Store_ID]</f>
        <v>STORE17</v>
      </c>
      <c r="G145" s="21" t="str">
        <f t="array" ref="G145">INDEX(Store[Store_Name],MATCH(F145,Store[Store_ID],0))</f>
        <v>Holloway Ltd</v>
      </c>
      <c r="H145" s="21" t="str">
        <f>Sales[Product_ID]</f>
        <v>PROD0</v>
      </c>
      <c r="I145" s="21" t="str">
        <f>VLOOKUP(H145,Products[],2)</f>
        <v>Brother Laser Printer</v>
      </c>
      <c r="J145" s="24">
        <f>Sales[Total_Amount]</f>
        <v>514.6932</v>
      </c>
      <c r="K145" s="21" t="str">
        <f t="shared" si="1"/>
        <v>Dec</v>
      </c>
      <c r="L145" s="21">
        <f t="shared" si="2"/>
        <v>2024</v>
      </c>
      <c r="N145" s="33"/>
      <c r="O145" s="34"/>
    </row>
    <row r="146" ht="22.5" customHeight="1">
      <c r="A146" s="21" t="s">
        <v>2111</v>
      </c>
      <c r="B146" s="21" t="s">
        <v>1503</v>
      </c>
      <c r="C146" s="21" t="str">
        <f t="array" ref="C146">XLOOKUP(B146,Customer[Customer_ID],Customer[Name(Cleaned)])</f>
        <v>Sarah Smith</v>
      </c>
      <c r="D146" s="22" t="str">
        <f>VLOOKUP(B146,Customer[#ALL],6)</f>
        <v>Female</v>
      </c>
      <c r="E146" s="23">
        <f>Sales[Order_Date]</f>
        <v>45817</v>
      </c>
      <c r="F146" s="21" t="str">
        <f>Sales[Store_ID]</f>
        <v>STORE10</v>
      </c>
      <c r="G146" s="21" t="str">
        <f t="array" ref="G146">INDEX(Store[Store_Name],MATCH(F146,Store[Store_ID],0))</f>
        <v>Hill, Wagner and Ballard</v>
      </c>
      <c r="H146" s="21" t="str">
        <f>Sales[Product_ID]</f>
        <v>PROD30</v>
      </c>
      <c r="I146" s="21" t="str">
        <f>VLOOKUP(H146,Products[],2)</f>
        <v>Stainless Steel Cutlery Set</v>
      </c>
      <c r="J146" s="24">
        <f>Sales[Total_Amount]</f>
        <v>92.8484</v>
      </c>
      <c r="K146" s="21" t="str">
        <f t="shared" si="1"/>
        <v>Jun</v>
      </c>
      <c r="L146" s="21">
        <f t="shared" si="2"/>
        <v>2025</v>
      </c>
      <c r="N146" s="33"/>
      <c r="O146" s="34"/>
    </row>
    <row r="147" ht="22.5" customHeight="1">
      <c r="A147" s="21" t="s">
        <v>2112</v>
      </c>
      <c r="B147" s="21" t="s">
        <v>1095</v>
      </c>
      <c r="C147" s="21" t="str">
        <f t="array" ref="C147">XLOOKUP(B147,Customer[Customer_ID],Customer[Name(Cleaned)])</f>
        <v>Evelyn Brown</v>
      </c>
      <c r="D147" s="22" t="str">
        <f>VLOOKUP(B147,Customer[#ALL],6)</f>
        <v>Female</v>
      </c>
      <c r="E147" s="23">
        <f>Sales[Order_Date]</f>
        <v>45509</v>
      </c>
      <c r="F147" s="21" t="str">
        <f>Sales[Store_ID]</f>
        <v>STORE3</v>
      </c>
      <c r="G147" s="21" t="str">
        <f t="array" ref="G147">INDEX(Store[Store_Name],MATCH(F147,Store[Store_ID],0))</f>
        <v>Johnson-Wright</v>
      </c>
      <c r="H147" s="21" t="str">
        <f>Sales[Product_ID]</f>
        <v>PROD92</v>
      </c>
      <c r="I147" s="21" t="str">
        <f>VLOOKUP(H147,Products[],2)</f>
        <v>Microwave Oven</v>
      </c>
      <c r="J147" s="24">
        <f>Sales[Total_Amount]</f>
        <v>756.7658</v>
      </c>
      <c r="K147" s="21" t="str">
        <f t="shared" si="1"/>
        <v>Aug</v>
      </c>
      <c r="L147" s="21">
        <f t="shared" si="2"/>
        <v>2024</v>
      </c>
      <c r="N147" s="33"/>
      <c r="O147" s="34"/>
    </row>
    <row r="148" ht="22.5" customHeight="1">
      <c r="A148" s="21" t="s">
        <v>2113</v>
      </c>
      <c r="B148" s="21" t="s">
        <v>1182</v>
      </c>
      <c r="C148" s="21" t="str">
        <f t="array" ref="C148">XLOOKUP(B148,Customer[Customer_ID],Customer[Name(Cleaned)])</f>
        <v>James Orozco</v>
      </c>
      <c r="D148" s="22" t="str">
        <f>VLOOKUP(B148,Customer[#ALL],6)</f>
        <v>Male</v>
      </c>
      <c r="E148" s="23">
        <f>Sales[Order_Date]</f>
        <v>45753</v>
      </c>
      <c r="F148" s="21" t="str">
        <f>Sales[Store_ID]</f>
        <v>STORE1</v>
      </c>
      <c r="G148" s="21" t="str">
        <f t="array" ref="G148">INDEX(Store[Store_Name],MATCH(F148,Store[Store_ID],0))</f>
        <v>Martinez, Adkins and Johnson</v>
      </c>
      <c r="H148" s="21" t="str">
        <f>Sales[Product_ID]</f>
        <v>PROD34</v>
      </c>
      <c r="I148" s="21" t="str">
        <f>VLOOKUP(H148,Products[],2)</f>
        <v>Gaming Mechanical Keyboard</v>
      </c>
      <c r="J148" s="24">
        <f>Sales[Total_Amount]</f>
        <v>2545.44</v>
      </c>
      <c r="K148" s="21" t="str">
        <f t="shared" si="1"/>
        <v>Apr</v>
      </c>
      <c r="L148" s="21">
        <f t="shared" si="2"/>
        <v>2025</v>
      </c>
      <c r="N148" s="33"/>
      <c r="O148" s="34"/>
    </row>
    <row r="149" ht="22.5" customHeight="1">
      <c r="A149" s="21" t="s">
        <v>2114</v>
      </c>
      <c r="B149" s="21" t="s">
        <v>1456</v>
      </c>
      <c r="C149" s="21" t="str">
        <f t="array" ref="C149">XLOOKUP(B149,Customer[Customer_ID],Customer[Name(Cleaned)])</f>
        <v>Michael Foley</v>
      </c>
      <c r="D149" s="22" t="str">
        <f>VLOOKUP(B149,Customer[#ALL],6)</f>
        <v>Male</v>
      </c>
      <c r="E149" s="23">
        <f>Sales[Order_Date]</f>
        <v>45413</v>
      </c>
      <c r="F149" s="21" t="str">
        <f>Sales[Store_ID]</f>
        <v>STORE10</v>
      </c>
      <c r="G149" s="21" t="str">
        <f t="array" ref="G149">INDEX(Store[Store_Name],MATCH(F149,Store[Store_ID],0))</f>
        <v>Hill, Wagner and Ballard</v>
      </c>
      <c r="H149" s="21" t="str">
        <f>Sales[Product_ID]</f>
        <v>PROD27</v>
      </c>
      <c r="I149" s="21" t="str">
        <f>VLOOKUP(H149,Products[],2)</f>
        <v>Decorative Floor Vase</v>
      </c>
      <c r="J149" s="24">
        <f>Sales[Total_Amount]</f>
        <v>225.576</v>
      </c>
      <c r="K149" s="21" t="str">
        <f t="shared" si="1"/>
        <v>May</v>
      </c>
      <c r="L149" s="21">
        <f t="shared" si="2"/>
        <v>2024</v>
      </c>
      <c r="N149" s="33"/>
      <c r="O149" s="34"/>
    </row>
    <row r="150" ht="22.5" customHeight="1">
      <c r="A150" s="21" t="s">
        <v>2115</v>
      </c>
      <c r="B150" s="21" t="s">
        <v>797</v>
      </c>
      <c r="C150" s="21" t="str">
        <f t="array" ref="C150">XLOOKUP(B150,Customer[Customer_ID],Customer[Name(Cleaned)])</f>
        <v>Nancy Page</v>
      </c>
      <c r="D150" s="22" t="str">
        <f>VLOOKUP(B150,Customer[#ALL],6)</f>
        <v>Female</v>
      </c>
      <c r="E150" s="23">
        <f>Sales[Order_Date]</f>
        <v>45512</v>
      </c>
      <c r="F150" s="21" t="str">
        <f>Sales[Store_ID]</f>
        <v>STORE8</v>
      </c>
      <c r="G150" s="21" t="str">
        <f t="array" ref="G150">INDEX(Store[Store_Name],MATCH(F150,Store[Store_ID],0))</f>
        <v>Bean, Jones and Park</v>
      </c>
      <c r="H150" s="21" t="str">
        <f>Sales[Product_ID]</f>
        <v>PROD53</v>
      </c>
      <c r="I150" s="21" t="str">
        <f>VLOOKUP(H150,Products[],2)</f>
        <v>Men's Track Pants</v>
      </c>
      <c r="J150" s="24">
        <f>Sales[Total_Amount]</f>
        <v>887.562</v>
      </c>
      <c r="K150" s="21" t="str">
        <f t="shared" si="1"/>
        <v>Aug</v>
      </c>
      <c r="L150" s="21">
        <f t="shared" si="2"/>
        <v>2024</v>
      </c>
      <c r="N150" s="33"/>
      <c r="O150" s="34"/>
    </row>
    <row r="151" ht="22.5" customHeight="1">
      <c r="A151" s="21" t="s">
        <v>2116</v>
      </c>
      <c r="B151" s="21" t="s">
        <v>552</v>
      </c>
      <c r="C151" s="21" t="str">
        <f t="array" ref="C151">XLOOKUP(B151,Customer[Customer_ID],Customer[Name(Cleaned)])</f>
        <v>Mariah Brown</v>
      </c>
      <c r="D151" s="22" t="str">
        <f>VLOOKUP(B151,Customer[#ALL],6)</f>
        <v>Female</v>
      </c>
      <c r="E151" s="23">
        <f>Sales[Order_Date]</f>
        <v>45764</v>
      </c>
      <c r="F151" s="21" t="str">
        <f>Sales[Store_ID]</f>
        <v>STORE11</v>
      </c>
      <c r="G151" s="21" t="str">
        <f t="array" ref="G151">INDEX(Store[Store_Name],MATCH(F151,Store[Store_ID],0))</f>
        <v>Aguirre-Keller</v>
      </c>
      <c r="H151" s="21" t="str">
        <f>Sales[Product_ID]</f>
        <v>PROD53</v>
      </c>
      <c r="I151" s="21" t="str">
        <f>VLOOKUP(H151,Products[],2)</f>
        <v>Men's Track Pants</v>
      </c>
      <c r="J151" s="24">
        <f>Sales[Total_Amount]</f>
        <v>769.044</v>
      </c>
      <c r="K151" s="21" t="str">
        <f t="shared" si="1"/>
        <v>Apr</v>
      </c>
      <c r="L151" s="21">
        <f t="shared" si="2"/>
        <v>2025</v>
      </c>
      <c r="N151" s="33"/>
      <c r="O151" s="34"/>
    </row>
    <row r="152" ht="22.5" customHeight="1">
      <c r="A152" s="21" t="s">
        <v>2117</v>
      </c>
      <c r="B152" s="21" t="s">
        <v>990</v>
      </c>
      <c r="C152" s="21" t="str">
        <f t="array" ref="C152">XLOOKUP(B152,Customer[Customer_ID],Customer[Name(Cleaned)])</f>
        <v>Stacy Collins</v>
      </c>
      <c r="D152" s="22" t="str">
        <f>VLOOKUP(B152,Customer[#ALL],6)</f>
        <v>Male</v>
      </c>
      <c r="E152" s="23">
        <f>Sales[Order_Date]</f>
        <v>45746</v>
      </c>
      <c r="F152" s="21" t="str">
        <f>Sales[Store_ID]</f>
        <v>STORE13</v>
      </c>
      <c r="G152" s="21" t="str">
        <f t="array" ref="G152">INDEX(Store[Store_Name],MATCH(F152,Store[Store_ID],0))</f>
        <v>Gardner, Humphrey and Contreras</v>
      </c>
      <c r="H152" s="21" t="str">
        <f>Sales[Product_ID]</f>
        <v>PROD62</v>
      </c>
      <c r="I152" s="21" t="str">
        <f>VLOOKUP(H152,Products[],2)</f>
        <v>Laptop Cooling Pad</v>
      </c>
      <c r="J152" s="24">
        <f>Sales[Total_Amount]</f>
        <v>780.6912</v>
      </c>
      <c r="K152" s="21" t="str">
        <f t="shared" si="1"/>
        <v>Mar</v>
      </c>
      <c r="L152" s="21">
        <f t="shared" si="2"/>
        <v>2025</v>
      </c>
      <c r="N152" s="33"/>
      <c r="O152" s="34"/>
    </row>
    <row r="153" ht="22.5" customHeight="1">
      <c r="A153" s="21" t="s">
        <v>2118</v>
      </c>
      <c r="B153" s="21" t="s">
        <v>407</v>
      </c>
      <c r="C153" s="21" t="str">
        <f t="array" ref="C153">XLOOKUP(B153,Customer[Customer_ID],Customer[Name(Cleaned)])</f>
        <v>Ryan Hernandez</v>
      </c>
      <c r="D153" s="22" t="str">
        <f>VLOOKUP(B153,Customer[#ALL],6)</f>
        <v>Female</v>
      </c>
      <c r="E153" s="23">
        <f>Sales[Order_Date]</f>
        <v>45647</v>
      </c>
      <c r="F153" s="21" t="str">
        <f>Sales[Store_ID]</f>
        <v>STORE1</v>
      </c>
      <c r="G153" s="21" t="str">
        <f t="array" ref="G153">INDEX(Store[Store_Name],MATCH(F153,Store[Store_ID],0))</f>
        <v>Martinez, Adkins and Johnson</v>
      </c>
      <c r="H153" s="21" t="str">
        <f>Sales[Product_ID]</f>
        <v>PROD37</v>
      </c>
      <c r="I153" s="21" t="str">
        <f>VLOOKUP(H153,Products[],2)</f>
        <v>Men's Casual Sneakers</v>
      </c>
      <c r="J153" s="24">
        <f>Sales[Total_Amount]</f>
        <v>398.9531</v>
      </c>
      <c r="K153" s="21" t="str">
        <f t="shared" si="1"/>
        <v>Dec</v>
      </c>
      <c r="L153" s="21">
        <f t="shared" si="2"/>
        <v>2024</v>
      </c>
      <c r="N153" s="33"/>
      <c r="O153" s="34"/>
    </row>
    <row r="154" ht="22.5" customHeight="1">
      <c r="A154" s="21" t="s">
        <v>2119</v>
      </c>
      <c r="B154" s="21" t="s">
        <v>558</v>
      </c>
      <c r="C154" s="21" t="str">
        <f t="array" ref="C154">XLOOKUP(B154,Customer[Customer_ID],Customer[Name(Cleaned)])</f>
        <v>Daniel Rivas</v>
      </c>
      <c r="D154" s="22" t="str">
        <f>VLOOKUP(B154,Customer[#ALL],6)</f>
        <v>Male</v>
      </c>
      <c r="E154" s="23">
        <f>Sales[Order_Date]</f>
        <v>45443</v>
      </c>
      <c r="F154" s="21" t="str">
        <f>Sales[Store_ID]</f>
        <v>STORE18</v>
      </c>
      <c r="G154" s="21" t="str">
        <f t="array" ref="G154">INDEX(Store[Store_Name],MATCH(F154,Store[Store_ID],0))</f>
        <v>Guerrero-Schmitt</v>
      </c>
      <c r="H154" s="21" t="str">
        <f>Sales[Product_ID]</f>
        <v>PROD51</v>
      </c>
      <c r="I154" s="21" t="str">
        <f>VLOOKUP(H154,Products[],2)</f>
        <v>HDMI Cable – 2m</v>
      </c>
      <c r="J154" s="24">
        <f>Sales[Total_Amount]</f>
        <v>124.8768</v>
      </c>
      <c r="K154" s="21" t="str">
        <f t="shared" si="1"/>
        <v>May</v>
      </c>
      <c r="L154" s="21">
        <f t="shared" si="2"/>
        <v>2024</v>
      </c>
      <c r="N154" s="33"/>
      <c r="O154" s="34"/>
    </row>
    <row r="155" ht="22.5" customHeight="1">
      <c r="A155" s="21" t="s">
        <v>2120</v>
      </c>
      <c r="B155" s="21" t="s">
        <v>1335</v>
      </c>
      <c r="C155" s="21" t="str">
        <f t="array" ref="C155">XLOOKUP(B155,Customer[Customer_ID],Customer[Name(Cleaned)])</f>
        <v>Bryce Hawkins</v>
      </c>
      <c r="D155" s="22" t="str">
        <f>VLOOKUP(B155,Customer[#ALL],6)</f>
        <v>Female</v>
      </c>
      <c r="E155" s="23">
        <f>Sales[Order_Date]</f>
        <v>45722</v>
      </c>
      <c r="F155" s="21" t="str">
        <f>Sales[Store_ID]</f>
        <v>STORE6</v>
      </c>
      <c r="G155" s="21" t="str">
        <f t="array" ref="G155">INDEX(Store[Store_Name],MATCH(F155,Store[Store_ID],0))</f>
        <v>Benson-Elliott</v>
      </c>
      <c r="H155" s="21" t="str">
        <f>Sales[Product_ID]</f>
        <v>PROD89</v>
      </c>
      <c r="I155" s="21" t="str">
        <f>VLOOKUP(H155,Products[],2)</f>
        <v>Face Foundation Kit</v>
      </c>
      <c r="J155" s="24">
        <f>Sales[Total_Amount]</f>
        <v>2167.9224</v>
      </c>
      <c r="K155" s="21" t="str">
        <f t="shared" si="1"/>
        <v>Mar</v>
      </c>
      <c r="L155" s="21">
        <f t="shared" si="2"/>
        <v>2025</v>
      </c>
      <c r="N155" s="33"/>
      <c r="O155" s="34"/>
    </row>
    <row r="156" ht="22.5" customHeight="1">
      <c r="A156" s="21" t="s">
        <v>2121</v>
      </c>
      <c r="B156" s="21" t="s">
        <v>1140</v>
      </c>
      <c r="C156" s="21" t="str">
        <f t="array" ref="C156">XLOOKUP(B156,Customer[Customer_ID],Customer[Name(Cleaned)])</f>
        <v>Melanie Lam</v>
      </c>
      <c r="D156" s="22" t="str">
        <f>VLOOKUP(B156,Customer[#ALL],6)</f>
        <v>Female</v>
      </c>
      <c r="E156" s="23">
        <f>Sales[Order_Date]</f>
        <v>45575</v>
      </c>
      <c r="F156" s="21" t="str">
        <f>Sales[Store_ID]</f>
        <v>STORE6</v>
      </c>
      <c r="G156" s="21" t="str">
        <f t="array" ref="G156">INDEX(Store[Store_Name],MATCH(F156,Store[Store_ID],0))</f>
        <v>Benson-Elliott</v>
      </c>
      <c r="H156" s="21" t="str">
        <f>Sales[Product_ID]</f>
        <v>PROD59</v>
      </c>
      <c r="I156" s="21" t="str">
        <f>VLOOKUP(H156,Products[],2)</f>
        <v>Men's Hair Styling Gel</v>
      </c>
      <c r="J156" s="24">
        <f>Sales[Total_Amount]</f>
        <v>526.2444</v>
      </c>
      <c r="K156" s="21" t="str">
        <f t="shared" si="1"/>
        <v>Oct</v>
      </c>
      <c r="L156" s="21">
        <f t="shared" si="2"/>
        <v>2024</v>
      </c>
      <c r="N156" s="33"/>
      <c r="O156" s="34"/>
    </row>
    <row r="157" ht="22.5" customHeight="1">
      <c r="A157" s="21" t="s">
        <v>2122</v>
      </c>
      <c r="B157" s="21" t="s">
        <v>35</v>
      </c>
      <c r="C157" s="21" t="str">
        <f t="array" ref="C157">XLOOKUP(B157,Customer[Customer_ID],Customer[Name(Cleaned)])</f>
        <v>Caroline Collins</v>
      </c>
      <c r="D157" s="22" t="str">
        <f>VLOOKUP(B157,Customer[#ALL],6)</f>
        <v>Male</v>
      </c>
      <c r="E157" s="23">
        <f>Sales[Order_Date]</f>
        <v>45441</v>
      </c>
      <c r="F157" s="21" t="str">
        <f>Sales[Store_ID]</f>
        <v>STORE16</v>
      </c>
      <c r="G157" s="21" t="str">
        <f t="array" ref="G157">INDEX(Store[Store_Name],MATCH(F157,Store[Store_ID],0))</f>
        <v>Frederick-Wright</v>
      </c>
      <c r="H157" s="21" t="str">
        <f>Sales[Product_ID]</f>
        <v>PROD64</v>
      </c>
      <c r="I157" s="21" t="str">
        <f>VLOOKUP(H157,Products[],2)</f>
        <v>Matte Lipstick Set</v>
      </c>
      <c r="J157" s="24">
        <f>Sales[Total_Amount]</f>
        <v>435.2736</v>
      </c>
      <c r="K157" s="21" t="str">
        <f t="shared" si="1"/>
        <v>May</v>
      </c>
      <c r="L157" s="21">
        <f t="shared" si="2"/>
        <v>2024</v>
      </c>
      <c r="N157" s="33"/>
      <c r="O157" s="34"/>
    </row>
    <row r="158" ht="22.5" customHeight="1">
      <c r="A158" s="21" t="s">
        <v>2123</v>
      </c>
      <c r="B158" s="21" t="s">
        <v>111</v>
      </c>
      <c r="C158" s="21" t="str">
        <f t="array" ref="C158">XLOOKUP(B158,Customer[Customer_ID],Customer[Name(Cleaned)])</f>
        <v>Heather Collins</v>
      </c>
      <c r="D158" s="22" t="str">
        <f>VLOOKUP(B158,Customer[#ALL],6)</f>
        <v>Female</v>
      </c>
      <c r="E158" s="23">
        <f>Sales[Order_Date]</f>
        <v>45940</v>
      </c>
      <c r="F158" s="21" t="str">
        <f>Sales[Store_ID]</f>
        <v>STORE6</v>
      </c>
      <c r="G158" s="21" t="str">
        <f t="array" ref="G158">INDEX(Store[Store_Name],MATCH(F158,Store[Store_ID],0))</f>
        <v>Benson-Elliott</v>
      </c>
      <c r="H158" s="21" t="str">
        <f>Sales[Product_ID]</f>
        <v>PROD51</v>
      </c>
      <c r="I158" s="21" t="str">
        <f>VLOOKUP(H158,Products[],2)</f>
        <v>HDMI Cable – 2m</v>
      </c>
      <c r="J158" s="24">
        <f>Sales[Total_Amount]</f>
        <v>616.5082</v>
      </c>
      <c r="K158" s="21" t="str">
        <f t="shared" si="1"/>
        <v>Oct</v>
      </c>
      <c r="L158" s="21">
        <f t="shared" si="2"/>
        <v>2025</v>
      </c>
      <c r="N158" s="33"/>
      <c r="O158" s="34"/>
    </row>
    <row r="159" ht="22.5" customHeight="1">
      <c r="A159" s="21" t="s">
        <v>2124</v>
      </c>
      <c r="B159" s="21" t="s">
        <v>104</v>
      </c>
      <c r="C159" s="21" t="str">
        <f t="array" ref="C159">XLOOKUP(B159,Customer[Customer_ID],Customer[Name(Cleaned)])</f>
        <v>Paul Fox</v>
      </c>
      <c r="D159" s="22" t="str">
        <f>VLOOKUP(B159,Customer[#ALL],6)</f>
        <v>Male</v>
      </c>
      <c r="E159" s="23">
        <f>Sales[Order_Date]</f>
        <v>45518</v>
      </c>
      <c r="F159" s="21" t="str">
        <f>Sales[Store_ID]</f>
        <v>STORE2</v>
      </c>
      <c r="G159" s="21" t="str">
        <f t="array" ref="G159">INDEX(Store[Store_Name],MATCH(F159,Store[Store_ID],0))</f>
        <v>Black-Horn</v>
      </c>
      <c r="H159" s="21" t="str">
        <f>Sales[Product_ID]</f>
        <v>PROD77</v>
      </c>
      <c r="I159" s="21" t="str">
        <f>VLOOKUP(H159,Products[],2)</f>
        <v>WiFi Mesh Router</v>
      </c>
      <c r="J159" s="24">
        <f>Sales[Total_Amount]</f>
        <v>514.9</v>
      </c>
      <c r="K159" s="21" t="str">
        <f t="shared" si="1"/>
        <v>Aug</v>
      </c>
      <c r="L159" s="21">
        <f t="shared" si="2"/>
        <v>2024</v>
      </c>
      <c r="N159" s="33"/>
      <c r="O159" s="34"/>
    </row>
    <row r="160" ht="22.5" customHeight="1">
      <c r="A160" s="21" t="s">
        <v>2125</v>
      </c>
      <c r="B160" s="21" t="s">
        <v>522</v>
      </c>
      <c r="C160" s="21" t="str">
        <f t="array" ref="C160">XLOOKUP(B160,Customer[Customer_ID],Customer[Name(Cleaned)])</f>
        <v>Patrick Roberts</v>
      </c>
      <c r="D160" s="22" t="str">
        <f>VLOOKUP(B160,Customer[#ALL],6)</f>
        <v>Male</v>
      </c>
      <c r="E160" s="23">
        <f>Sales[Order_Date]</f>
        <v>45482</v>
      </c>
      <c r="F160" s="21" t="str">
        <f>Sales[Store_ID]</f>
        <v>STORE4</v>
      </c>
      <c r="G160" s="21" t="str">
        <f t="array" ref="G160">INDEX(Store[Store_Name],MATCH(F160,Store[Store_ID],0))</f>
        <v>Alexander Group</v>
      </c>
      <c r="H160" s="21" t="str">
        <f>Sales[Product_ID]</f>
        <v>PROD91</v>
      </c>
      <c r="I160" s="21" t="str">
        <f>VLOOKUP(H160,Products[],2)</f>
        <v>Women's High Heels</v>
      </c>
      <c r="J160" s="24">
        <f>Sales[Total_Amount]</f>
        <v>1388.919</v>
      </c>
      <c r="K160" s="21" t="str">
        <f t="shared" si="1"/>
        <v>Jul</v>
      </c>
      <c r="L160" s="21">
        <f t="shared" si="2"/>
        <v>2024</v>
      </c>
      <c r="N160" s="33"/>
      <c r="O160" s="34"/>
    </row>
    <row r="161" ht="22.5" customHeight="1">
      <c r="A161" s="21" t="s">
        <v>2126</v>
      </c>
      <c r="B161" s="21" t="s">
        <v>604</v>
      </c>
      <c r="C161" s="21" t="str">
        <f t="array" ref="C161">XLOOKUP(B161,Customer[Customer_ID],Customer[Name(Cleaned)])</f>
        <v>Nicholas Bradshaw</v>
      </c>
      <c r="D161" s="22" t="str">
        <f>VLOOKUP(B161,Customer[#ALL],6)</f>
        <v>Male</v>
      </c>
      <c r="E161" s="23">
        <f>Sales[Order_Date]</f>
        <v>45861</v>
      </c>
      <c r="F161" s="21" t="str">
        <f>Sales[Store_ID]</f>
        <v>STORE15</v>
      </c>
      <c r="G161" s="21" t="str">
        <f t="array" ref="G161">INDEX(Store[Store_Name],MATCH(F161,Store[Store_ID],0))</f>
        <v>Shelton PLC</v>
      </c>
      <c r="H161" s="21" t="str">
        <f>Sales[Product_ID]</f>
        <v>PROD34</v>
      </c>
      <c r="I161" s="21" t="str">
        <f>VLOOKUP(H161,Products[],2)</f>
        <v>Gaming Mechanical Keyboard</v>
      </c>
      <c r="J161" s="24">
        <f>Sales[Total_Amount]</f>
        <v>1156.3726</v>
      </c>
      <c r="K161" s="21" t="str">
        <f t="shared" si="1"/>
        <v>Jul</v>
      </c>
      <c r="L161" s="21">
        <f t="shared" si="2"/>
        <v>2025</v>
      </c>
      <c r="N161" s="33"/>
      <c r="O161" s="34"/>
    </row>
    <row r="162" ht="22.5" customHeight="1">
      <c r="A162" s="21" t="s">
        <v>2127</v>
      </c>
      <c r="B162" s="21" t="s">
        <v>1182</v>
      </c>
      <c r="C162" s="21" t="str">
        <f t="array" ref="C162">XLOOKUP(B162,Customer[Customer_ID],Customer[Name(Cleaned)])</f>
        <v>James Orozco</v>
      </c>
      <c r="D162" s="22" t="str">
        <f>VLOOKUP(B162,Customer[#ALL],6)</f>
        <v>Male</v>
      </c>
      <c r="E162" s="23">
        <f>Sales[Order_Date]</f>
        <v>45416</v>
      </c>
      <c r="F162" s="21" t="str">
        <f>Sales[Store_ID]</f>
        <v>STORE7</v>
      </c>
      <c r="G162" s="21" t="str">
        <f t="array" ref="G162">INDEX(Store[Store_Name],MATCH(F162,Store[Store_ID],0))</f>
        <v>Martinez-Mullins</v>
      </c>
      <c r="H162" s="21" t="str">
        <f>Sales[Product_ID]</f>
        <v>PROD46</v>
      </c>
      <c r="I162" s="21" t="str">
        <f>VLOOKUP(H162,Products[],2)</f>
        <v>Men's Winter Jacket</v>
      </c>
      <c r="J162" s="24">
        <f>Sales[Total_Amount]</f>
        <v>258.822</v>
      </c>
      <c r="K162" s="21" t="str">
        <f t="shared" si="1"/>
        <v>May</v>
      </c>
      <c r="L162" s="21">
        <f t="shared" si="2"/>
        <v>2024</v>
      </c>
      <c r="N162" s="33"/>
      <c r="O162" s="34"/>
    </row>
    <row r="163" ht="22.5" customHeight="1">
      <c r="A163" s="21" t="s">
        <v>2128</v>
      </c>
      <c r="B163" s="21" t="s">
        <v>952</v>
      </c>
      <c r="C163" s="21" t="str">
        <f t="array" ref="C163">XLOOKUP(B163,Customer[Customer_ID],Customer[Name(Cleaned)])</f>
        <v>Jared Moran</v>
      </c>
      <c r="D163" s="22" t="str">
        <f>VLOOKUP(B163,Customer[#ALL],6)</f>
        <v>Male</v>
      </c>
      <c r="E163" s="23">
        <f>Sales[Order_Date]</f>
        <v>45608</v>
      </c>
      <c r="F163" s="21" t="str">
        <f>Sales[Store_ID]</f>
        <v>STORE1</v>
      </c>
      <c r="G163" s="21" t="str">
        <f t="array" ref="G163">INDEX(Store[Store_Name],MATCH(F163,Store[Store_ID],0))</f>
        <v>Martinez, Adkins and Johnson</v>
      </c>
      <c r="H163" s="21" t="str">
        <f>Sales[Product_ID]</f>
        <v>PROD83</v>
      </c>
      <c r="I163" s="21" t="str">
        <f>VLOOKUP(H163,Products[],2)</f>
        <v>Hydrating Face Cleanser</v>
      </c>
      <c r="J163" s="24">
        <f>Sales[Total_Amount]</f>
        <v>1120.0599</v>
      </c>
      <c r="K163" s="21" t="str">
        <f t="shared" si="1"/>
        <v>Nov</v>
      </c>
      <c r="L163" s="21">
        <f t="shared" si="2"/>
        <v>2024</v>
      </c>
      <c r="N163" s="33"/>
      <c r="O163" s="34"/>
    </row>
    <row r="164" ht="22.5" customHeight="1">
      <c r="A164" s="21" t="s">
        <v>2129</v>
      </c>
      <c r="B164" s="21" t="s">
        <v>1549</v>
      </c>
      <c r="C164" s="21" t="str">
        <f t="array" ref="C164">XLOOKUP(B164,Customer[Customer_ID],Customer[Name(Cleaned)])</f>
        <v>Philip Pennington</v>
      </c>
      <c r="D164" s="22" t="str">
        <f>VLOOKUP(B164,Customer[#ALL],6)</f>
        <v>Male</v>
      </c>
      <c r="E164" s="23">
        <f>Sales[Order_Date]</f>
        <v>45301</v>
      </c>
      <c r="F164" s="21" t="str">
        <f>Sales[Store_ID]</f>
        <v>STORE9</v>
      </c>
      <c r="G164" s="21" t="str">
        <f t="array" ref="G164">INDEX(Store[Store_Name],MATCH(F164,Store[Store_ID],0))</f>
        <v>Moore, Padilla and Butler</v>
      </c>
      <c r="H164" s="21" t="str">
        <f>Sales[Product_ID]</f>
        <v>PROD28</v>
      </c>
      <c r="I164" s="21" t="str">
        <f>VLOOKUP(H164,Products[],2)</f>
        <v>Sports Stopwatch Timer</v>
      </c>
      <c r="J164" s="24">
        <f>Sales[Total_Amount]</f>
        <v>131.047</v>
      </c>
      <c r="K164" s="21" t="str">
        <f t="shared" si="1"/>
        <v>Jan</v>
      </c>
      <c r="L164" s="21">
        <f t="shared" si="2"/>
        <v>2024</v>
      </c>
      <c r="N164" s="33"/>
      <c r="O164" s="34"/>
    </row>
    <row r="165" ht="22.5" customHeight="1">
      <c r="A165" s="21" t="s">
        <v>2130</v>
      </c>
      <c r="B165" s="21" t="s">
        <v>696</v>
      </c>
      <c r="C165" s="21" t="str">
        <f t="array" ref="C165">XLOOKUP(B165,Customer[Customer_ID],Customer[Name(Cleaned)])</f>
        <v>Antonio Jones</v>
      </c>
      <c r="D165" s="22" t="str">
        <f>VLOOKUP(B165,Customer[#ALL],6)</f>
        <v>Female</v>
      </c>
      <c r="E165" s="23">
        <f>Sales[Order_Date]</f>
        <v>45433</v>
      </c>
      <c r="F165" s="21" t="str">
        <f>Sales[Store_ID]</f>
        <v>STORE1</v>
      </c>
      <c r="G165" s="21" t="str">
        <f t="array" ref="G165">INDEX(Store[Store_Name],MATCH(F165,Store[Store_ID],0))</f>
        <v>Martinez, Adkins and Johnson</v>
      </c>
      <c r="H165" s="21" t="str">
        <f>Sales[Product_ID]</f>
        <v>PROD49</v>
      </c>
      <c r="I165" s="21" t="str">
        <f>VLOOKUP(H165,Products[],2)</f>
        <v>Men's Roll-On Perfume</v>
      </c>
      <c r="J165" s="24">
        <f>Sales[Total_Amount]</f>
        <v>2168.937</v>
      </c>
      <c r="K165" s="21" t="str">
        <f t="shared" si="1"/>
        <v>May</v>
      </c>
      <c r="L165" s="21">
        <f t="shared" si="2"/>
        <v>2024</v>
      </c>
      <c r="N165" s="33"/>
      <c r="O165" s="34"/>
    </row>
    <row r="166" ht="22.5" customHeight="1">
      <c r="A166" s="21" t="s">
        <v>2131</v>
      </c>
      <c r="B166" s="21" t="s">
        <v>1356</v>
      </c>
      <c r="C166" s="21" t="str">
        <f t="array" ref="C166">XLOOKUP(B166,Customer[Customer_ID],Customer[Name(Cleaned)])</f>
        <v>Summer Weiss</v>
      </c>
      <c r="D166" s="22" t="str">
        <f>VLOOKUP(B166,Customer[#ALL],6)</f>
        <v>Female</v>
      </c>
      <c r="E166" s="23">
        <f>Sales[Order_Date]</f>
        <v>45821</v>
      </c>
      <c r="F166" s="21" t="str">
        <f>Sales[Store_ID]</f>
        <v>STORE13</v>
      </c>
      <c r="G166" s="21" t="str">
        <f t="array" ref="G166">INDEX(Store[Store_Name],MATCH(F166,Store[Store_ID],0))</f>
        <v>Gardner, Humphrey and Contreras</v>
      </c>
      <c r="H166" s="21" t="str">
        <f>Sales[Product_ID]</f>
        <v>PROD16</v>
      </c>
      <c r="I166" s="21" t="str">
        <f>VLOOKUP(H166,Products[],2)</f>
        <v>Beard Grooming Kit</v>
      </c>
      <c r="J166" s="24">
        <f>Sales[Total_Amount]</f>
        <v>815.072</v>
      </c>
      <c r="K166" s="21" t="str">
        <f t="shared" si="1"/>
        <v>Jun</v>
      </c>
      <c r="L166" s="21">
        <f t="shared" si="2"/>
        <v>2025</v>
      </c>
      <c r="N166" s="33"/>
      <c r="O166" s="34"/>
    </row>
    <row r="167" ht="22.5" customHeight="1">
      <c r="A167" s="21" t="s">
        <v>2132</v>
      </c>
      <c r="B167" s="21" t="s">
        <v>203</v>
      </c>
      <c r="C167" s="21" t="str">
        <f t="array" ref="C167">XLOOKUP(B167,Customer[Customer_ID],Customer[Name(Cleaned)])</f>
        <v>Sarah Rodgers</v>
      </c>
      <c r="D167" s="22" t="str">
        <f>VLOOKUP(B167,Customer[#ALL],6)</f>
        <v>Male</v>
      </c>
      <c r="E167" s="23">
        <f>Sales[Order_Date]</f>
        <v>45508</v>
      </c>
      <c r="F167" s="21" t="str">
        <f>Sales[Store_ID]</f>
        <v>STORE4</v>
      </c>
      <c r="G167" s="21" t="str">
        <f t="array" ref="G167">INDEX(Store[Store_Name],MATCH(F167,Store[Store_ID],0))</f>
        <v>Alexander Group</v>
      </c>
      <c r="H167" s="21" t="str">
        <f>Sales[Product_ID]</f>
        <v>PROD50</v>
      </c>
      <c r="I167" s="21" t="str">
        <f>VLOOKUP(H167,Products[],2)</f>
        <v>Boxing Hand Wraps</v>
      </c>
      <c r="J167" s="24">
        <f>Sales[Total_Amount]</f>
        <v>1665.692</v>
      </c>
      <c r="K167" s="21" t="str">
        <f t="shared" si="1"/>
        <v>Aug</v>
      </c>
      <c r="L167" s="21">
        <f t="shared" si="2"/>
        <v>2024</v>
      </c>
      <c r="N167" s="33"/>
      <c r="O167" s="34"/>
    </row>
    <row r="168" ht="22.5" customHeight="1">
      <c r="A168" s="21" t="s">
        <v>2133</v>
      </c>
      <c r="B168" s="21" t="s">
        <v>723</v>
      </c>
      <c r="C168" s="21" t="str">
        <f t="array" ref="C168">XLOOKUP(B168,Customer[Customer_ID],Customer[Name(Cleaned)])</f>
        <v>Jordan Wells</v>
      </c>
      <c r="D168" s="22" t="str">
        <f>VLOOKUP(B168,Customer[#ALL],6)</f>
        <v>Male</v>
      </c>
      <c r="E168" s="23">
        <f>Sales[Order_Date]</f>
        <v>45854</v>
      </c>
      <c r="F168" s="21" t="str">
        <f>Sales[Store_ID]</f>
        <v>STORE0</v>
      </c>
      <c r="G168" s="21" t="str">
        <f t="array" ref="G168">INDEX(Store[Store_Name],MATCH(F168,Store[Store_ID],0))</f>
        <v>Rivera-Warner</v>
      </c>
      <c r="H168" s="21" t="str">
        <f>Sales[Product_ID]</f>
        <v>PROD91</v>
      </c>
      <c r="I168" s="21" t="str">
        <f>VLOOKUP(H168,Products[],2)</f>
        <v>Women's High Heels</v>
      </c>
      <c r="J168" s="24">
        <f>Sales[Total_Amount]</f>
        <v>1570.4166</v>
      </c>
      <c r="K168" s="21" t="str">
        <f t="shared" si="1"/>
        <v>Jul</v>
      </c>
      <c r="L168" s="21">
        <f t="shared" si="2"/>
        <v>2025</v>
      </c>
      <c r="N168" s="33"/>
      <c r="O168" s="34"/>
    </row>
    <row r="169" ht="22.5" customHeight="1">
      <c r="A169" s="21" t="s">
        <v>2134</v>
      </c>
      <c r="B169" s="21" t="s">
        <v>469</v>
      </c>
      <c r="C169" s="21" t="str">
        <f t="array" ref="C169">XLOOKUP(B169,Customer[Customer_ID],Customer[Name(Cleaned)])</f>
        <v>Morgan Bowen</v>
      </c>
      <c r="D169" s="22" t="str">
        <f>VLOOKUP(B169,Customer[#ALL],6)</f>
        <v>Female</v>
      </c>
      <c r="E169" s="23">
        <f>Sales[Order_Date]</f>
        <v>45569</v>
      </c>
      <c r="F169" s="21" t="str">
        <f>Sales[Store_ID]</f>
        <v>STORE6</v>
      </c>
      <c r="G169" s="21" t="str">
        <f t="array" ref="G169">INDEX(Store[Store_Name],MATCH(F169,Store[Store_ID],0))</f>
        <v>Benson-Elliott</v>
      </c>
      <c r="H169" s="21" t="str">
        <f>Sales[Product_ID]</f>
        <v>PROD15</v>
      </c>
      <c r="I169" s="21" t="str">
        <f>VLOOKUP(H169,Products[],2)</f>
        <v>4K Home Projector</v>
      </c>
      <c r="J169" s="24">
        <f>Sales[Total_Amount]</f>
        <v>405.32</v>
      </c>
      <c r="K169" s="21" t="str">
        <f t="shared" si="1"/>
        <v>Oct</v>
      </c>
      <c r="L169" s="21">
        <f t="shared" si="2"/>
        <v>2024</v>
      </c>
      <c r="N169" s="33"/>
      <c r="O169" s="34"/>
    </row>
    <row r="170" ht="22.5" customHeight="1">
      <c r="A170" s="21" t="s">
        <v>2135</v>
      </c>
      <c r="B170" s="21" t="s">
        <v>460</v>
      </c>
      <c r="C170" s="21" t="str">
        <f t="array" ref="C170">XLOOKUP(B170,Customer[Customer_ID],Customer[Name(Cleaned)])</f>
        <v>Joseph Richards</v>
      </c>
      <c r="D170" s="22" t="str">
        <f>VLOOKUP(B170,Customer[#ALL],6)</f>
        <v>Male</v>
      </c>
      <c r="E170" s="23">
        <f>Sales[Order_Date]</f>
        <v>45824</v>
      </c>
      <c r="F170" s="21" t="str">
        <f>Sales[Store_ID]</f>
        <v>STORE8</v>
      </c>
      <c r="G170" s="21" t="str">
        <f t="array" ref="G170">INDEX(Store[Store_Name],MATCH(F170,Store[Store_ID],0))</f>
        <v>Bean, Jones and Park</v>
      </c>
      <c r="H170" s="21" t="str">
        <f>Sales[Product_ID]</f>
        <v>PROD26</v>
      </c>
      <c r="I170" s="21" t="str">
        <f>VLOOKUP(H170,Products[],2)</f>
        <v>Wireless Bluetooth Speaker</v>
      </c>
      <c r="J170" s="24">
        <f>Sales[Total_Amount]</f>
        <v>2269.4976</v>
      </c>
      <c r="K170" s="21" t="str">
        <f t="shared" si="1"/>
        <v>Jun</v>
      </c>
      <c r="L170" s="21">
        <f t="shared" si="2"/>
        <v>2025</v>
      </c>
      <c r="N170" s="33"/>
      <c r="O170" s="34"/>
    </row>
    <row r="171" ht="22.5" customHeight="1">
      <c r="A171" s="21" t="s">
        <v>2136</v>
      </c>
      <c r="B171" s="21" t="s">
        <v>836</v>
      </c>
      <c r="C171" s="21" t="str">
        <f t="array" ref="C171">XLOOKUP(B171,Customer[Customer_ID],Customer[Name(Cleaned)])</f>
        <v>Christopher David</v>
      </c>
      <c r="D171" s="22" t="str">
        <f>VLOOKUP(B171,Customer[#ALL],6)</f>
        <v>Female</v>
      </c>
      <c r="E171" s="23">
        <f>Sales[Order_Date]</f>
        <v>45925</v>
      </c>
      <c r="F171" s="21" t="str">
        <f>Sales[Store_ID]</f>
        <v>STORE7</v>
      </c>
      <c r="G171" s="21" t="str">
        <f t="array" ref="G171">INDEX(Store[Store_Name],MATCH(F171,Store[Store_ID],0))</f>
        <v>Martinez-Mullins</v>
      </c>
      <c r="H171" s="21" t="str">
        <f>Sales[Product_ID]</f>
        <v>PROD85</v>
      </c>
      <c r="I171" s="21" t="str">
        <f>VLOOKUP(H171,Products[],2)</f>
        <v>Women's Beanie Hat</v>
      </c>
      <c r="J171" s="24">
        <f>Sales[Total_Amount]</f>
        <v>3239.358</v>
      </c>
      <c r="K171" s="21" t="str">
        <f t="shared" si="1"/>
        <v>Sep</v>
      </c>
      <c r="L171" s="21">
        <f t="shared" si="2"/>
        <v>2025</v>
      </c>
      <c r="N171" s="33"/>
      <c r="O171" s="34"/>
    </row>
    <row r="172" ht="22.5" customHeight="1">
      <c r="A172" s="21" t="s">
        <v>2137</v>
      </c>
      <c r="B172" s="21" t="s">
        <v>1356</v>
      </c>
      <c r="C172" s="21" t="str">
        <f t="array" ref="C172">XLOOKUP(B172,Customer[Customer_ID],Customer[Name(Cleaned)])</f>
        <v>Summer Weiss</v>
      </c>
      <c r="D172" s="22" t="str">
        <f>VLOOKUP(B172,Customer[#ALL],6)</f>
        <v>Female</v>
      </c>
      <c r="E172" s="23">
        <f>Sales[Order_Date]</f>
        <v>45352</v>
      </c>
      <c r="F172" s="21" t="str">
        <f>Sales[Store_ID]</f>
        <v>STORE14</v>
      </c>
      <c r="G172" s="21" t="str">
        <f t="array" ref="G172">INDEX(Store[Store_Name],MATCH(F172,Store[Store_ID],0))</f>
        <v>Mcdonald Inc</v>
      </c>
      <c r="H172" s="21" t="str">
        <f>Sales[Product_ID]</f>
        <v>PROD38</v>
      </c>
      <c r="I172" s="21" t="str">
        <f>VLOOKUP(H172,Products[],2)</f>
        <v>Sports Water Hydration Pack</v>
      </c>
      <c r="J172" s="24">
        <f>Sales[Total_Amount]</f>
        <v>3225.9468</v>
      </c>
      <c r="K172" s="21" t="str">
        <f t="shared" si="1"/>
        <v>Mar</v>
      </c>
      <c r="L172" s="21">
        <f t="shared" si="2"/>
        <v>2024</v>
      </c>
      <c r="N172" s="33"/>
      <c r="O172" s="34"/>
    </row>
    <row r="173" ht="22.5" customHeight="1">
      <c r="A173" s="21" t="s">
        <v>2138</v>
      </c>
      <c r="B173" s="21" t="s">
        <v>43</v>
      </c>
      <c r="C173" s="21" t="str">
        <f t="array" ref="C173">XLOOKUP(B173,Customer[Customer_ID],Customer[Name(Cleaned)])</f>
        <v>Amber Jackson</v>
      </c>
      <c r="D173" s="22" t="str">
        <f>VLOOKUP(B173,Customer[#ALL],6)</f>
        <v>Male</v>
      </c>
      <c r="E173" s="23">
        <f>Sales[Order_Date]</f>
        <v>45454</v>
      </c>
      <c r="F173" s="21" t="str">
        <f>Sales[Store_ID]</f>
        <v>STORE17</v>
      </c>
      <c r="G173" s="21" t="str">
        <f t="array" ref="G173">INDEX(Store[Store_Name],MATCH(F173,Store[Store_ID],0))</f>
        <v>Holloway Ltd</v>
      </c>
      <c r="H173" s="21" t="str">
        <f>Sales[Product_ID]</f>
        <v>PROD83</v>
      </c>
      <c r="I173" s="21" t="str">
        <f>VLOOKUP(H173,Products[],2)</f>
        <v>Hydrating Face Cleanser</v>
      </c>
      <c r="J173" s="24">
        <f>Sales[Total_Amount]</f>
        <v>2107.5246</v>
      </c>
      <c r="K173" s="21" t="str">
        <f t="shared" si="1"/>
        <v>Jun</v>
      </c>
      <c r="L173" s="21">
        <f t="shared" si="2"/>
        <v>2024</v>
      </c>
      <c r="N173" s="33"/>
      <c r="O173" s="34"/>
    </row>
    <row r="174" ht="22.5" customHeight="1">
      <c r="A174" s="21" t="s">
        <v>2139</v>
      </c>
      <c r="B174" s="21" t="s">
        <v>1494</v>
      </c>
      <c r="C174" s="21" t="str">
        <f t="array" ref="C174">XLOOKUP(B174,Customer[Customer_ID],Customer[Name(Cleaned)])</f>
        <v>Jordan Medina</v>
      </c>
      <c r="D174" s="22" t="str">
        <f>VLOOKUP(B174,Customer[#ALL],6)</f>
        <v>Female</v>
      </c>
      <c r="E174" s="23">
        <f>Sales[Order_Date]</f>
        <v>45924</v>
      </c>
      <c r="F174" s="21" t="str">
        <f>Sales[Store_ID]</f>
        <v>STORE3</v>
      </c>
      <c r="G174" s="21" t="str">
        <f t="array" ref="G174">INDEX(Store[Store_Name],MATCH(F174,Store[Store_ID],0))</f>
        <v>Johnson-Wright</v>
      </c>
      <c r="H174" s="21" t="str">
        <f>Sales[Product_ID]</f>
        <v>PROD65</v>
      </c>
      <c r="I174" s="21" t="str">
        <f>VLOOKUP(H174,Products[],2)</f>
        <v>Adjustable Dumbbells 20kg</v>
      </c>
      <c r="J174" s="24">
        <f>Sales[Total_Amount]</f>
        <v>774.18</v>
      </c>
      <c r="K174" s="21" t="str">
        <f t="shared" si="1"/>
        <v>Sep</v>
      </c>
      <c r="L174" s="21">
        <f t="shared" si="2"/>
        <v>2025</v>
      </c>
      <c r="N174" s="33"/>
      <c r="O174" s="34"/>
    </row>
    <row r="175" ht="22.5" customHeight="1">
      <c r="A175" s="21" t="s">
        <v>2140</v>
      </c>
      <c r="B175" s="21" t="s">
        <v>999</v>
      </c>
      <c r="C175" s="21" t="str">
        <f t="array" ref="C175">XLOOKUP(B175,Customer[Customer_ID],Customer[Name(Cleaned)])</f>
        <v>Jason Mullins</v>
      </c>
      <c r="D175" s="22" t="str">
        <f>VLOOKUP(B175,Customer[#ALL],6)</f>
        <v>Male</v>
      </c>
      <c r="E175" s="23">
        <f>Sales[Order_Date]</f>
        <v>45694</v>
      </c>
      <c r="F175" s="21" t="str">
        <f>Sales[Store_ID]</f>
        <v>STORE14</v>
      </c>
      <c r="G175" s="21" t="str">
        <f t="array" ref="G175">INDEX(Store[Store_Name],MATCH(F175,Store[Store_ID],0))</f>
        <v>Mcdonald Inc</v>
      </c>
      <c r="H175" s="21" t="str">
        <f>Sales[Product_ID]</f>
        <v>PROD38</v>
      </c>
      <c r="I175" s="21" t="str">
        <f>VLOOKUP(H175,Products[],2)</f>
        <v>Sports Water Hydration Pack</v>
      </c>
      <c r="J175" s="24">
        <f>Sales[Total_Amount]</f>
        <v>1080.2104</v>
      </c>
      <c r="K175" s="21" t="str">
        <f t="shared" si="1"/>
        <v>Feb</v>
      </c>
      <c r="L175" s="21">
        <f t="shared" si="2"/>
        <v>2025</v>
      </c>
      <c r="N175" s="33"/>
      <c r="O175" s="34"/>
    </row>
    <row r="176" ht="22.5" customHeight="1">
      <c r="A176" s="21" t="s">
        <v>2141</v>
      </c>
      <c r="B176" s="21" t="s">
        <v>104</v>
      </c>
      <c r="C176" s="21" t="str">
        <f t="array" ref="C176">XLOOKUP(B176,Customer[Customer_ID],Customer[Name(Cleaned)])</f>
        <v>Paul Fox</v>
      </c>
      <c r="D176" s="22" t="str">
        <f>VLOOKUP(B176,Customer[#ALL],6)</f>
        <v>Male</v>
      </c>
      <c r="E176" s="23">
        <f>Sales[Order_Date]</f>
        <v>45587</v>
      </c>
      <c r="F176" s="21" t="str">
        <f>Sales[Store_ID]</f>
        <v>STORE6</v>
      </c>
      <c r="G176" s="21" t="str">
        <f t="array" ref="G176">INDEX(Store[Store_Name],MATCH(F176,Store[Store_ID],0))</f>
        <v>Benson-Elliott</v>
      </c>
      <c r="H176" s="21" t="str">
        <f>Sales[Product_ID]</f>
        <v>PROD83</v>
      </c>
      <c r="I176" s="21" t="str">
        <f>VLOOKUP(H176,Products[],2)</f>
        <v>Hydrating Face Cleanser</v>
      </c>
      <c r="J176" s="24">
        <f>Sales[Total_Amount]</f>
        <v>689.3828</v>
      </c>
      <c r="K176" s="21" t="str">
        <f t="shared" si="1"/>
        <v>Oct</v>
      </c>
      <c r="L176" s="21">
        <f t="shared" si="2"/>
        <v>2024</v>
      </c>
      <c r="N176" s="33"/>
      <c r="O176" s="34"/>
    </row>
    <row r="177" ht="22.5" customHeight="1">
      <c r="A177" s="21" t="s">
        <v>2142</v>
      </c>
      <c r="B177" s="21" t="s">
        <v>1083</v>
      </c>
      <c r="C177" s="21" t="str">
        <f t="array" ref="C177">XLOOKUP(B177,Customer[Customer_ID],Customer[Name(Cleaned)])</f>
        <v>Eric Davis</v>
      </c>
      <c r="D177" s="22" t="str">
        <f>VLOOKUP(B177,Customer[#ALL],6)</f>
        <v>Female</v>
      </c>
      <c r="E177" s="23">
        <f>Sales[Order_Date]</f>
        <v>45556</v>
      </c>
      <c r="F177" s="21" t="str">
        <f>Sales[Store_ID]</f>
        <v>STORE5</v>
      </c>
      <c r="G177" s="21" t="str">
        <f t="array" ref="G177">INDEX(Store[Store_Name],MATCH(F177,Store[Store_ID],0))</f>
        <v>Gray Ltd</v>
      </c>
      <c r="H177" s="21" t="str">
        <f>Sales[Product_ID]</f>
        <v>PROD41</v>
      </c>
      <c r="I177" s="21" t="str">
        <f>VLOOKUP(H177,Products[],2)</f>
        <v>Yoga Exercise Mat</v>
      </c>
      <c r="J177" s="24">
        <f>Sales[Total_Amount]</f>
        <v>36.0272</v>
      </c>
      <c r="K177" s="21" t="str">
        <f t="shared" si="1"/>
        <v>Sep</v>
      </c>
      <c r="L177" s="21">
        <f t="shared" si="2"/>
        <v>2024</v>
      </c>
      <c r="N177" s="33"/>
      <c r="O177" s="34"/>
    </row>
    <row r="178" ht="22.5" customHeight="1">
      <c r="A178" s="21" t="s">
        <v>2143</v>
      </c>
      <c r="B178" s="21" t="s">
        <v>108</v>
      </c>
      <c r="C178" s="21" t="str">
        <f t="array" ref="C178">XLOOKUP(B178,Customer[Customer_ID],Customer[Name(Cleaned)])</f>
        <v>Jonathan Steele</v>
      </c>
      <c r="D178" s="22" t="str">
        <f>VLOOKUP(B178,Customer[#ALL],6)</f>
        <v>Male</v>
      </c>
      <c r="E178" s="23">
        <f>Sales[Order_Date]</f>
        <v>45923</v>
      </c>
      <c r="F178" s="21" t="str">
        <f>Sales[Store_ID]</f>
        <v>STORE7</v>
      </c>
      <c r="G178" s="21" t="str">
        <f t="array" ref="G178">INDEX(Store[Store_Name],MATCH(F178,Store[Store_ID],0))</f>
        <v>Martinez-Mullins</v>
      </c>
      <c r="H178" s="21" t="str">
        <f>Sales[Product_ID]</f>
        <v>PROD22</v>
      </c>
      <c r="I178" s="21" t="str">
        <f>VLOOKUP(H178,Products[],2)</f>
        <v>Carbon Fiber Tennis Racket</v>
      </c>
      <c r="J178" s="24">
        <f>Sales[Total_Amount]</f>
        <v>600.2955</v>
      </c>
      <c r="K178" s="21" t="str">
        <f t="shared" si="1"/>
        <v>Sep</v>
      </c>
      <c r="L178" s="21">
        <f t="shared" si="2"/>
        <v>2025</v>
      </c>
      <c r="N178" s="33"/>
      <c r="O178" s="34"/>
    </row>
    <row r="179" ht="22.5" customHeight="1">
      <c r="A179" s="21" t="s">
        <v>2144</v>
      </c>
      <c r="B179" s="21" t="s">
        <v>755</v>
      </c>
      <c r="C179" s="21" t="str">
        <f t="array" ref="C179">XLOOKUP(B179,Customer[Customer_ID],Customer[Name(Cleaned)])</f>
        <v>Timothy Sanders</v>
      </c>
      <c r="D179" s="22" t="str">
        <f>VLOOKUP(B179,Customer[#ALL],6)</f>
        <v>Female</v>
      </c>
      <c r="E179" s="23">
        <f>Sales[Order_Date]</f>
        <v>45811</v>
      </c>
      <c r="F179" s="21" t="str">
        <f>Sales[Store_ID]</f>
        <v>STORE7</v>
      </c>
      <c r="G179" s="21" t="str">
        <f t="array" ref="G179">INDEX(Store[Store_Name],MATCH(F179,Store[Store_ID],0))</f>
        <v>Martinez-Mullins</v>
      </c>
      <c r="H179" s="21" t="str">
        <f>Sales[Product_ID]</f>
        <v>PROD78</v>
      </c>
      <c r="I179" s="21" t="str">
        <f>VLOOKUP(H179,Products[],2)</f>
        <v>Essential Oil Diffuser</v>
      </c>
      <c r="J179" s="24">
        <f>Sales[Total_Amount]</f>
        <v>1631.331</v>
      </c>
      <c r="K179" s="21" t="str">
        <f t="shared" si="1"/>
        <v>Jun</v>
      </c>
      <c r="L179" s="21">
        <f t="shared" si="2"/>
        <v>2025</v>
      </c>
      <c r="N179" s="33"/>
      <c r="O179" s="34"/>
    </row>
    <row r="180" ht="22.5" customHeight="1">
      <c r="A180" s="21" t="s">
        <v>2145</v>
      </c>
      <c r="B180" s="21" t="s">
        <v>189</v>
      </c>
      <c r="C180" s="21" t="str">
        <f t="array" ref="C180">XLOOKUP(B180,Customer[Customer_ID],Customer[Name(Cleaned)])</f>
        <v>Gina Knight</v>
      </c>
      <c r="D180" s="22" t="str">
        <f>VLOOKUP(B180,Customer[#ALL],6)</f>
        <v>Male</v>
      </c>
      <c r="E180" s="23">
        <f>Sales[Order_Date]</f>
        <v>45559</v>
      </c>
      <c r="F180" s="21" t="str">
        <f>Sales[Store_ID]</f>
        <v>STORE3</v>
      </c>
      <c r="G180" s="21" t="str">
        <f t="array" ref="G180">INDEX(Store[Store_Name],MATCH(F180,Store[Store_ID],0))</f>
        <v>Johnson-Wright</v>
      </c>
      <c r="H180" s="21" t="str">
        <f>Sales[Product_ID]</f>
        <v>PROD18</v>
      </c>
      <c r="I180" s="21" t="str">
        <f>VLOOKUP(H180,Products[],2)</f>
        <v>Women's Denim Jeans</v>
      </c>
      <c r="J180" s="24">
        <f>Sales[Total_Amount]</f>
        <v>649.74</v>
      </c>
      <c r="K180" s="21" t="str">
        <f t="shared" si="1"/>
        <v>Sep</v>
      </c>
      <c r="L180" s="21">
        <f t="shared" si="2"/>
        <v>2024</v>
      </c>
      <c r="N180" s="33"/>
      <c r="O180" s="34"/>
    </row>
    <row r="181" ht="22.5" customHeight="1">
      <c r="A181" s="21" t="s">
        <v>2146</v>
      </c>
      <c r="B181" s="21" t="s">
        <v>1101</v>
      </c>
      <c r="C181" s="21" t="str">
        <f t="array" ref="C181">XLOOKUP(B181,Customer[Customer_ID],Customer[Name(Cleaned)])</f>
        <v>John Jordan</v>
      </c>
      <c r="D181" s="22" t="str">
        <f>VLOOKUP(B181,Customer[#ALL],6)</f>
        <v>Male</v>
      </c>
      <c r="E181" s="23">
        <f>Sales[Order_Date]</f>
        <v>45881</v>
      </c>
      <c r="F181" s="21" t="str">
        <f>Sales[Store_ID]</f>
        <v>STORE16</v>
      </c>
      <c r="G181" s="21" t="str">
        <f t="array" ref="G181">INDEX(Store[Store_Name],MATCH(F181,Store[Store_ID],0))</f>
        <v>Frederick-Wright</v>
      </c>
      <c r="H181" s="21" t="str">
        <f>Sales[Product_ID]</f>
        <v>PROD90</v>
      </c>
      <c r="I181" s="21" t="str">
        <f>VLOOKUP(H181,Products[],2)</f>
        <v>Gaming Mouse Pad XL</v>
      </c>
      <c r="J181" s="24">
        <f>Sales[Total_Amount]</f>
        <v>231.555</v>
      </c>
      <c r="K181" s="21" t="str">
        <f t="shared" si="1"/>
        <v>Aug</v>
      </c>
      <c r="L181" s="21">
        <f t="shared" si="2"/>
        <v>2025</v>
      </c>
      <c r="N181" s="33"/>
      <c r="O181" s="34"/>
    </row>
    <row r="182" ht="22.5" customHeight="1">
      <c r="A182" s="21" t="s">
        <v>2147</v>
      </c>
      <c r="B182" s="21" t="s">
        <v>1317</v>
      </c>
      <c r="C182" s="21" t="str">
        <f t="array" ref="C182">XLOOKUP(B182,Customer[Customer_ID],Customer[Name(Cleaned)])</f>
        <v>Monica Miller</v>
      </c>
      <c r="D182" s="22" t="str">
        <f>VLOOKUP(B182,Customer[#ALL],6)</f>
        <v>Female</v>
      </c>
      <c r="E182" s="23">
        <f>Sales[Order_Date]</f>
        <v>45420</v>
      </c>
      <c r="F182" s="21" t="str">
        <f>Sales[Store_ID]</f>
        <v>STORE8</v>
      </c>
      <c r="G182" s="21" t="str">
        <f t="array" ref="G182">INDEX(Store[Store_Name],MATCH(F182,Store[Store_ID],0))</f>
        <v>Bean, Jones and Park</v>
      </c>
      <c r="H182" s="21" t="str">
        <f>Sales[Product_ID]</f>
        <v>PROD3</v>
      </c>
      <c r="I182" s="21" t="str">
        <f>VLOOKUP(H182,Products[],2)</f>
        <v>Fabric Sofa Throw Blanket</v>
      </c>
      <c r="J182" s="24">
        <f>Sales[Total_Amount]</f>
        <v>2404.8024</v>
      </c>
      <c r="K182" s="21" t="str">
        <f t="shared" si="1"/>
        <v>May</v>
      </c>
      <c r="L182" s="21">
        <f t="shared" si="2"/>
        <v>2024</v>
      </c>
      <c r="N182" s="33"/>
      <c r="O182" s="34"/>
    </row>
    <row r="183" ht="22.5" customHeight="1">
      <c r="A183" s="21" t="s">
        <v>2148</v>
      </c>
      <c r="B183" s="21" t="s">
        <v>1158</v>
      </c>
      <c r="C183" s="21" t="str">
        <f t="array" ref="C183">XLOOKUP(B183,Customer[Customer_ID],Customer[Name(Cleaned)])</f>
        <v>Brandon Mcbride</v>
      </c>
      <c r="D183" s="22" t="str">
        <f>VLOOKUP(B183,Customer[#ALL],6)</f>
        <v>Male</v>
      </c>
      <c r="E183" s="23">
        <f>Sales[Order_Date]</f>
        <v>45367</v>
      </c>
      <c r="F183" s="21" t="str">
        <f>Sales[Store_ID]</f>
        <v>STORE11</v>
      </c>
      <c r="G183" s="21" t="str">
        <f t="array" ref="G183">INDEX(Store[Store_Name],MATCH(F183,Store[Store_ID],0))</f>
        <v>Aguirre-Keller</v>
      </c>
      <c r="H183" s="21" t="str">
        <f>Sales[Product_ID]</f>
        <v>PROD30</v>
      </c>
      <c r="I183" s="21" t="str">
        <f>VLOOKUP(H183,Products[],2)</f>
        <v>Stainless Steel Cutlery Set</v>
      </c>
      <c r="J183" s="24">
        <f>Sales[Total_Amount]</f>
        <v>1404.075</v>
      </c>
      <c r="K183" s="21" t="str">
        <f t="shared" si="1"/>
        <v>Mar</v>
      </c>
      <c r="L183" s="21">
        <f t="shared" si="2"/>
        <v>2024</v>
      </c>
      <c r="N183" s="33"/>
      <c r="O183" s="34"/>
    </row>
    <row r="184" ht="22.5" customHeight="1">
      <c r="A184" s="21" t="s">
        <v>2149</v>
      </c>
      <c r="B184" s="21" t="s">
        <v>908</v>
      </c>
      <c r="C184" s="21" t="str">
        <f t="array" ref="C184">XLOOKUP(B184,Customer[Customer_ID],Customer[Name(Cleaned)])</f>
        <v>Brittany Watson</v>
      </c>
      <c r="D184" s="22" t="str">
        <f>VLOOKUP(B184,Customer[#ALL],6)</f>
        <v>Female</v>
      </c>
      <c r="E184" s="23">
        <f>Sales[Order_Date]</f>
        <v>45832</v>
      </c>
      <c r="F184" s="21" t="str">
        <f>Sales[Store_ID]</f>
        <v>STORE19</v>
      </c>
      <c r="G184" s="21" t="str">
        <f t="array" ref="G184">INDEX(Store[Store_Name],MATCH(F184,Store[Store_ID],0))</f>
        <v>Mann-Austin</v>
      </c>
      <c r="H184" s="21" t="str">
        <f>Sales[Product_ID]</f>
        <v>PROD19</v>
      </c>
      <c r="I184" s="21" t="str">
        <f>VLOOKUP(H184,Products[],2)</f>
        <v>Knee Support Brace</v>
      </c>
      <c r="J184" s="24">
        <f>Sales[Total_Amount]</f>
        <v>193.2576</v>
      </c>
      <c r="K184" s="21" t="str">
        <f t="shared" si="1"/>
        <v>Jun</v>
      </c>
      <c r="L184" s="21">
        <f t="shared" si="2"/>
        <v>2025</v>
      </c>
      <c r="N184" s="33"/>
      <c r="O184" s="34"/>
    </row>
    <row r="185" ht="22.5" customHeight="1">
      <c r="A185" s="21" t="s">
        <v>2150</v>
      </c>
      <c r="B185" s="21" t="s">
        <v>631</v>
      </c>
      <c r="C185" s="21" t="str">
        <f t="array" ref="C185">XLOOKUP(B185,Customer[Customer_ID],Customer[Name(Cleaned)])</f>
        <v>Kimberly Brooks</v>
      </c>
      <c r="D185" s="22" t="str">
        <f>VLOOKUP(B185,Customer[#ALL],6)</f>
        <v>Female</v>
      </c>
      <c r="E185" s="23">
        <f>Sales[Order_Date]</f>
        <v>45438</v>
      </c>
      <c r="F185" s="21" t="str">
        <f>Sales[Store_ID]</f>
        <v>STORE10</v>
      </c>
      <c r="G185" s="21" t="str">
        <f t="array" ref="G185">INDEX(Store[Store_Name],MATCH(F185,Store[Store_ID],0))</f>
        <v>Hill, Wagner and Ballard</v>
      </c>
      <c r="H185" s="21" t="str">
        <f>Sales[Product_ID]</f>
        <v>PROD71</v>
      </c>
      <c r="I185" s="21" t="str">
        <f>VLOOKUP(H185,Products[],2)</f>
        <v>Hair Repair Oil Treatment</v>
      </c>
      <c r="J185" s="24">
        <f>Sales[Total_Amount]</f>
        <v>1351.3584</v>
      </c>
      <c r="K185" s="21" t="str">
        <f t="shared" si="1"/>
        <v>May</v>
      </c>
      <c r="L185" s="21">
        <f t="shared" si="2"/>
        <v>2024</v>
      </c>
      <c r="N185" s="33"/>
      <c r="O185" s="34"/>
    </row>
    <row r="186" ht="22.5" customHeight="1">
      <c r="A186" s="21" t="s">
        <v>2151</v>
      </c>
      <c r="B186" s="21" t="s">
        <v>791</v>
      </c>
      <c r="C186" s="21" t="str">
        <f t="array" ref="C186">XLOOKUP(B186,Customer[Customer_ID],Customer[Name(Cleaned)])</f>
        <v>William Jackson</v>
      </c>
      <c r="D186" s="22" t="str">
        <f>VLOOKUP(B186,Customer[#ALL],6)</f>
        <v>Male</v>
      </c>
      <c r="E186" s="23">
        <f>Sales[Order_Date]</f>
        <v>45691</v>
      </c>
      <c r="F186" s="21" t="str">
        <f>Sales[Store_ID]</f>
        <v>STORE1</v>
      </c>
      <c r="G186" s="21" t="str">
        <f t="array" ref="G186">INDEX(Store[Store_Name],MATCH(F186,Store[Store_ID],0))</f>
        <v>Martinez, Adkins and Johnson</v>
      </c>
      <c r="H186" s="21" t="str">
        <f>Sales[Product_ID]</f>
        <v>PROD81</v>
      </c>
      <c r="I186" s="21" t="str">
        <f>VLOOKUP(H186,Products[],2)</f>
        <v>Badminton Racket Set</v>
      </c>
      <c r="J186" s="24">
        <f>Sales[Total_Amount]</f>
        <v>570.1176</v>
      </c>
      <c r="K186" s="21" t="str">
        <f t="shared" si="1"/>
        <v>Feb</v>
      </c>
      <c r="L186" s="21">
        <f t="shared" si="2"/>
        <v>2025</v>
      </c>
      <c r="N186" s="33"/>
      <c r="O186" s="34"/>
    </row>
    <row r="187" ht="22.5" customHeight="1">
      <c r="A187" s="21" t="s">
        <v>2152</v>
      </c>
      <c r="B187" s="21" t="s">
        <v>1468</v>
      </c>
      <c r="C187" s="21" t="str">
        <f t="array" ref="C187">XLOOKUP(B187,Customer[Customer_ID],Customer[Name(Cleaned)])</f>
        <v>Debra Mccullough</v>
      </c>
      <c r="D187" s="22" t="str">
        <f>VLOOKUP(B187,Customer[#ALL],6)</f>
        <v>Female</v>
      </c>
      <c r="E187" s="23">
        <f>Sales[Order_Date]</f>
        <v>45506</v>
      </c>
      <c r="F187" s="21" t="str">
        <f>Sales[Store_ID]</f>
        <v>STORE15</v>
      </c>
      <c r="G187" s="21" t="str">
        <f t="array" ref="G187">INDEX(Store[Store_Name],MATCH(F187,Store[Store_ID],0))</f>
        <v>Shelton PLC</v>
      </c>
      <c r="H187" s="21" t="str">
        <f>Sales[Product_ID]</f>
        <v>PROD3</v>
      </c>
      <c r="I187" s="21" t="str">
        <f>VLOOKUP(H187,Products[],2)</f>
        <v>Fabric Sofa Throw Blanket</v>
      </c>
      <c r="J187" s="24">
        <f>Sales[Total_Amount]</f>
        <v>52.003</v>
      </c>
      <c r="K187" s="21" t="str">
        <f t="shared" si="1"/>
        <v>Aug</v>
      </c>
      <c r="L187" s="21">
        <f t="shared" si="2"/>
        <v>2024</v>
      </c>
      <c r="N187" s="33"/>
      <c r="O187" s="34"/>
    </row>
    <row r="188" ht="22.5" customHeight="1">
      <c r="A188" s="21" t="s">
        <v>2153</v>
      </c>
      <c r="B188" s="21" t="s">
        <v>794</v>
      </c>
      <c r="C188" s="21" t="str">
        <f t="array" ref="C188">XLOOKUP(B188,Customer[Customer_ID],Customer[Name(Cleaned)])</f>
        <v>Brian Hammond</v>
      </c>
      <c r="D188" s="22" t="str">
        <f>VLOOKUP(B188,Customer[#ALL],6)</f>
        <v>Male</v>
      </c>
      <c r="E188" s="23">
        <f>Sales[Order_Date]</f>
        <v>45251</v>
      </c>
      <c r="F188" s="21" t="str">
        <f>Sales[Store_ID]</f>
        <v>STORE0</v>
      </c>
      <c r="G188" s="21" t="str">
        <f t="array" ref="G188">INDEX(Store[Store_Name],MATCH(F188,Store[Store_ID],0))</f>
        <v>Rivera-Warner</v>
      </c>
      <c r="H188" s="21" t="str">
        <f>Sales[Product_ID]</f>
        <v>PROD35</v>
      </c>
      <c r="I188" s="21" t="str">
        <f>VLOOKUP(H188,Products[],2)</f>
        <v>Bedroom Table Lamp</v>
      </c>
      <c r="J188" s="24">
        <f>Sales[Total_Amount]</f>
        <v>1404.0528</v>
      </c>
      <c r="K188" s="21" t="str">
        <f t="shared" si="1"/>
        <v>Nov</v>
      </c>
      <c r="L188" s="21">
        <f t="shared" si="2"/>
        <v>2023</v>
      </c>
      <c r="N188" s="33"/>
      <c r="O188" s="34"/>
    </row>
    <row r="189" ht="22.5" customHeight="1">
      <c r="A189" s="21" t="s">
        <v>2154</v>
      </c>
      <c r="B189" s="21" t="s">
        <v>1534</v>
      </c>
      <c r="C189" s="21" t="str">
        <f t="array" ref="C189">XLOOKUP(B189,Customer[Customer_ID],Customer[Name(Cleaned)])</f>
        <v>Justin Lopez</v>
      </c>
      <c r="D189" s="22" t="str">
        <f>VLOOKUP(B189,Customer[#ALL],6)</f>
        <v>Female</v>
      </c>
      <c r="E189" s="23">
        <f>Sales[Order_Date]</f>
        <v>45722</v>
      </c>
      <c r="F189" s="21" t="str">
        <f>Sales[Store_ID]</f>
        <v>STORE14</v>
      </c>
      <c r="G189" s="21" t="str">
        <f t="array" ref="G189">INDEX(Store[Store_Name],MATCH(F189,Store[Store_ID],0))</f>
        <v>Mcdonald Inc</v>
      </c>
      <c r="H189" s="21" t="str">
        <f>Sales[Product_ID]</f>
        <v>PROD19</v>
      </c>
      <c r="I189" s="21" t="str">
        <f>VLOOKUP(H189,Products[],2)</f>
        <v>Knee Support Brace</v>
      </c>
      <c r="J189" s="24">
        <f>Sales[Total_Amount]</f>
        <v>81.648</v>
      </c>
      <c r="K189" s="21" t="str">
        <f t="shared" si="1"/>
        <v>Mar</v>
      </c>
      <c r="L189" s="21">
        <f t="shared" si="2"/>
        <v>2025</v>
      </c>
      <c r="N189" s="33"/>
      <c r="O189" s="34"/>
    </row>
    <row r="190" ht="22.5" customHeight="1">
      <c r="A190" s="21" t="s">
        <v>2155</v>
      </c>
      <c r="B190" s="21" t="s">
        <v>232</v>
      </c>
      <c r="C190" s="21" t="str">
        <f t="array" ref="C190">XLOOKUP(B190,Customer[Customer_ID],Customer[Name(Cleaned)])</f>
        <v>Dr. David Smith</v>
      </c>
      <c r="D190" s="22" t="str">
        <f>VLOOKUP(B190,Customer[#ALL],6)</f>
        <v>Male</v>
      </c>
      <c r="E190" s="23">
        <f>Sales[Order_Date]</f>
        <v>45689</v>
      </c>
      <c r="F190" s="21" t="str">
        <f>Sales[Store_ID]</f>
        <v>STORE7</v>
      </c>
      <c r="G190" s="21" t="str">
        <f t="array" ref="G190">INDEX(Store[Store_Name],MATCH(F190,Store[Store_ID],0))</f>
        <v>Martinez-Mullins</v>
      </c>
      <c r="H190" s="21" t="str">
        <f>Sales[Product_ID]</f>
        <v>PROD58</v>
      </c>
      <c r="I190" s="21" t="str">
        <f>VLOOKUP(H190,Products[],2)</f>
        <v>Womens Cotton Scarf</v>
      </c>
      <c r="J190" s="24">
        <f>Sales[Total_Amount]</f>
        <v>385.2996</v>
      </c>
      <c r="K190" s="21" t="str">
        <f t="shared" si="1"/>
        <v>Feb</v>
      </c>
      <c r="L190" s="21">
        <f t="shared" si="2"/>
        <v>2025</v>
      </c>
      <c r="N190" s="33"/>
      <c r="O190" s="34"/>
    </row>
    <row r="191" ht="22.5" customHeight="1">
      <c r="A191" s="21" t="s">
        <v>2156</v>
      </c>
      <c r="B191" s="21" t="s">
        <v>758</v>
      </c>
      <c r="C191" s="21" t="str">
        <f t="array" ref="C191">XLOOKUP(B191,Customer[Customer_ID],Customer[Name(Cleaned)])</f>
        <v>Timothy Juarez</v>
      </c>
      <c r="D191" s="22" t="str">
        <f>VLOOKUP(B191,Customer[#ALL],6)</f>
        <v>Male</v>
      </c>
      <c r="E191" s="23">
        <f>Sales[Order_Date]</f>
        <v>45346</v>
      </c>
      <c r="F191" s="21" t="str">
        <f>Sales[Store_ID]</f>
        <v>STORE7</v>
      </c>
      <c r="G191" s="21" t="str">
        <f t="array" ref="G191">INDEX(Store[Store_Name],MATCH(F191,Store[Store_ID],0))</f>
        <v>Martinez-Mullins</v>
      </c>
      <c r="H191" s="21" t="str">
        <f>Sales[Product_ID]</f>
        <v>PROD34</v>
      </c>
      <c r="I191" s="21" t="str">
        <f>VLOOKUP(H191,Products[],2)</f>
        <v>Gaming Mechanical Keyboard</v>
      </c>
      <c r="J191" s="24">
        <f>Sales[Total_Amount]</f>
        <v>159.8755</v>
      </c>
      <c r="K191" s="21" t="str">
        <f t="shared" si="1"/>
        <v>Feb</v>
      </c>
      <c r="L191" s="21">
        <f t="shared" si="2"/>
        <v>2024</v>
      </c>
      <c r="N191" s="33"/>
      <c r="O191" s="34"/>
    </row>
    <row r="192" ht="22.5" customHeight="1">
      <c r="A192" s="21" t="s">
        <v>2157</v>
      </c>
      <c r="B192" s="21" t="s">
        <v>699</v>
      </c>
      <c r="C192" s="21" t="str">
        <f t="array" ref="C192">XLOOKUP(B192,Customer[Customer_ID],Customer[Name(Cleaned)])</f>
        <v>Rodney Huffman</v>
      </c>
      <c r="D192" s="22" t="str">
        <f>VLOOKUP(B192,Customer[#ALL],6)</f>
        <v>Male</v>
      </c>
      <c r="E192" s="23">
        <f>Sales[Order_Date]</f>
        <v>45549</v>
      </c>
      <c r="F192" s="21" t="str">
        <f>Sales[Store_ID]</f>
        <v>STORE17</v>
      </c>
      <c r="G192" s="21" t="str">
        <f t="array" ref="G192">INDEX(Store[Store_Name],MATCH(F192,Store[Store_ID],0))</f>
        <v>Holloway Ltd</v>
      </c>
      <c r="H192" s="21" t="str">
        <f>Sales[Product_ID]</f>
        <v>PROD17</v>
      </c>
      <c r="I192" s="21" t="str">
        <f>VLOOKUP(H192,Products[],2)</f>
        <v>Soccer Training Cone Set</v>
      </c>
      <c r="J192" s="24">
        <f>Sales[Total_Amount]</f>
        <v>352.593</v>
      </c>
      <c r="K192" s="21" t="str">
        <f t="shared" si="1"/>
        <v>Sep</v>
      </c>
      <c r="L192" s="21">
        <f t="shared" si="2"/>
        <v>2024</v>
      </c>
      <c r="N192" s="33"/>
      <c r="O192" s="34"/>
    </row>
    <row r="193" ht="22.5" customHeight="1">
      <c r="A193" s="21" t="s">
        <v>2158</v>
      </c>
      <c r="B193" s="21" t="s">
        <v>255</v>
      </c>
      <c r="C193" s="21" t="str">
        <f t="array" ref="C193">XLOOKUP(B193,Customer[Customer_ID],Customer[Name(Cleaned)])</f>
        <v>Amber Mcclain</v>
      </c>
      <c r="D193" s="22" t="str">
        <f>VLOOKUP(B193,Customer[#ALL],6)</f>
        <v>Female</v>
      </c>
      <c r="E193" s="23">
        <f>Sales[Order_Date]</f>
        <v>45554</v>
      </c>
      <c r="F193" s="21" t="str">
        <f>Sales[Store_ID]</f>
        <v>STORE4</v>
      </c>
      <c r="G193" s="21" t="str">
        <f t="array" ref="G193">INDEX(Store[Store_Name],MATCH(F193,Store[Store_ID],0))</f>
        <v>Alexander Group</v>
      </c>
      <c r="H193" s="21" t="str">
        <f>Sales[Product_ID]</f>
        <v>PROD46</v>
      </c>
      <c r="I193" s="21" t="str">
        <f>VLOOKUP(H193,Products[],2)</f>
        <v>Men's Winter Jacket</v>
      </c>
      <c r="J193" s="24">
        <f>Sales[Total_Amount]</f>
        <v>1007.223</v>
      </c>
      <c r="K193" s="21" t="str">
        <f t="shared" si="1"/>
        <v>Sep</v>
      </c>
      <c r="L193" s="21">
        <f t="shared" si="2"/>
        <v>2024</v>
      </c>
      <c r="N193" s="33"/>
      <c r="O193" s="34"/>
    </row>
    <row r="194" ht="22.5" customHeight="1">
      <c r="A194" s="21" t="s">
        <v>2159</v>
      </c>
      <c r="B194" s="21" t="s">
        <v>1092</v>
      </c>
      <c r="C194" s="21" t="str">
        <f t="array" ref="C194">XLOOKUP(B194,Customer[Customer_ID],Customer[Name(Cleaned)])</f>
        <v>Ryan Moore</v>
      </c>
      <c r="D194" s="22" t="str">
        <f>VLOOKUP(B194,Customer[#ALL],6)</f>
        <v>Female</v>
      </c>
      <c r="E194" s="23">
        <f>Sales[Order_Date]</f>
        <v>45900</v>
      </c>
      <c r="F194" s="21" t="str">
        <f>Sales[Store_ID]</f>
        <v>STORE14</v>
      </c>
      <c r="G194" s="21" t="str">
        <f t="array" ref="G194">INDEX(Store[Store_Name],MATCH(F194,Store[Store_ID],0))</f>
        <v>Mcdonald Inc</v>
      </c>
      <c r="H194" s="21" t="str">
        <f>Sales[Product_ID]</f>
        <v>PROD12</v>
      </c>
      <c r="I194" s="21" t="str">
        <f>VLOOKUP(H194,Products[],2)</f>
        <v>Hair Strengthening Shampoo</v>
      </c>
      <c r="J194" s="24">
        <f>Sales[Total_Amount]</f>
        <v>403.5885</v>
      </c>
      <c r="K194" s="21" t="str">
        <f t="shared" si="1"/>
        <v>Aug</v>
      </c>
      <c r="L194" s="21">
        <f t="shared" si="2"/>
        <v>2025</v>
      </c>
      <c r="N194" s="33"/>
      <c r="O194" s="34"/>
    </row>
    <row r="195" ht="22.5" customHeight="1">
      <c r="A195" s="21" t="s">
        <v>2160</v>
      </c>
      <c r="B195" s="21" t="s">
        <v>210</v>
      </c>
      <c r="C195" s="21" t="str">
        <f t="array" ref="C195">XLOOKUP(B195,Customer[Customer_ID],Customer[Name(Cleaned)])</f>
        <v>Sharon Brown</v>
      </c>
      <c r="D195" s="22" t="str">
        <f>VLOOKUP(B195,Customer[#ALL],6)</f>
        <v>Male</v>
      </c>
      <c r="E195" s="23">
        <f>Sales[Order_Date]</f>
        <v>45308</v>
      </c>
      <c r="F195" s="21" t="str">
        <f>Sales[Store_ID]</f>
        <v>STORE3</v>
      </c>
      <c r="G195" s="21" t="str">
        <f t="array" ref="G195">INDEX(Store[Store_Name],MATCH(F195,Store[Store_ID],0))</f>
        <v>Johnson-Wright</v>
      </c>
      <c r="H195" s="21" t="str">
        <f>Sales[Product_ID]</f>
        <v>PROD11</v>
      </c>
      <c r="I195" s="21" t="str">
        <f>VLOOKUP(H195,Products[],2)</f>
        <v>Men's Graphic T-Shirt</v>
      </c>
      <c r="J195" s="24">
        <f>Sales[Total_Amount]</f>
        <v>449.514</v>
      </c>
      <c r="K195" s="21" t="str">
        <f t="shared" si="1"/>
        <v>Jan</v>
      </c>
      <c r="L195" s="21">
        <f t="shared" si="2"/>
        <v>2024</v>
      </c>
      <c r="N195" s="33"/>
      <c r="O195" s="34"/>
    </row>
    <row r="196" ht="22.5" customHeight="1">
      <c r="A196" s="21" t="s">
        <v>2161</v>
      </c>
      <c r="B196" s="21" t="s">
        <v>92</v>
      </c>
      <c r="C196" s="21" t="str">
        <f t="array" ref="C196">XLOOKUP(B196,Customer[Customer_ID],Customer[Name(Cleaned)])</f>
        <v>Michael Torres</v>
      </c>
      <c r="D196" s="22" t="str">
        <f>VLOOKUP(B196,Customer[#ALL],6)</f>
        <v>Male</v>
      </c>
      <c r="E196" s="23">
        <f>Sales[Order_Date]</f>
        <v>45336</v>
      </c>
      <c r="F196" s="21" t="str">
        <f>Sales[Store_ID]</f>
        <v>STORE1</v>
      </c>
      <c r="G196" s="21" t="str">
        <f t="array" ref="G196">INDEX(Store[Store_Name],MATCH(F196,Store[Store_ID],0))</f>
        <v>Martinez, Adkins and Johnson</v>
      </c>
      <c r="H196" s="21" t="str">
        <f>Sales[Product_ID]</f>
        <v>PROD99</v>
      </c>
      <c r="I196" s="21" t="str">
        <f>VLOOKUP(H196,Products[],2)</f>
        <v>Stainless Steel Cookware Set</v>
      </c>
      <c r="J196" s="24">
        <f>Sales[Total_Amount]</f>
        <v>1187.178</v>
      </c>
      <c r="K196" s="21" t="str">
        <f t="shared" si="1"/>
        <v>Feb</v>
      </c>
      <c r="L196" s="21">
        <f t="shared" si="2"/>
        <v>2024</v>
      </c>
      <c r="N196" s="33"/>
      <c r="O196" s="34"/>
    </row>
    <row r="197" ht="22.5" customHeight="1">
      <c r="A197" s="21" t="s">
        <v>2162</v>
      </c>
      <c r="B197" s="21" t="s">
        <v>914</v>
      </c>
      <c r="C197" s="21" t="str">
        <f t="array" ref="C197">XLOOKUP(B197,Customer[Customer_ID],Customer[Name(Cleaned)])</f>
        <v>Bryan Garcia</v>
      </c>
      <c r="D197" s="22" t="str">
        <f>VLOOKUP(B197,Customer[#ALL],6)</f>
        <v>Male</v>
      </c>
      <c r="E197" s="23">
        <f>Sales[Order_Date]</f>
        <v>45213</v>
      </c>
      <c r="F197" s="21" t="str">
        <f>Sales[Store_ID]</f>
        <v>STORE16</v>
      </c>
      <c r="G197" s="21" t="str">
        <f t="array" ref="G197">INDEX(Store[Store_Name],MATCH(F197,Store[Store_ID],0))</f>
        <v>Frederick-Wright</v>
      </c>
      <c r="H197" s="21" t="str">
        <f>Sales[Product_ID]</f>
        <v>PROD56</v>
      </c>
      <c r="I197" s="21" t="str">
        <f>VLOOKUP(H197,Products[],2)</f>
        <v>Premium Blanket Throw</v>
      </c>
      <c r="J197" s="24">
        <f>Sales[Total_Amount]</f>
        <v>1175.4168</v>
      </c>
      <c r="K197" s="21" t="str">
        <f t="shared" si="1"/>
        <v>Oct</v>
      </c>
      <c r="L197" s="21">
        <f t="shared" si="2"/>
        <v>2023</v>
      </c>
      <c r="N197" s="33"/>
      <c r="O197" s="34"/>
    </row>
    <row r="198" ht="22.5" customHeight="1">
      <c r="A198" s="21" t="s">
        <v>2163</v>
      </c>
      <c r="B198" s="21" t="s">
        <v>1453</v>
      </c>
      <c r="C198" s="21" t="str">
        <f t="array" ref="C198">XLOOKUP(B198,Customer[Customer_ID],Customer[Name(Cleaned)])</f>
        <v>Cynthia Parrish</v>
      </c>
      <c r="D198" s="22" t="str">
        <f>VLOOKUP(B198,Customer[#ALL],6)</f>
        <v>Female</v>
      </c>
      <c r="E198" s="23">
        <f>Sales[Order_Date]</f>
        <v>45742</v>
      </c>
      <c r="F198" s="21" t="str">
        <f>Sales[Store_ID]</f>
        <v>STORE2</v>
      </c>
      <c r="G198" s="21" t="str">
        <f t="array" ref="G198">INDEX(Store[Store_Name],MATCH(F198,Store[Store_ID],0))</f>
        <v>Black-Horn</v>
      </c>
      <c r="H198" s="21" t="str">
        <f>Sales[Product_ID]</f>
        <v>PROD76</v>
      </c>
      <c r="I198" s="21" t="str">
        <f>VLOOKUP(H198,Products[],2)</f>
        <v>Wireless Mouse</v>
      </c>
      <c r="J198" s="24">
        <f>Sales[Total_Amount]</f>
        <v>3440.0272</v>
      </c>
      <c r="K198" s="21" t="str">
        <f t="shared" si="1"/>
        <v>Mar</v>
      </c>
      <c r="L198" s="21">
        <f t="shared" si="2"/>
        <v>2025</v>
      </c>
      <c r="N198" s="33"/>
      <c r="O198" s="34"/>
    </row>
    <row r="199" ht="22.5" customHeight="1">
      <c r="A199" s="21" t="s">
        <v>2164</v>
      </c>
      <c r="B199" s="21" t="s">
        <v>92</v>
      </c>
      <c r="C199" s="21" t="str">
        <f t="array" ref="C199">XLOOKUP(B199,Customer[Customer_ID],Customer[Name(Cleaned)])</f>
        <v>Michael Torres</v>
      </c>
      <c r="D199" s="22" t="str">
        <f>VLOOKUP(B199,Customer[#ALL],6)</f>
        <v>Male</v>
      </c>
      <c r="E199" s="23">
        <f>Sales[Order_Date]</f>
        <v>45932</v>
      </c>
      <c r="F199" s="21" t="str">
        <f>Sales[Store_ID]</f>
        <v>STORE1</v>
      </c>
      <c r="G199" s="21" t="str">
        <f t="array" ref="G199">INDEX(Store[Store_Name],MATCH(F199,Store[Store_ID],0))</f>
        <v>Martinez, Adkins and Johnson</v>
      </c>
      <c r="H199" s="21" t="str">
        <f>Sales[Product_ID]</f>
        <v>PROD60</v>
      </c>
      <c r="I199" s="21" t="str">
        <f>VLOOKUP(H199,Products[],2)</f>
        <v>Luxury Perfume Spray</v>
      </c>
      <c r="J199" s="24">
        <f>Sales[Total_Amount]</f>
        <v>645.3008</v>
      </c>
      <c r="K199" s="21" t="str">
        <f t="shared" si="1"/>
        <v>Oct</v>
      </c>
      <c r="L199" s="21">
        <f t="shared" si="2"/>
        <v>2025</v>
      </c>
      <c r="N199" s="33"/>
      <c r="O199" s="34"/>
    </row>
    <row r="200" ht="22.5" customHeight="1">
      <c r="A200" s="21" t="s">
        <v>2165</v>
      </c>
      <c r="B200" s="21" t="s">
        <v>1044</v>
      </c>
      <c r="C200" s="21" t="str">
        <f t="array" ref="C200">XLOOKUP(B200,Customer[Customer_ID],Customer[Name(Cleaned)])</f>
        <v>Reginald Willis</v>
      </c>
      <c r="D200" s="22" t="str">
        <f>VLOOKUP(B200,Customer[#ALL],6)</f>
        <v>Male</v>
      </c>
      <c r="E200" s="23">
        <f>Sales[Order_Date]</f>
        <v>45462</v>
      </c>
      <c r="F200" s="21" t="str">
        <f>Sales[Store_ID]</f>
        <v>STORE17</v>
      </c>
      <c r="G200" s="21" t="str">
        <f t="array" ref="G200">INDEX(Store[Store_Name],MATCH(F200,Store[Store_ID],0))</f>
        <v>Holloway Ltd</v>
      </c>
      <c r="H200" s="21" t="str">
        <f>Sales[Product_ID]</f>
        <v>PROD84</v>
      </c>
      <c r="I200" s="21" t="str">
        <f>VLOOKUP(H200,Products[],2)</f>
        <v>Wooden Bookshelf</v>
      </c>
      <c r="J200" s="24">
        <f>Sales[Total_Amount]</f>
        <v>190.7064</v>
      </c>
      <c r="K200" s="21" t="str">
        <f t="shared" si="1"/>
        <v>Jun</v>
      </c>
      <c r="L200" s="21">
        <f t="shared" si="2"/>
        <v>2024</v>
      </c>
      <c r="N200" s="33"/>
      <c r="O200" s="34"/>
    </row>
    <row r="201" ht="22.5" customHeight="1">
      <c r="A201" s="21" t="s">
        <v>2166</v>
      </c>
      <c r="B201" s="21" t="s">
        <v>878</v>
      </c>
      <c r="C201" s="21" t="str">
        <f t="array" ref="C201">XLOOKUP(B201,Customer[Customer_ID],Customer[Name(Cleaned)])</f>
        <v>Daisy Johnson Dds</v>
      </c>
      <c r="D201" s="22" t="str">
        <f>VLOOKUP(B201,Customer[#ALL],6)</f>
        <v>Female</v>
      </c>
      <c r="E201" s="23">
        <f>Sales[Order_Date]</f>
        <v>45568</v>
      </c>
      <c r="F201" s="21" t="str">
        <f>Sales[Store_ID]</f>
        <v>STORE13</v>
      </c>
      <c r="G201" s="21" t="str">
        <f t="array" ref="G201">INDEX(Store[Store_Name],MATCH(F201,Store[Store_ID],0))</f>
        <v>Gardner, Humphrey and Contreras</v>
      </c>
      <c r="H201" s="21" t="str">
        <f>Sales[Product_ID]</f>
        <v>PROD49</v>
      </c>
      <c r="I201" s="21" t="str">
        <f>VLOOKUP(H201,Products[],2)</f>
        <v>Men's Roll-On Perfume</v>
      </c>
      <c r="J201" s="24">
        <f>Sales[Total_Amount]</f>
        <v>906.2366</v>
      </c>
      <c r="K201" s="21" t="str">
        <f t="shared" si="1"/>
        <v>Oct</v>
      </c>
      <c r="L201" s="21">
        <f t="shared" si="2"/>
        <v>2024</v>
      </c>
      <c r="N201" s="33"/>
      <c r="O201" s="34"/>
    </row>
    <row r="202" ht="22.5" customHeight="1">
      <c r="A202" s="21" t="s">
        <v>2167</v>
      </c>
      <c r="B202" s="21" t="s">
        <v>410</v>
      </c>
      <c r="C202" s="21" t="str">
        <f t="array" ref="C202">XLOOKUP(B202,Customer[Customer_ID],Customer[Name(Cleaned)])</f>
        <v>Tyler Conrad</v>
      </c>
      <c r="D202" s="22" t="str">
        <f>VLOOKUP(B202,Customer[#ALL],6)</f>
        <v>Male</v>
      </c>
      <c r="E202" s="23">
        <f>Sales[Order_Date]</f>
        <v>45397</v>
      </c>
      <c r="F202" s="21" t="str">
        <f>Sales[Store_ID]</f>
        <v>STORE11</v>
      </c>
      <c r="G202" s="21" t="str">
        <f t="array" ref="G202">INDEX(Store[Store_Name],MATCH(F202,Store[Store_ID],0))</f>
        <v>Aguirre-Keller</v>
      </c>
      <c r="H202" s="21" t="str">
        <f>Sales[Product_ID]</f>
        <v>PROD16</v>
      </c>
      <c r="I202" s="21" t="str">
        <f>VLOOKUP(H202,Products[],2)</f>
        <v>Beard Grooming Kit</v>
      </c>
      <c r="J202" s="24">
        <f>Sales[Total_Amount]</f>
        <v>1482.0798</v>
      </c>
      <c r="K202" s="21" t="str">
        <f t="shared" si="1"/>
        <v>Apr</v>
      </c>
      <c r="L202" s="21">
        <f t="shared" si="2"/>
        <v>2024</v>
      </c>
      <c r="N202" s="33"/>
      <c r="O202" s="34"/>
    </row>
    <row r="203" ht="22.5" customHeight="1">
      <c r="A203" s="21" t="s">
        <v>2168</v>
      </c>
      <c r="B203" s="21" t="s">
        <v>570</v>
      </c>
      <c r="C203" s="21" t="str">
        <f t="array" ref="C203">XLOOKUP(B203,Customer[Customer_ID],Customer[Name(Cleaned)])</f>
        <v>Daniel Contreras</v>
      </c>
      <c r="D203" s="22" t="str">
        <f>VLOOKUP(B203,Customer[#ALL],6)</f>
        <v>Male</v>
      </c>
      <c r="E203" s="23">
        <f>Sales[Order_Date]</f>
        <v>45569</v>
      </c>
      <c r="F203" s="21" t="str">
        <f>Sales[Store_ID]</f>
        <v>STORE1</v>
      </c>
      <c r="G203" s="21" t="str">
        <f t="array" ref="G203">INDEX(Store[Store_Name],MATCH(F203,Store[Store_ID],0))</f>
        <v>Martinez, Adkins and Johnson</v>
      </c>
      <c r="H203" s="21" t="str">
        <f>Sales[Product_ID]</f>
        <v>PROD45</v>
      </c>
      <c r="I203" s="21" t="str">
        <f>VLOOKUP(H203,Products[],2)</f>
        <v>High-Grip Football</v>
      </c>
      <c r="J203" s="24">
        <f>Sales[Total_Amount]</f>
        <v>2102.424</v>
      </c>
      <c r="K203" s="21" t="str">
        <f t="shared" si="1"/>
        <v>Oct</v>
      </c>
      <c r="L203" s="21">
        <f t="shared" si="2"/>
        <v>2024</v>
      </c>
      <c r="N203" s="33"/>
      <c r="O203" s="34"/>
    </row>
    <row r="204" ht="22.5" customHeight="1">
      <c r="A204" s="21" t="s">
        <v>2169</v>
      </c>
      <c r="B204" s="21" t="s">
        <v>380</v>
      </c>
      <c r="C204" s="21" t="str">
        <f t="array" ref="C204">XLOOKUP(B204,Customer[Customer_ID],Customer[Name(Cleaned)])</f>
        <v>Lance Baker</v>
      </c>
      <c r="D204" s="22" t="str">
        <f>VLOOKUP(B204,Customer[#ALL],6)</f>
        <v>Male</v>
      </c>
      <c r="E204" s="23">
        <f>Sales[Order_Date]</f>
        <v>45405</v>
      </c>
      <c r="F204" s="21" t="str">
        <f>Sales[Store_ID]</f>
        <v>STORE11</v>
      </c>
      <c r="G204" s="21" t="str">
        <f t="array" ref="G204">INDEX(Store[Store_Name],MATCH(F204,Store[Store_ID],0))</f>
        <v>Aguirre-Keller</v>
      </c>
      <c r="H204" s="21" t="str">
        <f>Sales[Product_ID]</f>
        <v>PROD39</v>
      </c>
      <c r="I204" s="21" t="str">
        <f>VLOOKUP(H204,Products[],2)</f>
        <v>Portable Power Bank</v>
      </c>
      <c r="J204" s="24">
        <f>Sales[Total_Amount]</f>
        <v>115.5</v>
      </c>
      <c r="K204" s="21" t="str">
        <f t="shared" si="1"/>
        <v>Apr</v>
      </c>
      <c r="L204" s="21">
        <f t="shared" si="2"/>
        <v>2024</v>
      </c>
      <c r="N204" s="33"/>
      <c r="O204" s="34"/>
    </row>
    <row r="205" ht="22.5" customHeight="1">
      <c r="A205" s="21" t="s">
        <v>2170</v>
      </c>
      <c r="B205" s="21" t="s">
        <v>893</v>
      </c>
      <c r="C205" s="21" t="str">
        <f t="array" ref="C205">XLOOKUP(B205,Customer[Customer_ID],Customer[Name(Cleaned)])</f>
        <v>Arthur Warren</v>
      </c>
      <c r="D205" s="22" t="str">
        <f>VLOOKUP(B205,Customer[#ALL],6)</f>
        <v>Female</v>
      </c>
      <c r="E205" s="23">
        <f>Sales[Order_Date]</f>
        <v>45353</v>
      </c>
      <c r="F205" s="21" t="str">
        <f>Sales[Store_ID]</f>
        <v>STORE9</v>
      </c>
      <c r="G205" s="21" t="str">
        <f t="array" ref="G205">INDEX(Store[Store_Name],MATCH(F205,Store[Store_ID],0))</f>
        <v>Moore, Padilla and Butler</v>
      </c>
      <c r="H205" s="21" t="str">
        <f>Sales[Product_ID]</f>
        <v>PROD27</v>
      </c>
      <c r="I205" s="21" t="str">
        <f>VLOOKUP(H205,Products[],2)</f>
        <v>Decorative Floor Vase</v>
      </c>
      <c r="J205" s="24">
        <f>Sales[Total_Amount]</f>
        <v>1219.257</v>
      </c>
      <c r="K205" s="21" t="str">
        <f t="shared" si="1"/>
        <v>Mar</v>
      </c>
      <c r="L205" s="21">
        <f t="shared" si="2"/>
        <v>2024</v>
      </c>
      <c r="N205" s="33"/>
      <c r="O205" s="34"/>
    </row>
    <row r="206" ht="22.5" customHeight="1">
      <c r="A206" s="21" t="s">
        <v>2171</v>
      </c>
      <c r="B206" s="21" t="s">
        <v>219</v>
      </c>
      <c r="C206" s="21" t="str">
        <f t="array" ref="C206">XLOOKUP(B206,Customer[Customer_ID],Customer[Name(Cleaned)])</f>
        <v>Christopher Sutton</v>
      </c>
      <c r="D206" s="22" t="str">
        <f>VLOOKUP(B206,Customer[#ALL],6)</f>
        <v>Male</v>
      </c>
      <c r="E206" s="23">
        <f>Sales[Order_Date]</f>
        <v>45343</v>
      </c>
      <c r="F206" s="21" t="str">
        <f>Sales[Store_ID]</f>
        <v>STORE8</v>
      </c>
      <c r="G206" s="21" t="str">
        <f t="array" ref="G206">INDEX(Store[Store_Name],MATCH(F206,Store[Store_ID],0))</f>
        <v>Bean, Jones and Park</v>
      </c>
      <c r="H206" s="21" t="str">
        <f>Sales[Product_ID]</f>
        <v>PROD41</v>
      </c>
      <c r="I206" s="21" t="str">
        <f>VLOOKUP(H206,Products[],2)</f>
        <v>Yoga Exercise Mat</v>
      </c>
      <c r="J206" s="24">
        <f>Sales[Total_Amount]</f>
        <v>1655.717</v>
      </c>
      <c r="K206" s="21" t="str">
        <f t="shared" si="1"/>
        <v>Feb</v>
      </c>
      <c r="L206" s="21">
        <f t="shared" si="2"/>
        <v>2024</v>
      </c>
      <c r="N206" s="33"/>
      <c r="O206" s="34"/>
    </row>
    <row r="207" ht="22.5" customHeight="1">
      <c r="A207" s="21" t="s">
        <v>2172</v>
      </c>
      <c r="B207" s="21" t="s">
        <v>1416</v>
      </c>
      <c r="C207" s="21" t="str">
        <f t="array" ref="C207">XLOOKUP(B207,Customer[Customer_ID],Customer[Name(Cleaned)])</f>
        <v>April Phillips</v>
      </c>
      <c r="D207" s="22" t="str">
        <f>VLOOKUP(B207,Customer[#ALL],6)</f>
        <v>Male</v>
      </c>
      <c r="E207" s="23">
        <f>Sales[Order_Date]</f>
        <v>45321</v>
      </c>
      <c r="F207" s="21" t="str">
        <f>Sales[Store_ID]</f>
        <v>STORE7</v>
      </c>
      <c r="G207" s="21" t="str">
        <f t="array" ref="G207">INDEX(Store[Store_Name],MATCH(F207,Store[Store_ID],0))</f>
        <v>Martinez-Mullins</v>
      </c>
      <c r="H207" s="21" t="str">
        <f>Sales[Product_ID]</f>
        <v>PROD36</v>
      </c>
      <c r="I207" s="21" t="str">
        <f>VLOOKUP(H207,Products[],2)</f>
        <v>Women's Summer Dress</v>
      </c>
      <c r="J207" s="24">
        <f>Sales[Total_Amount]</f>
        <v>422.013</v>
      </c>
      <c r="K207" s="21" t="str">
        <f t="shared" si="1"/>
        <v>Jan</v>
      </c>
      <c r="L207" s="21">
        <f t="shared" si="2"/>
        <v>2024</v>
      </c>
      <c r="N207" s="33"/>
      <c r="O207" s="34"/>
    </row>
    <row r="208" ht="22.5" customHeight="1">
      <c r="A208" s="21" t="s">
        <v>2173</v>
      </c>
      <c r="B208" s="21" t="s">
        <v>1433</v>
      </c>
      <c r="C208" s="21" t="str">
        <f t="array" ref="C208">XLOOKUP(B208,Customer[Customer_ID],Customer[Name(Cleaned)])</f>
        <v>John Perez</v>
      </c>
      <c r="D208" s="22" t="str">
        <f>VLOOKUP(B208,Customer[#ALL],6)</f>
        <v>Male</v>
      </c>
      <c r="E208" s="23">
        <f>Sales[Order_Date]</f>
        <v>45650</v>
      </c>
      <c r="F208" s="21" t="str">
        <f>Sales[Store_ID]</f>
        <v>STORE16</v>
      </c>
      <c r="G208" s="21" t="str">
        <f t="array" ref="G208">INDEX(Store[Store_Name],MATCH(F208,Store[Store_ID],0))</f>
        <v>Frederick-Wright</v>
      </c>
      <c r="H208" s="21" t="str">
        <f>Sales[Product_ID]</f>
        <v>PROD62</v>
      </c>
      <c r="I208" s="21" t="str">
        <f>VLOOKUP(H208,Products[],2)</f>
        <v>Laptop Cooling Pad</v>
      </c>
      <c r="J208" s="24">
        <f>Sales[Total_Amount]</f>
        <v>429.3216</v>
      </c>
      <c r="K208" s="21" t="str">
        <f t="shared" si="1"/>
        <v>Dec</v>
      </c>
      <c r="L208" s="21">
        <f t="shared" si="2"/>
        <v>2024</v>
      </c>
      <c r="N208" s="33"/>
      <c r="O208" s="34"/>
    </row>
    <row r="209" ht="22.5" customHeight="1">
      <c r="A209" s="21" t="s">
        <v>2174</v>
      </c>
      <c r="B209" s="21" t="s">
        <v>742</v>
      </c>
      <c r="C209" s="21" t="str">
        <f t="array" ref="C209">XLOOKUP(B209,Customer[Customer_ID],Customer[Name(Cleaned)])</f>
        <v>Elizabeth Stanley</v>
      </c>
      <c r="D209" s="22" t="str">
        <f>VLOOKUP(B209,Customer[#ALL],6)</f>
        <v>Male</v>
      </c>
      <c r="E209" s="23">
        <f>Sales[Order_Date]</f>
        <v>45811</v>
      </c>
      <c r="F209" s="21" t="str">
        <f>Sales[Store_ID]</f>
        <v>STORE3</v>
      </c>
      <c r="G209" s="21" t="str">
        <f t="array" ref="G209">INDEX(Store[Store_Name],MATCH(F209,Store[Store_ID],0))</f>
        <v>Johnson-Wright</v>
      </c>
      <c r="H209" s="21" t="str">
        <f>Sales[Product_ID]</f>
        <v>PROD63</v>
      </c>
      <c r="I209" s="21" t="str">
        <f>VLOOKUP(H209,Products[],2)</f>
        <v>Organic Sunscreen Lotion</v>
      </c>
      <c r="J209" s="24">
        <f>Sales[Total_Amount]</f>
        <v>1639.2096</v>
      </c>
      <c r="K209" s="21" t="str">
        <f t="shared" si="1"/>
        <v>Jun</v>
      </c>
      <c r="L209" s="21">
        <f t="shared" si="2"/>
        <v>2025</v>
      </c>
      <c r="N209" s="33"/>
      <c r="O209" s="34"/>
    </row>
    <row r="210" ht="22.5" customHeight="1">
      <c r="A210" s="21" t="s">
        <v>2175</v>
      </c>
      <c r="B210" s="21" t="s">
        <v>1320</v>
      </c>
      <c r="C210" s="21" t="str">
        <f t="array" ref="C210">XLOOKUP(B210,Customer[Customer_ID],Customer[Name(Cleaned)])</f>
        <v>Dr. Tamara White Md</v>
      </c>
      <c r="D210" s="22" t="str">
        <f>VLOOKUP(B210,Customer[#ALL],6)</f>
        <v>Female</v>
      </c>
      <c r="E210" s="23">
        <f>Sales[Order_Date]</f>
        <v>45505</v>
      </c>
      <c r="F210" s="21" t="str">
        <f>Sales[Store_ID]</f>
        <v>STORE1</v>
      </c>
      <c r="G210" s="21" t="str">
        <f t="array" ref="G210">INDEX(Store[Store_Name],MATCH(F210,Store[Store_ID],0))</f>
        <v>Martinez, Adkins and Johnson</v>
      </c>
      <c r="H210" s="21" t="str">
        <f>Sales[Product_ID]</f>
        <v>PROD15</v>
      </c>
      <c r="I210" s="21" t="str">
        <f>VLOOKUP(H210,Products[],2)</f>
        <v>4K Home Projector</v>
      </c>
      <c r="J210" s="24">
        <f>Sales[Total_Amount]</f>
        <v>85.1697</v>
      </c>
      <c r="K210" s="21" t="str">
        <f t="shared" si="1"/>
        <v>Aug</v>
      </c>
      <c r="L210" s="21">
        <f t="shared" si="2"/>
        <v>2024</v>
      </c>
      <c r="N210" s="33"/>
      <c r="O210" s="34"/>
    </row>
    <row r="211" ht="22.5" customHeight="1">
      <c r="A211" s="21" t="s">
        <v>2176</v>
      </c>
      <c r="B211" s="21" t="s">
        <v>322</v>
      </c>
      <c r="C211" s="21" t="str">
        <f t="array" ref="C211">XLOOKUP(B211,Customer[Customer_ID],Customer[Name(Cleaned)])</f>
        <v>Melissa Duffy Md</v>
      </c>
      <c r="D211" s="22" t="str">
        <f>VLOOKUP(B211,Customer[#ALL],6)</f>
        <v>Male</v>
      </c>
      <c r="E211" s="23">
        <f>Sales[Order_Date]</f>
        <v>45897</v>
      </c>
      <c r="F211" s="21" t="str">
        <f>Sales[Store_ID]</f>
        <v>STORE12</v>
      </c>
      <c r="G211" s="21" t="str">
        <f t="array" ref="G211">INDEX(Store[Store_Name],MATCH(F211,Store[Store_ID],0))</f>
        <v>Thomas, Bridges and Harris</v>
      </c>
      <c r="H211" s="21" t="str">
        <f>Sales[Product_ID]</f>
        <v>PROD54</v>
      </c>
      <c r="I211" s="21" t="str">
        <f>VLOOKUP(H211,Products[],2)</f>
        <v>Sports Stopwatch Pro</v>
      </c>
      <c r="J211" s="24">
        <f>Sales[Total_Amount]</f>
        <v>2397.408</v>
      </c>
      <c r="K211" s="21" t="str">
        <f t="shared" si="1"/>
        <v>Aug</v>
      </c>
      <c r="L211" s="21">
        <f t="shared" si="2"/>
        <v>2025</v>
      </c>
      <c r="N211" s="33"/>
      <c r="O211" s="34"/>
    </row>
    <row r="212" ht="22.5" customHeight="1">
      <c r="A212" s="21" t="s">
        <v>2177</v>
      </c>
      <c r="B212" s="21" t="s">
        <v>1176</v>
      </c>
      <c r="C212" s="21" t="str">
        <f t="array" ref="C212">XLOOKUP(B212,Customer[Customer_ID],Customer[Name(Cleaned)])</f>
        <v>Michael Garner</v>
      </c>
      <c r="D212" s="22" t="str">
        <f>VLOOKUP(B212,Customer[#ALL],6)</f>
        <v>Male</v>
      </c>
      <c r="E212" s="23">
        <f>Sales[Order_Date]</f>
        <v>45602</v>
      </c>
      <c r="F212" s="21" t="str">
        <f>Sales[Store_ID]</f>
        <v>STORE12</v>
      </c>
      <c r="G212" s="21" t="str">
        <f t="array" ref="G212">INDEX(Store[Store_Name],MATCH(F212,Store[Store_ID],0))</f>
        <v>Thomas, Bridges and Harris</v>
      </c>
      <c r="H212" s="21" t="str">
        <f>Sales[Product_ID]</f>
        <v>PROD18</v>
      </c>
      <c r="I212" s="21" t="str">
        <f>VLOOKUP(H212,Products[],2)</f>
        <v>Women's Denim Jeans</v>
      </c>
      <c r="J212" s="24">
        <f>Sales[Total_Amount]</f>
        <v>296.3169</v>
      </c>
      <c r="K212" s="21" t="str">
        <f t="shared" si="1"/>
        <v>Nov</v>
      </c>
      <c r="L212" s="21">
        <f t="shared" si="2"/>
        <v>2024</v>
      </c>
      <c r="N212" s="33"/>
      <c r="O212" s="34"/>
    </row>
    <row r="213" ht="22.5" customHeight="1">
      <c r="A213" s="21" t="s">
        <v>2178</v>
      </c>
      <c r="B213" s="21" t="s">
        <v>693</v>
      </c>
      <c r="C213" s="21" t="str">
        <f t="array" ref="C213">XLOOKUP(B213,Customer[Customer_ID],Customer[Name(Cleaned)])</f>
        <v>Joan Johnson</v>
      </c>
      <c r="D213" s="22" t="str">
        <f>VLOOKUP(B213,Customer[#ALL],6)</f>
        <v>Male</v>
      </c>
      <c r="E213" s="23">
        <f>Sales[Order_Date]</f>
        <v>45530</v>
      </c>
      <c r="F213" s="21" t="str">
        <f>Sales[Store_ID]</f>
        <v>STORE9</v>
      </c>
      <c r="G213" s="21" t="str">
        <f t="array" ref="G213">INDEX(Store[Store_Name],MATCH(F213,Store[Store_ID],0))</f>
        <v>Moore, Padilla and Butler</v>
      </c>
      <c r="H213" s="21" t="str">
        <f>Sales[Product_ID]</f>
        <v>PROD34</v>
      </c>
      <c r="I213" s="21" t="str">
        <f>VLOOKUP(H213,Products[],2)</f>
        <v>Gaming Mechanical Keyboard</v>
      </c>
      <c r="J213" s="24">
        <f>Sales[Total_Amount]</f>
        <v>285.9672</v>
      </c>
      <c r="K213" s="21" t="str">
        <f t="shared" si="1"/>
        <v>Aug</v>
      </c>
      <c r="L213" s="21">
        <f t="shared" si="2"/>
        <v>2024</v>
      </c>
      <c r="N213" s="33"/>
      <c r="O213" s="34"/>
    </row>
    <row r="214" ht="22.5" customHeight="1">
      <c r="A214" s="21" t="s">
        <v>2179</v>
      </c>
      <c r="B214" s="21" t="s">
        <v>1433</v>
      </c>
      <c r="C214" s="21" t="str">
        <f t="array" ref="C214">XLOOKUP(B214,Customer[Customer_ID],Customer[Name(Cleaned)])</f>
        <v>John Perez</v>
      </c>
      <c r="D214" s="22" t="str">
        <f>VLOOKUP(B214,Customer[#ALL],6)</f>
        <v>Male</v>
      </c>
      <c r="E214" s="23">
        <f>Sales[Order_Date]</f>
        <v>45729</v>
      </c>
      <c r="F214" s="21" t="str">
        <f>Sales[Store_ID]</f>
        <v>STORE5</v>
      </c>
      <c r="G214" s="21" t="str">
        <f t="array" ref="G214">INDEX(Store[Store_Name],MATCH(F214,Store[Store_ID],0))</f>
        <v>Gray Ltd</v>
      </c>
      <c r="H214" s="21" t="str">
        <f>Sales[Product_ID]</f>
        <v>PROD26</v>
      </c>
      <c r="I214" s="21" t="str">
        <f>VLOOKUP(H214,Products[],2)</f>
        <v>Wireless Bluetooth Speaker</v>
      </c>
      <c r="J214" s="24">
        <f>Sales[Total_Amount]</f>
        <v>304.7675</v>
      </c>
      <c r="K214" s="21" t="str">
        <f t="shared" si="1"/>
        <v>Mar</v>
      </c>
      <c r="L214" s="21">
        <f t="shared" si="2"/>
        <v>2025</v>
      </c>
      <c r="N214" s="33"/>
      <c r="O214" s="34"/>
    </row>
    <row r="215" ht="22.5" customHeight="1">
      <c r="A215" s="21" t="s">
        <v>2180</v>
      </c>
      <c r="B215" s="21" t="s">
        <v>540</v>
      </c>
      <c r="C215" s="21" t="str">
        <f t="array" ref="C215">XLOOKUP(B215,Customer[Customer_ID],Customer[Name(Cleaned)])</f>
        <v>Sean Powell</v>
      </c>
      <c r="D215" s="22" t="str">
        <f>VLOOKUP(B215,Customer[#ALL],6)</f>
        <v>Female</v>
      </c>
      <c r="E215" s="23">
        <f>Sales[Order_Date]</f>
        <v>45503</v>
      </c>
      <c r="F215" s="21" t="str">
        <f>Sales[Store_ID]</f>
        <v>STORE8</v>
      </c>
      <c r="G215" s="21" t="str">
        <f t="array" ref="G215">INDEX(Store[Store_Name],MATCH(F215,Store[Store_ID],0))</f>
        <v>Bean, Jones and Park</v>
      </c>
      <c r="H215" s="21" t="str">
        <f>Sales[Product_ID]</f>
        <v>PROD19</v>
      </c>
      <c r="I215" s="21" t="str">
        <f>VLOOKUP(H215,Products[],2)</f>
        <v>Knee Support Brace</v>
      </c>
      <c r="J215" s="24">
        <f>Sales[Total_Amount]</f>
        <v>215.1442</v>
      </c>
      <c r="K215" s="21" t="str">
        <f t="shared" si="1"/>
        <v>Jul</v>
      </c>
      <c r="L215" s="21">
        <f t="shared" si="2"/>
        <v>2024</v>
      </c>
      <c r="N215" s="33"/>
      <c r="O215" s="34"/>
    </row>
    <row r="216" ht="22.5" customHeight="1">
      <c r="A216" s="21" t="s">
        <v>2181</v>
      </c>
      <c r="B216" s="21" t="s">
        <v>1387</v>
      </c>
      <c r="C216" s="21" t="str">
        <f t="array" ref="C216">XLOOKUP(B216,Customer[Customer_ID],Customer[Name(Cleaned)])</f>
        <v>Adam Castro</v>
      </c>
      <c r="D216" s="22" t="str">
        <f>VLOOKUP(B216,Customer[#ALL],6)</f>
        <v>Female</v>
      </c>
      <c r="E216" s="23">
        <f>Sales[Order_Date]</f>
        <v>45468</v>
      </c>
      <c r="F216" s="21" t="str">
        <f>Sales[Store_ID]</f>
        <v>STORE9</v>
      </c>
      <c r="G216" s="21" t="str">
        <f t="array" ref="G216">INDEX(Store[Store_Name],MATCH(F216,Store[Store_ID],0))</f>
        <v>Moore, Padilla and Butler</v>
      </c>
      <c r="H216" s="21" t="str">
        <f>Sales[Product_ID]</f>
        <v>PROD0</v>
      </c>
      <c r="I216" s="21" t="str">
        <f>VLOOKUP(H216,Products[],2)</f>
        <v>Brother Laser Printer</v>
      </c>
      <c r="J216" s="24">
        <f>Sales[Total_Amount]</f>
        <v>767.4816</v>
      </c>
      <c r="K216" s="21" t="str">
        <f t="shared" si="1"/>
        <v>Jun</v>
      </c>
      <c r="L216" s="21">
        <f t="shared" si="2"/>
        <v>2024</v>
      </c>
      <c r="N216" s="33"/>
      <c r="O216" s="34"/>
    </row>
    <row r="217" ht="22.5" customHeight="1">
      <c r="A217" s="21" t="s">
        <v>2182</v>
      </c>
      <c r="B217" s="21" t="s">
        <v>872</v>
      </c>
      <c r="C217" s="21" t="str">
        <f t="array" ref="C217">XLOOKUP(B217,Customer[Customer_ID],Customer[Name(Cleaned)])</f>
        <v>Tyrone Olson</v>
      </c>
      <c r="D217" s="22" t="str">
        <f>VLOOKUP(B217,Customer[#ALL],6)</f>
        <v>Male</v>
      </c>
      <c r="E217" s="23">
        <f>Sales[Order_Date]</f>
        <v>45936</v>
      </c>
      <c r="F217" s="21" t="str">
        <f>Sales[Store_ID]</f>
        <v>STORE14</v>
      </c>
      <c r="G217" s="21" t="str">
        <f t="array" ref="G217">INDEX(Store[Store_Name],MATCH(F217,Store[Store_ID],0))</f>
        <v>Mcdonald Inc</v>
      </c>
      <c r="H217" s="21" t="str">
        <f>Sales[Product_ID]</f>
        <v>PROD59</v>
      </c>
      <c r="I217" s="21" t="str">
        <f>VLOOKUP(H217,Products[],2)</f>
        <v>Men's Hair Styling Gel</v>
      </c>
      <c r="J217" s="24">
        <f>Sales[Total_Amount]</f>
        <v>1147.4496</v>
      </c>
      <c r="K217" s="21" t="str">
        <f t="shared" si="1"/>
        <v>Oct</v>
      </c>
      <c r="L217" s="21">
        <f t="shared" si="2"/>
        <v>2025</v>
      </c>
      <c r="N217" s="33"/>
      <c r="O217" s="34"/>
    </row>
    <row r="218" ht="22.5" customHeight="1">
      <c r="A218" s="21" t="s">
        <v>2183</v>
      </c>
      <c r="B218" s="21" t="s">
        <v>118</v>
      </c>
      <c r="C218" s="21" t="str">
        <f t="array" ref="C218">XLOOKUP(B218,Customer[Customer_ID],Customer[Name(Cleaned)])</f>
        <v>Amber Carlson</v>
      </c>
      <c r="D218" s="22" t="str">
        <f>VLOOKUP(B218,Customer[#ALL],6)</f>
        <v>Male</v>
      </c>
      <c r="E218" s="23">
        <f>Sales[Order_Date]</f>
        <v>45622</v>
      </c>
      <c r="F218" s="21" t="str">
        <f>Sales[Store_ID]</f>
        <v>STORE17</v>
      </c>
      <c r="G218" s="21" t="str">
        <f t="array" ref="G218">INDEX(Store[Store_Name],MATCH(F218,Store[Store_ID],0))</f>
        <v>Holloway Ltd</v>
      </c>
      <c r="H218" s="21" t="str">
        <f>Sales[Product_ID]</f>
        <v>PROD69</v>
      </c>
      <c r="I218" s="21" t="str">
        <f>VLOOKUP(H218,Products[],2)</f>
        <v>Men's Sports Shorts</v>
      </c>
      <c r="J218" s="24">
        <f>Sales[Total_Amount]</f>
        <v>1776.3744</v>
      </c>
      <c r="K218" s="21" t="str">
        <f t="shared" si="1"/>
        <v>Nov</v>
      </c>
      <c r="L218" s="21">
        <f t="shared" si="2"/>
        <v>2024</v>
      </c>
      <c r="N218" s="33"/>
      <c r="O218" s="34"/>
    </row>
    <row r="219" ht="22.5" customHeight="1">
      <c r="A219" s="21" t="s">
        <v>2184</v>
      </c>
      <c r="B219" s="21" t="s">
        <v>842</v>
      </c>
      <c r="C219" s="21" t="str">
        <f t="array" ref="C219">XLOOKUP(B219,Customer[Customer_ID],Customer[Name(Cleaned)])</f>
        <v>Beth Allen</v>
      </c>
      <c r="D219" s="22" t="str">
        <f>VLOOKUP(B219,Customer[#ALL],6)</f>
        <v>Male</v>
      </c>
      <c r="E219" s="23">
        <f>Sales[Order_Date]</f>
        <v>45705</v>
      </c>
      <c r="F219" s="21" t="str">
        <f>Sales[Store_ID]</f>
        <v>STORE6</v>
      </c>
      <c r="G219" s="21" t="str">
        <f t="array" ref="G219">INDEX(Store[Store_Name],MATCH(F219,Store[Store_ID],0))</f>
        <v>Benson-Elliott</v>
      </c>
      <c r="H219" s="21" t="str">
        <f>Sales[Product_ID]</f>
        <v>PROD91</v>
      </c>
      <c r="I219" s="21" t="str">
        <f>VLOOKUP(H219,Products[],2)</f>
        <v>Women's High Heels</v>
      </c>
      <c r="J219" s="24">
        <f>Sales[Total_Amount]</f>
        <v>545.805</v>
      </c>
      <c r="K219" s="21" t="str">
        <f t="shared" si="1"/>
        <v>Feb</v>
      </c>
      <c r="L219" s="21">
        <f t="shared" si="2"/>
        <v>2025</v>
      </c>
      <c r="N219" s="33"/>
      <c r="O219" s="34"/>
    </row>
    <row r="220" ht="22.5" customHeight="1">
      <c r="A220" s="21" t="s">
        <v>2185</v>
      </c>
      <c r="B220" s="21" t="s">
        <v>1164</v>
      </c>
      <c r="C220" s="21" t="str">
        <f t="array" ref="C220">XLOOKUP(B220,Customer[Customer_ID],Customer[Name(Cleaned)])</f>
        <v>Melinda Johnson</v>
      </c>
      <c r="D220" s="22" t="str">
        <f>VLOOKUP(B220,Customer[#ALL],6)</f>
        <v>Female</v>
      </c>
      <c r="E220" s="23">
        <f>Sales[Order_Date]</f>
        <v>45250</v>
      </c>
      <c r="F220" s="21" t="str">
        <f>Sales[Store_ID]</f>
        <v>STORE17</v>
      </c>
      <c r="G220" s="21" t="str">
        <f t="array" ref="G220">INDEX(Store[Store_Name],MATCH(F220,Store[Store_ID],0))</f>
        <v>Holloway Ltd</v>
      </c>
      <c r="H220" s="21" t="str">
        <f>Sales[Product_ID]</f>
        <v>PROD26</v>
      </c>
      <c r="I220" s="21" t="str">
        <f>VLOOKUP(H220,Products[],2)</f>
        <v>Wireless Bluetooth Speaker</v>
      </c>
      <c r="J220" s="24">
        <f>Sales[Total_Amount]</f>
        <v>945.126</v>
      </c>
      <c r="K220" s="21" t="str">
        <f t="shared" si="1"/>
        <v>Nov</v>
      </c>
      <c r="L220" s="21">
        <f t="shared" si="2"/>
        <v>2023</v>
      </c>
      <c r="N220" s="33"/>
      <c r="O220" s="34"/>
    </row>
    <row r="221" ht="22.5" customHeight="1">
      <c r="A221" s="21" t="s">
        <v>2186</v>
      </c>
      <c r="B221" s="21" t="s">
        <v>1526</v>
      </c>
      <c r="C221" s="21" t="str">
        <f t="array" ref="C221">XLOOKUP(B221,Customer[Customer_ID],Customer[Name(Cleaned)])</f>
        <v>Kaitlin Brown</v>
      </c>
      <c r="D221" s="22" t="str">
        <f>VLOOKUP(B221,Customer[#ALL],6)</f>
        <v>Male</v>
      </c>
      <c r="E221" s="23">
        <f>Sales[Order_Date]</f>
        <v>45684</v>
      </c>
      <c r="F221" s="21" t="str">
        <f>Sales[Store_ID]</f>
        <v>STORE11</v>
      </c>
      <c r="G221" s="21" t="str">
        <f t="array" ref="G221">INDEX(Store[Store_Name],MATCH(F221,Store[Store_ID],0))</f>
        <v>Aguirre-Keller</v>
      </c>
      <c r="H221" s="21" t="str">
        <f>Sales[Product_ID]</f>
        <v>PROD94</v>
      </c>
      <c r="I221" s="21" t="str">
        <f>VLOOKUP(H221,Products[],2)</f>
        <v>Vitamin E Body Lotion</v>
      </c>
      <c r="J221" s="24">
        <f>Sales[Total_Amount]</f>
        <v>2232.5688</v>
      </c>
      <c r="K221" s="21" t="str">
        <f t="shared" si="1"/>
        <v>Jan</v>
      </c>
      <c r="L221" s="21">
        <f t="shared" si="2"/>
        <v>2025</v>
      </c>
      <c r="N221" s="33"/>
      <c r="O221" s="34"/>
    </row>
    <row r="222" ht="22.5" customHeight="1">
      <c r="A222" s="21" t="s">
        <v>2187</v>
      </c>
      <c r="B222" s="21" t="s">
        <v>978</v>
      </c>
      <c r="C222" s="21" t="str">
        <f t="array" ref="C222">XLOOKUP(B222,Customer[Customer_ID],Customer[Name(Cleaned)])</f>
        <v>Roberta Green</v>
      </c>
      <c r="D222" s="22" t="str">
        <f>VLOOKUP(B222,Customer[#ALL],6)</f>
        <v>Female</v>
      </c>
      <c r="E222" s="23">
        <f>Sales[Order_Date]</f>
        <v>45395</v>
      </c>
      <c r="F222" s="21" t="str">
        <f>Sales[Store_ID]</f>
        <v>STORE16</v>
      </c>
      <c r="G222" s="21" t="str">
        <f t="array" ref="G222">INDEX(Store[Store_Name],MATCH(F222,Store[Store_ID],0))</f>
        <v>Frederick-Wright</v>
      </c>
      <c r="H222" s="21" t="str">
        <f>Sales[Product_ID]</f>
        <v>PROD55</v>
      </c>
      <c r="I222" s="21" t="str">
        <f>VLOOKUP(H222,Products[],2)</f>
        <v>Ceramic Plant Pot</v>
      </c>
      <c r="J222" s="24">
        <f>Sales[Total_Amount]</f>
        <v>2971.0296</v>
      </c>
      <c r="K222" s="21" t="str">
        <f t="shared" si="1"/>
        <v>Apr</v>
      </c>
      <c r="L222" s="21">
        <f t="shared" si="2"/>
        <v>2024</v>
      </c>
      <c r="N222" s="33"/>
      <c r="O222" s="34"/>
    </row>
    <row r="223" ht="22.5" customHeight="1">
      <c r="A223" s="21" t="s">
        <v>2188</v>
      </c>
      <c r="B223" s="21" t="s">
        <v>1059</v>
      </c>
      <c r="C223" s="21" t="str">
        <f t="array" ref="C223">XLOOKUP(B223,Customer[Customer_ID],Customer[Name(Cleaned)])</f>
        <v>Dr. Lindsay Hanna</v>
      </c>
      <c r="D223" s="22" t="str">
        <f>VLOOKUP(B223,Customer[#ALL],6)</f>
        <v>Male</v>
      </c>
      <c r="E223" s="23">
        <f>Sales[Order_Date]</f>
        <v>45382</v>
      </c>
      <c r="F223" s="21" t="str">
        <f>Sales[Store_ID]</f>
        <v>STORE12</v>
      </c>
      <c r="G223" s="21" t="str">
        <f t="array" ref="G223">INDEX(Store[Store_Name],MATCH(F223,Store[Store_ID],0))</f>
        <v>Thomas, Bridges and Harris</v>
      </c>
      <c r="H223" s="21" t="str">
        <f>Sales[Product_ID]</f>
        <v>PROD92</v>
      </c>
      <c r="I223" s="21" t="str">
        <f>VLOOKUP(H223,Products[],2)</f>
        <v>Microwave Oven</v>
      </c>
      <c r="J223" s="24">
        <f>Sales[Total_Amount]</f>
        <v>942.016</v>
      </c>
      <c r="K223" s="21" t="str">
        <f t="shared" si="1"/>
        <v>Mar</v>
      </c>
      <c r="L223" s="21">
        <f t="shared" si="2"/>
        <v>2024</v>
      </c>
      <c r="N223" s="33"/>
      <c r="O223" s="34"/>
    </row>
    <row r="224" ht="22.5" customHeight="1">
      <c r="A224" s="21" t="s">
        <v>2189</v>
      </c>
      <c r="B224" s="21" t="s">
        <v>355</v>
      </c>
      <c r="C224" s="21" t="str">
        <f t="array" ref="C224">XLOOKUP(B224,Customer[Customer_ID],Customer[Name(Cleaned)])</f>
        <v>David Cobb</v>
      </c>
      <c r="D224" s="22" t="str">
        <f>VLOOKUP(B224,Customer[#ALL],6)</f>
        <v>Female</v>
      </c>
      <c r="E224" s="23">
        <f>Sales[Order_Date]</f>
        <v>45919</v>
      </c>
      <c r="F224" s="21" t="str">
        <f>Sales[Store_ID]</f>
        <v>STORE2</v>
      </c>
      <c r="G224" s="21" t="str">
        <f t="array" ref="G224">INDEX(Store[Store_Name],MATCH(F224,Store[Store_ID],0))</f>
        <v>Black-Horn</v>
      </c>
      <c r="H224" s="21" t="str">
        <f>Sales[Product_ID]</f>
        <v>PROD96</v>
      </c>
      <c r="I224" s="21" t="str">
        <f>VLOOKUP(H224,Products[],2)</f>
        <v>Women's Formal Blazer</v>
      </c>
      <c r="J224" s="24">
        <f>Sales[Total_Amount]</f>
        <v>1628.0208</v>
      </c>
      <c r="K224" s="21" t="str">
        <f t="shared" si="1"/>
        <v>Sep</v>
      </c>
      <c r="L224" s="21">
        <f t="shared" si="2"/>
        <v>2025</v>
      </c>
      <c r="N224" s="33"/>
      <c r="O224" s="34"/>
    </row>
    <row r="225" ht="22.5" customHeight="1">
      <c r="A225" s="21" t="s">
        <v>2190</v>
      </c>
      <c r="B225" s="21" t="s">
        <v>1465</v>
      </c>
      <c r="C225" s="21" t="str">
        <f t="array" ref="C225">XLOOKUP(B225,Customer[Customer_ID],Customer[Name(Cleaned)])</f>
        <v>Manuel Fisher</v>
      </c>
      <c r="D225" s="22" t="str">
        <f>VLOOKUP(B225,Customer[#ALL],6)</f>
        <v>Male</v>
      </c>
      <c r="E225" s="23">
        <f>Sales[Order_Date]</f>
        <v>45453</v>
      </c>
      <c r="F225" s="21" t="str">
        <f>Sales[Store_ID]</f>
        <v>STORE16</v>
      </c>
      <c r="G225" s="21" t="str">
        <f t="array" ref="G225">INDEX(Store[Store_Name],MATCH(F225,Store[Store_ID],0))</f>
        <v>Frederick-Wright</v>
      </c>
      <c r="H225" s="21" t="str">
        <f>Sales[Product_ID]</f>
        <v>PROD89</v>
      </c>
      <c r="I225" s="21" t="str">
        <f>VLOOKUP(H225,Products[],2)</f>
        <v>Face Foundation Kit</v>
      </c>
      <c r="J225" s="24">
        <f>Sales[Total_Amount]</f>
        <v>889.308</v>
      </c>
      <c r="K225" s="21" t="str">
        <f t="shared" si="1"/>
        <v>Jun</v>
      </c>
      <c r="L225" s="21">
        <f t="shared" si="2"/>
        <v>2024</v>
      </c>
      <c r="N225" s="33"/>
      <c r="O225" s="34"/>
    </row>
    <row r="226" ht="22.5" customHeight="1">
      <c r="A226" s="21" t="s">
        <v>2191</v>
      </c>
      <c r="B226" s="21" t="s">
        <v>776</v>
      </c>
      <c r="C226" s="21" t="str">
        <f t="array" ref="C226">XLOOKUP(B226,Customer[Customer_ID],Customer[Name(Cleaned)])</f>
        <v>Wesley Short</v>
      </c>
      <c r="D226" s="22" t="str">
        <f>VLOOKUP(B226,Customer[#ALL],6)</f>
        <v>Male</v>
      </c>
      <c r="E226" s="23">
        <f>Sales[Order_Date]</f>
        <v>45528</v>
      </c>
      <c r="F226" s="21" t="str">
        <f>Sales[Store_ID]</f>
        <v>STORE4</v>
      </c>
      <c r="G226" s="21" t="str">
        <f t="array" ref="G226">INDEX(Store[Store_Name],MATCH(F226,Store[Store_ID],0))</f>
        <v>Alexander Group</v>
      </c>
      <c r="H226" s="21" t="str">
        <f>Sales[Product_ID]</f>
        <v>PROD88</v>
      </c>
      <c r="I226" s="21" t="str">
        <f>VLOOKUP(H226,Products[],2)</f>
        <v>Sports Wrist Sweatbands</v>
      </c>
      <c r="J226" s="24">
        <f>Sales[Total_Amount]</f>
        <v>2552.5368</v>
      </c>
      <c r="K226" s="21" t="str">
        <f t="shared" si="1"/>
        <v>Aug</v>
      </c>
      <c r="L226" s="21">
        <f t="shared" si="2"/>
        <v>2024</v>
      </c>
      <c r="N226" s="33"/>
      <c r="O226" s="34"/>
    </row>
    <row r="227" ht="22.5" customHeight="1">
      <c r="A227" s="21" t="s">
        <v>2192</v>
      </c>
      <c r="B227" s="21" t="s">
        <v>758</v>
      </c>
      <c r="C227" s="21" t="str">
        <f t="array" ref="C227">XLOOKUP(B227,Customer[Customer_ID],Customer[Name(Cleaned)])</f>
        <v>Timothy Juarez</v>
      </c>
      <c r="D227" s="22" t="str">
        <f>VLOOKUP(B227,Customer[#ALL],6)</f>
        <v>Male</v>
      </c>
      <c r="E227" s="23">
        <f>Sales[Order_Date]</f>
        <v>45274</v>
      </c>
      <c r="F227" s="21" t="str">
        <f>Sales[Store_ID]</f>
        <v>STORE17</v>
      </c>
      <c r="G227" s="21" t="str">
        <f t="array" ref="G227">INDEX(Store[Store_Name],MATCH(F227,Store[Store_ID],0))</f>
        <v>Holloway Ltd</v>
      </c>
      <c r="H227" s="21" t="str">
        <f>Sales[Product_ID]</f>
        <v>PROD31</v>
      </c>
      <c r="I227" s="21" t="str">
        <f>VLOOKUP(H227,Products[],2)</f>
        <v>Basketball</v>
      </c>
      <c r="J227" s="24">
        <f>Sales[Total_Amount]</f>
        <v>1239.5606</v>
      </c>
      <c r="K227" s="21" t="str">
        <f t="shared" si="1"/>
        <v>Dec</v>
      </c>
      <c r="L227" s="21">
        <f t="shared" si="2"/>
        <v>2023</v>
      </c>
      <c r="N227" s="33"/>
      <c r="O227" s="34"/>
    </row>
    <row r="228" ht="22.5" customHeight="1">
      <c r="A228" s="21" t="s">
        <v>2193</v>
      </c>
      <c r="B228" s="21" t="s">
        <v>1344</v>
      </c>
      <c r="C228" s="21" t="str">
        <f t="array" ref="C228">XLOOKUP(B228,Customer[Customer_ID],Customer[Name(Cleaned)])</f>
        <v>Samuel Mullins</v>
      </c>
      <c r="D228" s="22" t="str">
        <f>VLOOKUP(B228,Customer[#ALL],6)</f>
        <v>Male</v>
      </c>
      <c r="E228" s="23">
        <f>Sales[Order_Date]</f>
        <v>45313</v>
      </c>
      <c r="F228" s="21" t="str">
        <f>Sales[Store_ID]</f>
        <v>STORE2</v>
      </c>
      <c r="G228" s="21" t="str">
        <f t="array" ref="G228">INDEX(Store[Store_Name],MATCH(F228,Store[Store_ID],0))</f>
        <v>Black-Horn</v>
      </c>
      <c r="H228" s="21" t="str">
        <f>Sales[Product_ID]</f>
        <v>PROD66</v>
      </c>
      <c r="I228" s="21" t="str">
        <f>VLOOKUP(H228,Products[],2)</f>
        <v>Women's Hair Dryer Brush</v>
      </c>
      <c r="J228" s="24">
        <f>Sales[Total_Amount]</f>
        <v>661.7595</v>
      </c>
      <c r="K228" s="21" t="str">
        <f t="shared" si="1"/>
        <v>Jan</v>
      </c>
      <c r="L228" s="21">
        <f t="shared" si="2"/>
        <v>2024</v>
      </c>
      <c r="N228" s="33"/>
      <c r="O228" s="34"/>
    </row>
    <row r="229" ht="22.5" customHeight="1">
      <c r="A229" s="21" t="s">
        <v>2194</v>
      </c>
      <c r="B229" s="21" t="s">
        <v>368</v>
      </c>
      <c r="C229" s="21" t="str">
        <f t="array" ref="C229">XLOOKUP(B229,Customer[Customer_ID],Customer[Name(Cleaned)])</f>
        <v>Colleen Maynard</v>
      </c>
      <c r="D229" s="22" t="str">
        <f>VLOOKUP(B229,Customer[#ALL],6)</f>
        <v>Female</v>
      </c>
      <c r="E229" s="23">
        <f>Sales[Order_Date]</f>
        <v>45377</v>
      </c>
      <c r="F229" s="21" t="str">
        <f>Sales[Store_ID]</f>
        <v>STORE3</v>
      </c>
      <c r="G229" s="21" t="str">
        <f t="array" ref="G229">INDEX(Store[Store_Name],MATCH(F229,Store[Store_ID],0))</f>
        <v>Johnson-Wright</v>
      </c>
      <c r="H229" s="21" t="str">
        <f>Sales[Product_ID]</f>
        <v>PROD44</v>
      </c>
      <c r="I229" s="21" t="str">
        <f>VLOOKUP(H229,Products[],2)</f>
        <v>Adjustable Jump Rope</v>
      </c>
      <c r="J229" s="24">
        <f>Sales[Total_Amount]</f>
        <v>1845.966</v>
      </c>
      <c r="K229" s="21" t="str">
        <f t="shared" si="1"/>
        <v>Mar</v>
      </c>
      <c r="L229" s="21">
        <f t="shared" si="2"/>
        <v>2024</v>
      </c>
      <c r="N229" s="33"/>
      <c r="O229" s="34"/>
    </row>
    <row r="230" ht="22.5" customHeight="1">
      <c r="A230" s="21" t="s">
        <v>2195</v>
      </c>
      <c r="B230" s="21" t="s">
        <v>857</v>
      </c>
      <c r="C230" s="21" t="str">
        <f t="array" ref="C230">XLOOKUP(B230,Customer[Customer_ID],Customer[Name(Cleaned)])</f>
        <v>Matthew Payne</v>
      </c>
      <c r="D230" s="22" t="str">
        <f>VLOOKUP(B230,Customer[#ALL],6)</f>
        <v>Female</v>
      </c>
      <c r="E230" s="23">
        <f>Sales[Order_Date]</f>
        <v>45371</v>
      </c>
      <c r="F230" s="21" t="str">
        <f>Sales[Store_ID]</f>
        <v>STORE9</v>
      </c>
      <c r="G230" s="21" t="str">
        <f t="array" ref="G230">INDEX(Store[Store_Name],MATCH(F230,Store[Store_ID],0))</f>
        <v>Moore, Padilla and Butler</v>
      </c>
      <c r="H230" s="21" t="str">
        <f>Sales[Product_ID]</f>
        <v>PROD66</v>
      </c>
      <c r="I230" s="21" t="str">
        <f>VLOOKUP(H230,Products[],2)</f>
        <v>Women's Hair Dryer Brush</v>
      </c>
      <c r="J230" s="24">
        <f>Sales[Total_Amount]</f>
        <v>1828.112</v>
      </c>
      <c r="K230" s="21" t="str">
        <f t="shared" si="1"/>
        <v>Mar</v>
      </c>
      <c r="L230" s="21">
        <f t="shared" si="2"/>
        <v>2024</v>
      </c>
      <c r="N230" s="33"/>
      <c r="O230" s="34"/>
    </row>
    <row r="231" ht="22.5" customHeight="1">
      <c r="A231" s="21" t="s">
        <v>2196</v>
      </c>
      <c r="B231" s="21" t="s">
        <v>1197</v>
      </c>
      <c r="C231" s="21" t="str">
        <f t="array" ref="C231">XLOOKUP(B231,Customer[Customer_ID],Customer[Name(Cleaned)])</f>
        <v>Frank Stewart</v>
      </c>
      <c r="D231" s="22" t="str">
        <f>VLOOKUP(B231,Customer[#ALL],6)</f>
        <v>Male</v>
      </c>
      <c r="E231" s="23">
        <f>Sales[Order_Date]</f>
        <v>45797</v>
      </c>
      <c r="F231" s="21" t="str">
        <f>Sales[Store_ID]</f>
        <v>STORE18</v>
      </c>
      <c r="G231" s="21" t="str">
        <f t="array" ref="G231">INDEX(Store[Store_Name],MATCH(F231,Store[Store_ID],0))</f>
        <v>Guerrero-Schmitt</v>
      </c>
      <c r="H231" s="21" t="str">
        <f>Sales[Product_ID]</f>
        <v>PROD15</v>
      </c>
      <c r="I231" s="21" t="str">
        <f>VLOOKUP(H231,Products[],2)</f>
        <v>4K Home Projector</v>
      </c>
      <c r="J231" s="24">
        <f>Sales[Total_Amount]</f>
        <v>593.79</v>
      </c>
      <c r="K231" s="21" t="str">
        <f t="shared" si="1"/>
        <v>May</v>
      </c>
      <c r="L231" s="21">
        <f t="shared" si="2"/>
        <v>2025</v>
      </c>
      <c r="N231" s="33"/>
      <c r="O231" s="34"/>
    </row>
    <row r="232" ht="22.5" customHeight="1">
      <c r="A232" s="21" t="s">
        <v>2197</v>
      </c>
      <c r="B232" s="21" t="s">
        <v>1089</v>
      </c>
      <c r="C232" s="21" t="str">
        <f t="array" ref="C232">XLOOKUP(B232,Customer[Customer_ID],Customer[Name(Cleaned)])</f>
        <v>Michelle Cunningham</v>
      </c>
      <c r="D232" s="22" t="str">
        <f>VLOOKUP(B232,Customer[#ALL],6)</f>
        <v>Male</v>
      </c>
      <c r="E232" s="23">
        <f>Sales[Order_Date]</f>
        <v>45575</v>
      </c>
      <c r="F232" s="21" t="str">
        <f>Sales[Store_ID]</f>
        <v>STORE11</v>
      </c>
      <c r="G232" s="21" t="str">
        <f t="array" ref="G232">INDEX(Store[Store_Name],MATCH(F232,Store[Store_ID],0))</f>
        <v>Aguirre-Keller</v>
      </c>
      <c r="H232" s="21" t="str">
        <f>Sales[Product_ID]</f>
        <v>PROD87</v>
      </c>
      <c r="I232" s="21" t="str">
        <f>VLOOKUP(H232,Products[],2)</f>
        <v>LED Bedside Lamp</v>
      </c>
      <c r="J232" s="24">
        <f>Sales[Total_Amount]</f>
        <v>1900.1136</v>
      </c>
      <c r="K232" s="21" t="str">
        <f t="shared" si="1"/>
        <v>Oct</v>
      </c>
      <c r="L232" s="21">
        <f t="shared" si="2"/>
        <v>2024</v>
      </c>
      <c r="N232" s="33"/>
      <c r="O232" s="34"/>
    </row>
    <row r="233" ht="22.5" customHeight="1">
      <c r="A233" s="21" t="s">
        <v>2198</v>
      </c>
      <c r="B233" s="21" t="s">
        <v>1262</v>
      </c>
      <c r="C233" s="21" t="str">
        <f t="array" ref="C233">XLOOKUP(B233,Customer[Customer_ID],Customer[Name(Cleaned)])</f>
        <v>Mark Rogers</v>
      </c>
      <c r="D233" s="22" t="str">
        <f>VLOOKUP(B233,Customer[#ALL],6)</f>
        <v>Male</v>
      </c>
      <c r="E233" s="23">
        <f>Sales[Order_Date]</f>
        <v>45566</v>
      </c>
      <c r="F233" s="21" t="str">
        <f>Sales[Store_ID]</f>
        <v>STORE4</v>
      </c>
      <c r="G233" s="21" t="str">
        <f t="array" ref="G233">INDEX(Store[Store_Name],MATCH(F233,Store[Store_ID],0))</f>
        <v>Alexander Group</v>
      </c>
      <c r="H233" s="21" t="str">
        <f>Sales[Product_ID]</f>
        <v>PROD39</v>
      </c>
      <c r="I233" s="21" t="str">
        <f>VLOOKUP(H233,Products[],2)</f>
        <v>Portable Power Bank</v>
      </c>
      <c r="J233" s="24">
        <f>Sales[Total_Amount]</f>
        <v>2950.14</v>
      </c>
      <c r="K233" s="21" t="str">
        <f t="shared" si="1"/>
        <v>Oct</v>
      </c>
      <c r="L233" s="21">
        <f t="shared" si="2"/>
        <v>2024</v>
      </c>
      <c r="N233" s="33"/>
      <c r="O233" s="34"/>
    </row>
    <row r="234" ht="22.5" customHeight="1">
      <c r="A234" s="21" t="s">
        <v>2199</v>
      </c>
      <c r="B234" s="21" t="s">
        <v>767</v>
      </c>
      <c r="C234" s="21" t="str">
        <f t="array" ref="C234">XLOOKUP(B234,Customer[Customer_ID],Customer[Name(Cleaned)])</f>
        <v>Nathaniel Hill</v>
      </c>
      <c r="D234" s="22" t="str">
        <f>VLOOKUP(B234,Customer[#ALL],6)</f>
        <v>Male</v>
      </c>
      <c r="E234" s="23">
        <f>Sales[Order_Date]</f>
        <v>45252</v>
      </c>
      <c r="F234" s="21" t="str">
        <f>Sales[Store_ID]</f>
        <v>STORE9</v>
      </c>
      <c r="G234" s="21" t="str">
        <f t="array" ref="G234">INDEX(Store[Store_Name],MATCH(F234,Store[Store_ID],0))</f>
        <v>Moore, Padilla and Butler</v>
      </c>
      <c r="H234" s="21" t="str">
        <f>Sales[Product_ID]</f>
        <v>PROD99</v>
      </c>
      <c r="I234" s="21" t="str">
        <f>VLOOKUP(H234,Products[],2)</f>
        <v>Stainless Steel Cookware Set</v>
      </c>
      <c r="J234" s="24">
        <f>Sales[Total_Amount]</f>
        <v>821.3516</v>
      </c>
      <c r="K234" s="21" t="str">
        <f t="shared" si="1"/>
        <v>Nov</v>
      </c>
      <c r="L234" s="21">
        <f t="shared" si="2"/>
        <v>2023</v>
      </c>
      <c r="N234" s="33"/>
      <c r="O234" s="34"/>
    </row>
    <row r="235" ht="22.5" customHeight="1">
      <c r="A235" s="21" t="s">
        <v>2200</v>
      </c>
      <c r="B235" s="21" t="s">
        <v>1119</v>
      </c>
      <c r="C235" s="21" t="str">
        <f t="array" ref="C235">XLOOKUP(B235,Customer[Customer_ID],Customer[Name(Cleaned)])</f>
        <v>Michael Greene</v>
      </c>
      <c r="D235" s="22" t="str">
        <f>VLOOKUP(B235,Customer[#ALL],6)</f>
        <v>Male</v>
      </c>
      <c r="E235" s="23">
        <f>Sales[Order_Date]</f>
        <v>45693</v>
      </c>
      <c r="F235" s="21" t="str">
        <f>Sales[Store_ID]</f>
        <v>STORE15</v>
      </c>
      <c r="G235" s="21" t="str">
        <f t="array" ref="G235">INDEX(Store[Store_Name],MATCH(F235,Store[Store_ID],0))</f>
        <v>Shelton PLC</v>
      </c>
      <c r="H235" s="21" t="str">
        <f>Sales[Product_ID]</f>
        <v>PROD59</v>
      </c>
      <c r="I235" s="21" t="str">
        <f>VLOOKUP(H235,Products[],2)</f>
        <v>Men's Hair Styling Gel</v>
      </c>
      <c r="J235" s="24">
        <f>Sales[Total_Amount]</f>
        <v>1756.5324</v>
      </c>
      <c r="K235" s="21" t="str">
        <f t="shared" si="1"/>
        <v>Feb</v>
      </c>
      <c r="L235" s="21">
        <f t="shared" si="2"/>
        <v>2025</v>
      </c>
      <c r="N235" s="33"/>
      <c r="O235" s="34"/>
    </row>
    <row r="236" ht="22.5" customHeight="1">
      <c r="A236" s="21" t="s">
        <v>2201</v>
      </c>
      <c r="B236" s="21" t="s">
        <v>1014</v>
      </c>
      <c r="C236" s="21" t="str">
        <f t="array" ref="C236">XLOOKUP(B236,Customer[Customer_ID],Customer[Name(Cleaned)])</f>
        <v>Tiffany Williams</v>
      </c>
      <c r="D236" s="22" t="str">
        <f>VLOOKUP(B236,Customer[#ALL],6)</f>
        <v>Male</v>
      </c>
      <c r="E236" s="23">
        <f>Sales[Order_Date]</f>
        <v>45446</v>
      </c>
      <c r="F236" s="21" t="str">
        <f>Sales[Store_ID]</f>
        <v>STORE16</v>
      </c>
      <c r="G236" s="21" t="str">
        <f t="array" ref="G236">INDEX(Store[Store_Name],MATCH(F236,Store[Store_ID],0))</f>
        <v>Frederick-Wright</v>
      </c>
      <c r="H236" s="21" t="str">
        <f>Sales[Product_ID]</f>
        <v>PROD8</v>
      </c>
      <c r="I236" s="21" t="str">
        <f>VLOOKUP(H236,Products[],2)</f>
        <v>Decorative Lamp Shade</v>
      </c>
      <c r="J236" s="24">
        <f>Sales[Total_Amount]</f>
        <v>1568.943</v>
      </c>
      <c r="K236" s="21" t="str">
        <f t="shared" si="1"/>
        <v>Jun</v>
      </c>
      <c r="L236" s="21">
        <f t="shared" si="2"/>
        <v>2024</v>
      </c>
      <c r="N236" s="33"/>
      <c r="O236" s="34"/>
    </row>
    <row r="237" ht="22.5" customHeight="1">
      <c r="A237" s="21" t="s">
        <v>2202</v>
      </c>
      <c r="B237" s="21" t="s">
        <v>213</v>
      </c>
      <c r="C237" s="21" t="str">
        <f t="array" ref="C237">XLOOKUP(B237,Customer[Customer_ID],Customer[Name(Cleaned)])</f>
        <v>Katherine Dorsey</v>
      </c>
      <c r="D237" s="22" t="str">
        <f>VLOOKUP(B237,Customer[#ALL],6)</f>
        <v>Female</v>
      </c>
      <c r="E237" s="23">
        <f>Sales[Order_Date]</f>
        <v>45862</v>
      </c>
      <c r="F237" s="21" t="str">
        <f>Sales[Store_ID]</f>
        <v>STORE4</v>
      </c>
      <c r="G237" s="21" t="str">
        <f t="array" ref="G237">INDEX(Store[Store_Name],MATCH(F237,Store[Store_ID],0))</f>
        <v>Alexander Group</v>
      </c>
      <c r="H237" s="21" t="str">
        <f>Sales[Product_ID]</f>
        <v>PROD30</v>
      </c>
      <c r="I237" s="21" t="str">
        <f>VLOOKUP(H237,Products[],2)</f>
        <v>Stainless Steel Cutlery Set</v>
      </c>
      <c r="J237" s="24">
        <f>Sales[Total_Amount]</f>
        <v>548.062</v>
      </c>
      <c r="K237" s="21" t="str">
        <f t="shared" si="1"/>
        <v>Jul</v>
      </c>
      <c r="L237" s="21">
        <f t="shared" si="2"/>
        <v>2025</v>
      </c>
      <c r="N237" s="33"/>
      <c r="O237" s="34"/>
    </row>
    <row r="238" ht="22.5" customHeight="1">
      <c r="A238" s="21" t="s">
        <v>2203</v>
      </c>
      <c r="B238" s="21" t="s">
        <v>857</v>
      </c>
      <c r="C238" s="21" t="str">
        <f t="array" ref="C238">XLOOKUP(B238,Customer[Customer_ID],Customer[Name(Cleaned)])</f>
        <v>Matthew Payne</v>
      </c>
      <c r="D238" s="22" t="str">
        <f>VLOOKUP(B238,Customer[#ALL],6)</f>
        <v>Female</v>
      </c>
      <c r="E238" s="23">
        <f>Sales[Order_Date]</f>
        <v>45558</v>
      </c>
      <c r="F238" s="21" t="str">
        <f>Sales[Store_ID]</f>
        <v>STORE10</v>
      </c>
      <c r="G238" s="21" t="str">
        <f t="array" ref="G238">INDEX(Store[Store_Name],MATCH(F238,Store[Store_ID],0))</f>
        <v>Hill, Wagner and Ballard</v>
      </c>
      <c r="H238" s="21" t="str">
        <f>Sales[Product_ID]</f>
        <v>PROD22</v>
      </c>
      <c r="I238" s="21" t="str">
        <f>VLOOKUP(H238,Products[],2)</f>
        <v>Carbon Fiber Tennis Racket</v>
      </c>
      <c r="J238" s="24">
        <f>Sales[Total_Amount]</f>
        <v>1245.312</v>
      </c>
      <c r="K238" s="21" t="str">
        <f t="shared" si="1"/>
        <v>Sep</v>
      </c>
      <c r="L238" s="21">
        <f t="shared" si="2"/>
        <v>2024</v>
      </c>
      <c r="N238" s="33"/>
      <c r="O238" s="34"/>
    </row>
    <row r="239" ht="22.5" customHeight="1">
      <c r="A239" s="21" t="s">
        <v>2204</v>
      </c>
      <c r="B239" s="21" t="s">
        <v>303</v>
      </c>
      <c r="C239" s="21" t="str">
        <f t="array" ref="C239">XLOOKUP(B239,Customer[Customer_ID],Customer[Name(Cleaned)])</f>
        <v>Krystal Ford</v>
      </c>
      <c r="D239" s="22" t="str">
        <f>VLOOKUP(B239,Customer[#ALL],6)</f>
        <v>Male</v>
      </c>
      <c r="E239" s="23">
        <f>Sales[Order_Date]</f>
        <v>45530</v>
      </c>
      <c r="F239" s="21" t="str">
        <f>Sales[Store_ID]</f>
        <v>STORE8</v>
      </c>
      <c r="G239" s="21" t="str">
        <f t="array" ref="G239">INDEX(Store[Store_Name],MATCH(F239,Store[Store_ID],0))</f>
        <v>Bean, Jones and Park</v>
      </c>
      <c r="H239" s="21" t="str">
        <f>Sales[Product_ID]</f>
        <v>PROD36</v>
      </c>
      <c r="I239" s="21" t="str">
        <f>VLOOKUP(H239,Products[],2)</f>
        <v>Women's Summer Dress</v>
      </c>
      <c r="J239" s="24">
        <f>Sales[Total_Amount]</f>
        <v>954.0608</v>
      </c>
      <c r="K239" s="21" t="str">
        <f t="shared" si="1"/>
        <v>Aug</v>
      </c>
      <c r="L239" s="21">
        <f t="shared" si="2"/>
        <v>2024</v>
      </c>
      <c r="N239" s="33"/>
      <c r="O239" s="34"/>
    </row>
    <row r="240" ht="22.5" customHeight="1">
      <c r="A240" s="21" t="s">
        <v>2205</v>
      </c>
      <c r="B240" s="21" t="s">
        <v>78</v>
      </c>
      <c r="C240" s="21" t="str">
        <f t="array" ref="C240">XLOOKUP(B240,Customer[Customer_ID],Customer[Name(Cleaned)])</f>
        <v>Laura Alvarez</v>
      </c>
      <c r="D240" s="22" t="str">
        <f>VLOOKUP(B240,Customer[#ALL],6)</f>
        <v>Male</v>
      </c>
      <c r="E240" s="23">
        <f>Sales[Order_Date]</f>
        <v>45558</v>
      </c>
      <c r="F240" s="21" t="str">
        <f>Sales[Store_ID]</f>
        <v>STORE6</v>
      </c>
      <c r="G240" s="21" t="str">
        <f t="array" ref="G240">INDEX(Store[Store_Name],MATCH(F240,Store[Store_ID],0))</f>
        <v>Benson-Elliott</v>
      </c>
      <c r="H240" s="21" t="str">
        <f>Sales[Product_ID]</f>
        <v>PROD35</v>
      </c>
      <c r="I240" s="21" t="str">
        <f>VLOOKUP(H240,Products[],2)</f>
        <v>Bedroom Table Lamp</v>
      </c>
      <c r="J240" s="24">
        <f>Sales[Total_Amount]</f>
        <v>1194.9028</v>
      </c>
      <c r="K240" s="21" t="str">
        <f t="shared" si="1"/>
        <v>Sep</v>
      </c>
      <c r="L240" s="21">
        <f t="shared" si="2"/>
        <v>2024</v>
      </c>
      <c r="N240" s="33"/>
      <c r="O240" s="34"/>
    </row>
    <row r="241" ht="22.5" customHeight="1">
      <c r="A241" s="21" t="s">
        <v>2206</v>
      </c>
      <c r="B241" s="21" t="s">
        <v>1534</v>
      </c>
      <c r="C241" s="21" t="str">
        <f t="array" ref="C241">XLOOKUP(B241,Customer[Customer_ID],Customer[Name(Cleaned)])</f>
        <v>Justin Lopez</v>
      </c>
      <c r="D241" s="22" t="str">
        <f>VLOOKUP(B241,Customer[#ALL],6)</f>
        <v>Female</v>
      </c>
      <c r="E241" s="23">
        <f>Sales[Order_Date]</f>
        <v>45472</v>
      </c>
      <c r="F241" s="21" t="str">
        <f>Sales[Store_ID]</f>
        <v>STORE14</v>
      </c>
      <c r="G241" s="21" t="str">
        <f t="array" ref="G241">INDEX(Store[Store_Name],MATCH(F241,Store[Store_ID],0))</f>
        <v>Mcdonald Inc</v>
      </c>
      <c r="H241" s="21" t="str">
        <f>Sales[Product_ID]</f>
        <v>PROD17</v>
      </c>
      <c r="I241" s="21" t="str">
        <f>VLOOKUP(H241,Products[],2)</f>
        <v>Soccer Training Cone Set</v>
      </c>
      <c r="J241" s="24">
        <f>Sales[Total_Amount]</f>
        <v>3220.3444</v>
      </c>
      <c r="K241" s="21" t="str">
        <f t="shared" si="1"/>
        <v>Jun</v>
      </c>
      <c r="L241" s="21">
        <f t="shared" si="2"/>
        <v>2024</v>
      </c>
      <c r="N241" s="33"/>
      <c r="O241" s="34"/>
    </row>
    <row r="242" ht="22.5" customHeight="1">
      <c r="A242" s="21" t="s">
        <v>2207</v>
      </c>
      <c r="B242" s="21" t="s">
        <v>812</v>
      </c>
      <c r="C242" s="21" t="str">
        <f t="array" ref="C242">XLOOKUP(B242,Customer[Customer_ID],Customer[Name(Cleaned)])</f>
        <v>Lauren George</v>
      </c>
      <c r="D242" s="22" t="str">
        <f>VLOOKUP(B242,Customer[#ALL],6)</f>
        <v>Male</v>
      </c>
      <c r="E242" s="23">
        <f>Sales[Order_Date]</f>
        <v>45809</v>
      </c>
      <c r="F242" s="21" t="str">
        <f>Sales[Store_ID]</f>
        <v>STORE4</v>
      </c>
      <c r="G242" s="21" t="str">
        <f t="array" ref="G242">INDEX(Store[Store_Name],MATCH(F242,Store[Store_ID],0))</f>
        <v>Alexander Group</v>
      </c>
      <c r="H242" s="21" t="str">
        <f>Sales[Product_ID]</f>
        <v>PROD72</v>
      </c>
      <c r="I242" s="21" t="str">
        <f>VLOOKUP(H242,Products[],2)</f>
        <v>Professional Jump Rope</v>
      </c>
      <c r="J242" s="24">
        <f>Sales[Total_Amount]</f>
        <v>40.9761</v>
      </c>
      <c r="K242" s="21" t="str">
        <f t="shared" si="1"/>
        <v>Jun</v>
      </c>
      <c r="L242" s="21">
        <f t="shared" si="2"/>
        <v>2025</v>
      </c>
      <c r="N242" s="33"/>
      <c r="O242" s="34"/>
    </row>
    <row r="243" ht="22.5" customHeight="1">
      <c r="A243" s="21" t="s">
        <v>2208</v>
      </c>
      <c r="B243" s="21" t="s">
        <v>561</v>
      </c>
      <c r="C243" s="21" t="str">
        <f t="array" ref="C243">XLOOKUP(B243,Customer[Customer_ID],Customer[Name(Cleaned)])</f>
        <v>Jason Wheeler</v>
      </c>
      <c r="D243" s="22" t="str">
        <f>VLOOKUP(B243,Customer[#ALL],6)</f>
        <v>Male</v>
      </c>
      <c r="E243" s="23">
        <f>Sales[Order_Date]</f>
        <v>45783</v>
      </c>
      <c r="F243" s="21" t="str">
        <f>Sales[Store_ID]</f>
        <v>STORE9</v>
      </c>
      <c r="G243" s="21" t="str">
        <f t="array" ref="G243">INDEX(Store[Store_Name],MATCH(F243,Store[Store_ID],0))</f>
        <v>Moore, Padilla and Butler</v>
      </c>
      <c r="H243" s="21" t="str">
        <f>Sales[Product_ID]</f>
        <v>PROD57</v>
      </c>
      <c r="I243" s="21" t="str">
        <f>VLOOKUP(H243,Products[],2)</f>
        <v>Foam Roller</v>
      </c>
      <c r="J243" s="24">
        <f>Sales[Total_Amount]</f>
        <v>189.6176</v>
      </c>
      <c r="K243" s="21" t="str">
        <f t="shared" si="1"/>
        <v>May</v>
      </c>
      <c r="L243" s="21">
        <f t="shared" si="2"/>
        <v>2025</v>
      </c>
      <c r="N243" s="33"/>
      <c r="O243" s="34"/>
    </row>
    <row r="244" ht="22.5" customHeight="1">
      <c r="A244" s="21" t="s">
        <v>2209</v>
      </c>
      <c r="B244" s="21" t="s">
        <v>1101</v>
      </c>
      <c r="C244" s="21" t="str">
        <f t="array" ref="C244">XLOOKUP(B244,Customer[Customer_ID],Customer[Name(Cleaned)])</f>
        <v>John Jordan</v>
      </c>
      <c r="D244" s="22" t="str">
        <f>VLOOKUP(B244,Customer[#ALL],6)</f>
        <v>Male</v>
      </c>
      <c r="E244" s="23">
        <f>Sales[Order_Date]</f>
        <v>45849</v>
      </c>
      <c r="F244" s="21" t="str">
        <f>Sales[Store_ID]</f>
        <v>STORE9</v>
      </c>
      <c r="G244" s="21" t="str">
        <f t="array" ref="G244">INDEX(Store[Store_Name],MATCH(F244,Store[Store_ID],0))</f>
        <v>Moore, Padilla and Butler</v>
      </c>
      <c r="H244" s="21" t="str">
        <f>Sales[Product_ID]</f>
        <v>PROD46</v>
      </c>
      <c r="I244" s="21" t="str">
        <f>VLOOKUP(H244,Products[],2)</f>
        <v>Men's Winter Jacket</v>
      </c>
      <c r="J244" s="24">
        <f>Sales[Total_Amount]</f>
        <v>264.915</v>
      </c>
      <c r="K244" s="21" t="str">
        <f t="shared" si="1"/>
        <v>Jul</v>
      </c>
      <c r="L244" s="21">
        <f t="shared" si="2"/>
        <v>2025</v>
      </c>
      <c r="N244" s="33"/>
      <c r="O244" s="34"/>
    </row>
    <row r="245" ht="22.5" customHeight="1">
      <c r="A245" s="21" t="s">
        <v>2210</v>
      </c>
      <c r="B245" s="21" t="s">
        <v>364</v>
      </c>
      <c r="C245" s="21" t="str">
        <f t="array" ref="C245">XLOOKUP(B245,Customer[Customer_ID],Customer[Name(Cleaned)])</f>
        <v>Diane Watson</v>
      </c>
      <c r="D245" s="22" t="str">
        <f>VLOOKUP(B245,Customer[#ALL],6)</f>
        <v>Male</v>
      </c>
      <c r="E245" s="23">
        <f>Sales[Order_Date]</f>
        <v>45281</v>
      </c>
      <c r="F245" s="21" t="str">
        <f>Sales[Store_ID]</f>
        <v>STORE19</v>
      </c>
      <c r="G245" s="21" t="str">
        <f t="array" ref="G245">INDEX(Store[Store_Name],MATCH(F245,Store[Store_ID],0))</f>
        <v>Mann-Austin</v>
      </c>
      <c r="H245" s="21" t="str">
        <f>Sales[Product_ID]</f>
        <v>PROD13</v>
      </c>
      <c r="I245" s="21" t="str">
        <f>VLOOKUP(H245,Products[],2)</f>
        <v>USB-C Fast Charger</v>
      </c>
      <c r="J245" s="24">
        <f>Sales[Total_Amount]</f>
        <v>1369.1216</v>
      </c>
      <c r="K245" s="21" t="str">
        <f t="shared" si="1"/>
        <v>Dec</v>
      </c>
      <c r="L245" s="21">
        <f t="shared" si="2"/>
        <v>2023</v>
      </c>
      <c r="N245" s="33"/>
      <c r="O245" s="34"/>
    </row>
    <row r="246" ht="22.5" customHeight="1">
      <c r="A246" s="21" t="s">
        <v>2211</v>
      </c>
      <c r="B246" s="21" t="s">
        <v>549</v>
      </c>
      <c r="C246" s="21" t="str">
        <f t="array" ref="C246">XLOOKUP(B246,Customer[Customer_ID],Customer[Name(Cleaned)])</f>
        <v>Cynthia Morris</v>
      </c>
      <c r="D246" s="22" t="str">
        <f>VLOOKUP(B246,Customer[#ALL],6)</f>
        <v>Male</v>
      </c>
      <c r="E246" s="23">
        <f>Sales[Order_Date]</f>
        <v>45322</v>
      </c>
      <c r="F246" s="21" t="str">
        <f>Sales[Store_ID]</f>
        <v>STORE10</v>
      </c>
      <c r="G246" s="21" t="str">
        <f t="array" ref="G246">INDEX(Store[Store_Name],MATCH(F246,Store[Store_ID],0))</f>
        <v>Hill, Wagner and Ballard</v>
      </c>
      <c r="H246" s="21" t="str">
        <f>Sales[Product_ID]</f>
        <v>PROD37</v>
      </c>
      <c r="I246" s="21" t="str">
        <f>VLOOKUP(H246,Products[],2)</f>
        <v>Men's Casual Sneakers</v>
      </c>
      <c r="J246" s="24">
        <f>Sales[Total_Amount]</f>
        <v>331.17</v>
      </c>
      <c r="K246" s="21" t="str">
        <f t="shared" si="1"/>
        <v>Jan</v>
      </c>
      <c r="L246" s="21">
        <f t="shared" si="2"/>
        <v>2024</v>
      </c>
      <c r="N246" s="33"/>
      <c r="O246" s="34"/>
    </row>
    <row r="247" ht="22.5" customHeight="1">
      <c r="A247" s="21" t="s">
        <v>2212</v>
      </c>
      <c r="B247" s="21" t="s">
        <v>219</v>
      </c>
      <c r="C247" s="21" t="str">
        <f t="array" ref="C247">XLOOKUP(B247,Customer[Customer_ID],Customer[Name(Cleaned)])</f>
        <v>Christopher Sutton</v>
      </c>
      <c r="D247" s="22" t="str">
        <f>VLOOKUP(B247,Customer[#ALL],6)</f>
        <v>Male</v>
      </c>
      <c r="E247" s="23">
        <f>Sales[Order_Date]</f>
        <v>45560</v>
      </c>
      <c r="F247" s="21" t="str">
        <f>Sales[Store_ID]</f>
        <v>STORE2</v>
      </c>
      <c r="G247" s="21" t="str">
        <f t="array" ref="G247">INDEX(Store[Store_Name],MATCH(F247,Store[Store_ID],0))</f>
        <v>Black-Horn</v>
      </c>
      <c r="H247" s="21" t="str">
        <f>Sales[Product_ID]</f>
        <v>PROD88</v>
      </c>
      <c r="I247" s="21" t="str">
        <f>VLOOKUP(H247,Products[],2)</f>
        <v>Sports Wrist Sweatbands</v>
      </c>
      <c r="J247" s="24">
        <f>Sales[Total_Amount]</f>
        <v>1275.799</v>
      </c>
      <c r="K247" s="21" t="str">
        <f t="shared" si="1"/>
        <v>Sep</v>
      </c>
      <c r="L247" s="21">
        <f t="shared" si="2"/>
        <v>2024</v>
      </c>
      <c r="N247" s="33"/>
      <c r="O247" s="34"/>
    </row>
    <row r="248" ht="22.5" customHeight="1">
      <c r="A248" s="21" t="s">
        <v>2213</v>
      </c>
      <c r="B248" s="21" t="s">
        <v>132</v>
      </c>
      <c r="C248" s="21" t="str">
        <f t="array" ref="C248">XLOOKUP(B248,Customer[Customer_ID],Customer[Name(Cleaned)])</f>
        <v>Jessica Acevedo</v>
      </c>
      <c r="D248" s="22" t="str">
        <f>VLOOKUP(B248,Customer[#ALL],6)</f>
        <v>Male</v>
      </c>
      <c r="E248" s="23">
        <f>Sales[Order_Date]</f>
        <v>45905</v>
      </c>
      <c r="F248" s="21" t="str">
        <f>Sales[Store_ID]</f>
        <v>STORE15</v>
      </c>
      <c r="G248" s="21" t="str">
        <f t="array" ref="G248">INDEX(Store[Store_Name],MATCH(F248,Store[Store_ID],0))</f>
        <v>Shelton PLC</v>
      </c>
      <c r="H248" s="21" t="str">
        <f>Sales[Product_ID]</f>
        <v>PROD35</v>
      </c>
      <c r="I248" s="21" t="str">
        <f>VLOOKUP(H248,Products[],2)</f>
        <v>Bedroom Table Lamp</v>
      </c>
      <c r="J248" s="24">
        <f>Sales[Total_Amount]</f>
        <v>1926.15</v>
      </c>
      <c r="K248" s="21" t="str">
        <f t="shared" si="1"/>
        <v>Sep</v>
      </c>
      <c r="L248" s="21">
        <f t="shared" si="2"/>
        <v>2025</v>
      </c>
      <c r="N248" s="33"/>
      <c r="O248" s="34"/>
    </row>
    <row r="249" ht="22.5" customHeight="1">
      <c r="A249" s="21" t="s">
        <v>2214</v>
      </c>
      <c r="B249" s="21" t="s">
        <v>1077</v>
      </c>
      <c r="C249" s="21" t="str">
        <f t="array" ref="C249">XLOOKUP(B249,Customer[Customer_ID],Customer[Name(Cleaned)])</f>
        <v>Jasmine Snyder</v>
      </c>
      <c r="D249" s="22" t="str">
        <f>VLOOKUP(B249,Customer[#ALL],6)</f>
        <v>Male</v>
      </c>
      <c r="E249" s="23">
        <f>Sales[Order_Date]</f>
        <v>45886</v>
      </c>
      <c r="F249" s="21" t="str">
        <f>Sales[Store_ID]</f>
        <v>STORE7</v>
      </c>
      <c r="G249" s="21" t="str">
        <f t="array" ref="G249">INDEX(Store[Store_Name],MATCH(F249,Store[Store_ID],0))</f>
        <v>Martinez-Mullins</v>
      </c>
      <c r="H249" s="21" t="str">
        <f>Sales[Product_ID]</f>
        <v>PROD50</v>
      </c>
      <c r="I249" s="21" t="str">
        <f>VLOOKUP(H249,Products[],2)</f>
        <v>Boxing Hand Wraps</v>
      </c>
      <c r="J249" s="24">
        <f>Sales[Total_Amount]</f>
        <v>379.6992</v>
      </c>
      <c r="K249" s="21" t="str">
        <f t="shared" si="1"/>
        <v>Aug</v>
      </c>
      <c r="L249" s="21">
        <f t="shared" si="2"/>
        <v>2025</v>
      </c>
      <c r="N249" s="33"/>
      <c r="O249" s="34"/>
    </row>
    <row r="250" ht="22.5" customHeight="1">
      <c r="A250" s="21" t="s">
        <v>2215</v>
      </c>
      <c r="B250" s="21" t="s">
        <v>1002</v>
      </c>
      <c r="C250" s="21" t="str">
        <f t="array" ref="C250">XLOOKUP(B250,Customer[Customer_ID],Customer[Name(Cleaned)])</f>
        <v>Elizabeth Jones</v>
      </c>
      <c r="D250" s="22" t="str">
        <f>VLOOKUP(B250,Customer[#ALL],6)</f>
        <v>Female</v>
      </c>
      <c r="E250" s="23">
        <f>Sales[Order_Date]</f>
        <v>45531</v>
      </c>
      <c r="F250" s="21" t="str">
        <f>Sales[Store_ID]</f>
        <v>STORE7</v>
      </c>
      <c r="G250" s="21" t="str">
        <f t="array" ref="G250">INDEX(Store[Store_Name],MATCH(F250,Store[Store_ID],0))</f>
        <v>Martinez-Mullins</v>
      </c>
      <c r="H250" s="21" t="str">
        <f>Sales[Product_ID]</f>
        <v>PROD84</v>
      </c>
      <c r="I250" s="21" t="str">
        <f>VLOOKUP(H250,Products[],2)</f>
        <v>Wooden Bookshelf</v>
      </c>
      <c r="J250" s="24">
        <f>Sales[Total_Amount]</f>
        <v>1370.5232</v>
      </c>
      <c r="K250" s="21" t="str">
        <f t="shared" si="1"/>
        <v>Aug</v>
      </c>
      <c r="L250" s="21">
        <f t="shared" si="2"/>
        <v>2024</v>
      </c>
      <c r="N250" s="33"/>
      <c r="O250" s="34"/>
    </row>
    <row r="251" ht="22.5" customHeight="1">
      <c r="A251" s="21" t="s">
        <v>2216</v>
      </c>
      <c r="B251" s="21" t="s">
        <v>59</v>
      </c>
      <c r="C251" s="21" t="str">
        <f t="array" ref="C251">XLOOKUP(B251,Customer[Customer_ID],Customer[Name(Cleaned)])</f>
        <v>Dominic Page</v>
      </c>
      <c r="D251" s="22" t="str">
        <f>VLOOKUP(B251,Customer[#ALL],6)</f>
        <v>Female</v>
      </c>
      <c r="E251" s="23">
        <f>Sales[Order_Date]</f>
        <v>45216</v>
      </c>
      <c r="F251" s="21" t="str">
        <f>Sales[Store_ID]</f>
        <v>STORE19</v>
      </c>
      <c r="G251" s="21" t="str">
        <f t="array" ref="G251">INDEX(Store[Store_Name],MATCH(F251,Store[Store_ID],0))</f>
        <v>Mann-Austin</v>
      </c>
      <c r="H251" s="21" t="str">
        <f>Sales[Product_ID]</f>
        <v>PROD52</v>
      </c>
      <c r="I251" s="21" t="str">
        <f>VLOOKUP(H251,Products[],2)</f>
        <v>Rugby Ball</v>
      </c>
      <c r="J251" s="24">
        <f>Sales[Total_Amount]</f>
        <v>679.1862</v>
      </c>
      <c r="K251" s="21" t="str">
        <f t="shared" si="1"/>
        <v>Oct</v>
      </c>
      <c r="L251" s="21">
        <f t="shared" si="2"/>
        <v>2023</v>
      </c>
      <c r="N251" s="33"/>
      <c r="O251" s="34"/>
    </row>
    <row r="252" ht="22.5" customHeight="1">
      <c r="A252" s="21" t="s">
        <v>2217</v>
      </c>
      <c r="B252" s="21" t="s">
        <v>306</v>
      </c>
      <c r="C252" s="21" t="str">
        <f t="array" ref="C252">XLOOKUP(B252,Customer[Customer_ID],Customer[Name(Cleaned)])</f>
        <v>George Rosario</v>
      </c>
      <c r="D252" s="22" t="str">
        <f>VLOOKUP(B252,Customer[#ALL],6)</f>
        <v>Female</v>
      </c>
      <c r="E252" s="23">
        <f>Sales[Order_Date]</f>
        <v>45384</v>
      </c>
      <c r="F252" s="21" t="str">
        <f>Sales[Store_ID]</f>
        <v>STORE2</v>
      </c>
      <c r="G252" s="21" t="str">
        <f t="array" ref="G252">INDEX(Store[Store_Name],MATCH(F252,Store[Store_ID],0))</f>
        <v>Black-Horn</v>
      </c>
      <c r="H252" s="21" t="str">
        <f>Sales[Product_ID]</f>
        <v>PROD25</v>
      </c>
      <c r="I252" s="21" t="str">
        <f>VLOOKUP(H252,Products[],2)</f>
        <v>Women's Scarf Set</v>
      </c>
      <c r="J252" s="24">
        <f>Sales[Total_Amount]</f>
        <v>1053.7551</v>
      </c>
      <c r="K252" s="21" t="str">
        <f t="shared" si="1"/>
        <v>Apr</v>
      </c>
      <c r="L252" s="21">
        <f t="shared" si="2"/>
        <v>2024</v>
      </c>
      <c r="N252" s="33"/>
      <c r="O252" s="34"/>
    </row>
    <row r="253" ht="22.5" customHeight="1">
      <c r="A253" s="21" t="s">
        <v>2218</v>
      </c>
      <c r="B253" s="21" t="s">
        <v>546</v>
      </c>
      <c r="C253" s="21" t="str">
        <f t="array" ref="C253">XLOOKUP(B253,Customer[Customer_ID],Customer[Name(Cleaned)])</f>
        <v>John Lawson</v>
      </c>
      <c r="D253" s="22" t="str">
        <f>VLOOKUP(B253,Customer[#ALL],6)</f>
        <v>Male</v>
      </c>
      <c r="E253" s="23">
        <f>Sales[Order_Date]</f>
        <v>45416</v>
      </c>
      <c r="F253" s="21" t="str">
        <f>Sales[Store_ID]</f>
        <v>STORE7</v>
      </c>
      <c r="G253" s="21" t="str">
        <f t="array" ref="G253">INDEX(Store[Store_Name],MATCH(F253,Store[Store_ID],0))</f>
        <v>Martinez-Mullins</v>
      </c>
      <c r="H253" s="21" t="str">
        <f>Sales[Product_ID]</f>
        <v>PROD10</v>
      </c>
      <c r="I253" s="21" t="str">
        <f>VLOOKUP(H253,Products[],2)</f>
        <v>Men's Graphic T-Shirt</v>
      </c>
      <c r="J253" s="24">
        <f>Sales[Total_Amount]</f>
        <v>333.8509</v>
      </c>
      <c r="K253" s="21" t="str">
        <f t="shared" si="1"/>
        <v>May</v>
      </c>
      <c r="L253" s="21">
        <f t="shared" si="2"/>
        <v>2024</v>
      </c>
      <c r="N253" s="33"/>
      <c r="O253" s="34"/>
    </row>
    <row r="254" ht="22.5" customHeight="1">
      <c r="A254" s="21" t="s">
        <v>2219</v>
      </c>
      <c r="B254" s="21" t="s">
        <v>797</v>
      </c>
      <c r="C254" s="21" t="str">
        <f t="array" ref="C254">XLOOKUP(B254,Customer[Customer_ID],Customer[Name(Cleaned)])</f>
        <v>Nancy Page</v>
      </c>
      <c r="D254" s="22" t="str">
        <f>VLOOKUP(B254,Customer[#ALL],6)</f>
        <v>Female</v>
      </c>
      <c r="E254" s="23">
        <f>Sales[Order_Date]</f>
        <v>45880</v>
      </c>
      <c r="F254" s="21" t="str">
        <f>Sales[Store_ID]</f>
        <v>STORE6</v>
      </c>
      <c r="G254" s="21" t="str">
        <f t="array" ref="G254">INDEX(Store[Store_Name],MATCH(F254,Store[Store_ID],0))</f>
        <v>Benson-Elliott</v>
      </c>
      <c r="H254" s="21" t="str">
        <f>Sales[Product_ID]</f>
        <v>PROD76</v>
      </c>
      <c r="I254" s="21" t="str">
        <f>VLOOKUP(H254,Products[],2)</f>
        <v>Wireless Mouse</v>
      </c>
      <c r="J254" s="24">
        <f>Sales[Total_Amount]</f>
        <v>819.7176</v>
      </c>
      <c r="K254" s="21" t="str">
        <f t="shared" si="1"/>
        <v>Aug</v>
      </c>
      <c r="L254" s="21">
        <f t="shared" si="2"/>
        <v>2025</v>
      </c>
      <c r="N254" s="33"/>
      <c r="O254" s="34"/>
    </row>
    <row r="255" ht="22.5" customHeight="1">
      <c r="A255" s="21" t="s">
        <v>2220</v>
      </c>
      <c r="B255" s="21" t="s">
        <v>720</v>
      </c>
      <c r="C255" s="21" t="str">
        <f t="array" ref="C255">XLOOKUP(B255,Customer[Customer_ID],Customer[Name(Cleaned)])</f>
        <v>Julia Jackson</v>
      </c>
      <c r="D255" s="22" t="str">
        <f>VLOOKUP(B255,Customer[#ALL],6)</f>
        <v>Female</v>
      </c>
      <c r="E255" s="23">
        <f>Sales[Order_Date]</f>
        <v>45933</v>
      </c>
      <c r="F255" s="21" t="str">
        <f>Sales[Store_ID]</f>
        <v>STORE18</v>
      </c>
      <c r="G255" s="21" t="str">
        <f t="array" ref="G255">INDEX(Store[Store_Name],MATCH(F255,Store[Store_ID],0))</f>
        <v>Guerrero-Schmitt</v>
      </c>
      <c r="H255" s="21" t="str">
        <f>Sales[Product_ID]</f>
        <v>PROD92</v>
      </c>
      <c r="I255" s="21" t="str">
        <f>VLOOKUP(H255,Products[],2)</f>
        <v>Microwave Oven</v>
      </c>
      <c r="J255" s="24">
        <f>Sales[Total_Amount]</f>
        <v>1187.898</v>
      </c>
      <c r="K255" s="21" t="str">
        <f t="shared" si="1"/>
        <v>Oct</v>
      </c>
      <c r="L255" s="21">
        <f t="shared" si="2"/>
        <v>2025</v>
      </c>
      <c r="N255" s="33"/>
      <c r="O255" s="34"/>
    </row>
    <row r="256" ht="22.5" customHeight="1">
      <c r="A256" s="21" t="s">
        <v>2221</v>
      </c>
      <c r="B256" s="21" t="s">
        <v>1032</v>
      </c>
      <c r="C256" s="21" t="str">
        <f t="array" ref="C256">XLOOKUP(B256,Customer[Customer_ID],Customer[Name(Cleaned)])</f>
        <v>Kristy Dunlap</v>
      </c>
      <c r="D256" s="22" t="str">
        <f>VLOOKUP(B256,Customer[#ALL],6)</f>
        <v>Male</v>
      </c>
      <c r="E256" s="23">
        <f>Sales[Order_Date]</f>
        <v>45345</v>
      </c>
      <c r="F256" s="21" t="str">
        <f>Sales[Store_ID]</f>
        <v>STORE18</v>
      </c>
      <c r="G256" s="21" t="str">
        <f t="array" ref="G256">INDEX(Store[Store_Name],MATCH(F256,Store[Store_ID],0))</f>
        <v>Guerrero-Schmitt</v>
      </c>
      <c r="H256" s="21" t="str">
        <f>Sales[Product_ID]</f>
        <v>PROD19</v>
      </c>
      <c r="I256" s="21" t="str">
        <f>VLOOKUP(H256,Products[],2)</f>
        <v>Knee Support Brace</v>
      </c>
      <c r="J256" s="24">
        <f>Sales[Total_Amount]</f>
        <v>2093.6736</v>
      </c>
      <c r="K256" s="21" t="str">
        <f t="shared" si="1"/>
        <v>Feb</v>
      </c>
      <c r="L256" s="21">
        <f t="shared" si="2"/>
        <v>2024</v>
      </c>
      <c r="N256" s="33"/>
      <c r="O256" s="34"/>
    </row>
    <row r="257" ht="22.5" customHeight="1">
      <c r="A257" s="21" t="s">
        <v>2222</v>
      </c>
      <c r="B257" s="21" t="s">
        <v>1285</v>
      </c>
      <c r="C257" s="21" t="str">
        <f t="array" ref="C257">XLOOKUP(B257,Customer[Customer_ID],Customer[Name(Cleaned)])</f>
        <v>Isabel Foster</v>
      </c>
      <c r="D257" s="22" t="str">
        <f>VLOOKUP(B257,Customer[#ALL],6)</f>
        <v>Female</v>
      </c>
      <c r="E257" s="23">
        <f>Sales[Order_Date]</f>
        <v>45681</v>
      </c>
      <c r="F257" s="21" t="str">
        <f>Sales[Store_ID]</f>
        <v>STORE9</v>
      </c>
      <c r="G257" s="21" t="str">
        <f t="array" ref="G257">INDEX(Store[Store_Name],MATCH(F257,Store[Store_ID],0))</f>
        <v>Moore, Padilla and Butler</v>
      </c>
      <c r="H257" s="21" t="str">
        <f>Sales[Product_ID]</f>
        <v>PROD59</v>
      </c>
      <c r="I257" s="21" t="str">
        <f>VLOOKUP(H257,Products[],2)</f>
        <v>Men's Hair Styling Gel</v>
      </c>
      <c r="J257" s="24">
        <f>Sales[Total_Amount]</f>
        <v>202.9836</v>
      </c>
      <c r="K257" s="21" t="str">
        <f t="shared" si="1"/>
        <v>Jan</v>
      </c>
      <c r="L257" s="21">
        <f t="shared" si="2"/>
        <v>2025</v>
      </c>
      <c r="N257" s="33"/>
      <c r="O257" s="34"/>
    </row>
    <row r="258" ht="22.5" customHeight="1">
      <c r="A258" s="21" t="s">
        <v>2223</v>
      </c>
      <c r="B258" s="21" t="s">
        <v>47</v>
      </c>
      <c r="C258" s="21" t="str">
        <f t="array" ref="C258">XLOOKUP(B258,Customer[Customer_ID],Customer[Name(Cleaned)])</f>
        <v>Daniel Boyd</v>
      </c>
      <c r="D258" s="22" t="str">
        <f>VLOOKUP(B258,Customer[#ALL],6)</f>
        <v>Male</v>
      </c>
      <c r="E258" s="23">
        <f>Sales[Order_Date]</f>
        <v>45785</v>
      </c>
      <c r="F258" s="21" t="str">
        <f>Sales[Store_ID]</f>
        <v>STORE14</v>
      </c>
      <c r="G258" s="21" t="str">
        <f t="array" ref="G258">INDEX(Store[Store_Name],MATCH(F258,Store[Store_ID],0))</f>
        <v>Mcdonald Inc</v>
      </c>
      <c r="H258" s="21" t="str">
        <f>Sales[Product_ID]</f>
        <v>PROD5</v>
      </c>
      <c r="I258" s="21" t="str">
        <f>VLOOKUP(H258,Products[],2)</f>
        <v>Men's Roll-On Perfume</v>
      </c>
      <c r="J258" s="24">
        <f>Sales[Total_Amount]</f>
        <v>32.6592</v>
      </c>
      <c r="K258" s="21" t="str">
        <f t="shared" si="1"/>
        <v>May</v>
      </c>
      <c r="L258" s="21">
        <f t="shared" si="2"/>
        <v>2025</v>
      </c>
      <c r="N258" s="33"/>
      <c r="O258" s="34"/>
    </row>
    <row r="259" ht="22.5" customHeight="1">
      <c r="A259" s="21" t="s">
        <v>2224</v>
      </c>
      <c r="B259" s="21" t="s">
        <v>292</v>
      </c>
      <c r="C259" s="21" t="str">
        <f t="array" ref="C259">XLOOKUP(B259,Customer[Customer_ID],Customer[Name(Cleaned)])</f>
        <v>Cody Blake</v>
      </c>
      <c r="D259" s="22" t="str">
        <f>VLOOKUP(B259,Customer[#ALL],6)</f>
        <v>Female</v>
      </c>
      <c r="E259" s="23">
        <f>Sales[Order_Date]</f>
        <v>45823</v>
      </c>
      <c r="F259" s="21" t="str">
        <f>Sales[Store_ID]</f>
        <v>STORE17</v>
      </c>
      <c r="G259" s="21" t="str">
        <f t="array" ref="G259">INDEX(Store[Store_Name],MATCH(F259,Store[Store_ID],0))</f>
        <v>Holloway Ltd</v>
      </c>
      <c r="H259" s="21" t="str">
        <f>Sales[Product_ID]</f>
        <v>PROD16</v>
      </c>
      <c r="I259" s="21" t="str">
        <f>VLOOKUP(H259,Products[],2)</f>
        <v>Beard Grooming Kit</v>
      </c>
      <c r="J259" s="24">
        <f>Sales[Total_Amount]</f>
        <v>1031.7507</v>
      </c>
      <c r="K259" s="21" t="str">
        <f t="shared" si="1"/>
        <v>Jun</v>
      </c>
      <c r="L259" s="21">
        <f t="shared" si="2"/>
        <v>2025</v>
      </c>
      <c r="N259" s="33"/>
      <c r="O259" s="34"/>
    </row>
    <row r="260" ht="22.5" customHeight="1">
      <c r="A260" s="21" t="s">
        <v>2225</v>
      </c>
      <c r="B260" s="21" t="s">
        <v>1482</v>
      </c>
      <c r="C260" s="21" t="str">
        <f t="array" ref="C260">XLOOKUP(B260,Customer[Customer_ID],Customer[Name(Cleaned)])</f>
        <v>Elizabeth Foster</v>
      </c>
      <c r="D260" s="22" t="str">
        <f>VLOOKUP(B260,Customer[#ALL],6)</f>
        <v>Male</v>
      </c>
      <c r="E260" s="23">
        <f>Sales[Order_Date]</f>
        <v>45674</v>
      </c>
      <c r="F260" s="21" t="str">
        <f>Sales[Store_ID]</f>
        <v>STORE2</v>
      </c>
      <c r="G260" s="21" t="str">
        <f t="array" ref="G260">INDEX(Store[Store_Name],MATCH(F260,Store[Store_ID],0))</f>
        <v>Black-Horn</v>
      </c>
      <c r="H260" s="21" t="str">
        <f>Sales[Product_ID]</f>
        <v>PROD40</v>
      </c>
      <c r="I260" s="21" t="str">
        <f>VLOOKUP(H260,Products[],2)</f>
        <v>Noise-Canceling Headphones</v>
      </c>
      <c r="J260" s="24">
        <f>Sales[Total_Amount]</f>
        <v>893.382</v>
      </c>
      <c r="K260" s="21" t="str">
        <f t="shared" si="1"/>
        <v>Jan</v>
      </c>
      <c r="L260" s="21">
        <f t="shared" si="2"/>
        <v>2025</v>
      </c>
      <c r="N260" s="33"/>
      <c r="O260" s="34"/>
    </row>
    <row r="261" ht="22.5" customHeight="1">
      <c r="A261" s="21" t="s">
        <v>2226</v>
      </c>
      <c r="B261" s="21" t="s">
        <v>89</v>
      </c>
      <c r="C261" s="21" t="str">
        <f t="array" ref="C261">XLOOKUP(B261,Customer[Customer_ID],Customer[Name(Cleaned)])</f>
        <v>Rhonda Moss</v>
      </c>
      <c r="D261" s="22" t="str">
        <f>VLOOKUP(B261,Customer[#ALL],6)</f>
        <v>Female</v>
      </c>
      <c r="E261" s="23">
        <f>Sales[Order_Date]</f>
        <v>45572</v>
      </c>
      <c r="F261" s="21" t="str">
        <f>Sales[Store_ID]</f>
        <v>STORE15</v>
      </c>
      <c r="G261" s="21" t="str">
        <f t="array" ref="G261">INDEX(Store[Store_Name],MATCH(F261,Store[Store_ID],0))</f>
        <v>Shelton PLC</v>
      </c>
      <c r="H261" s="21" t="str">
        <f>Sales[Product_ID]</f>
        <v>PROD80</v>
      </c>
      <c r="I261" s="21" t="str">
        <f>VLOOKUP(H261,Products[],2)</f>
        <v>Wall-Mounted Spice Rack</v>
      </c>
      <c r="J261" s="24">
        <f>Sales[Total_Amount]</f>
        <v>1746.712</v>
      </c>
      <c r="K261" s="21" t="str">
        <f t="shared" si="1"/>
        <v>Oct</v>
      </c>
      <c r="L261" s="21">
        <f t="shared" si="2"/>
        <v>2024</v>
      </c>
      <c r="N261" s="33"/>
      <c r="O261" s="34"/>
    </row>
    <row r="262" ht="22.5" customHeight="1">
      <c r="A262" s="21" t="s">
        <v>2227</v>
      </c>
      <c r="B262" s="21" t="s">
        <v>1359</v>
      </c>
      <c r="C262" s="21" t="str">
        <f t="array" ref="C262">XLOOKUP(B262,Customer[Customer_ID],Customer[Name(Cleaned)])</f>
        <v>Thomas Moore</v>
      </c>
      <c r="D262" s="22" t="str">
        <f>VLOOKUP(B262,Customer[#ALL],6)</f>
        <v>Male</v>
      </c>
      <c r="E262" s="23">
        <f>Sales[Order_Date]</f>
        <v>45259</v>
      </c>
      <c r="F262" s="21" t="str">
        <f>Sales[Store_ID]</f>
        <v>STORE6</v>
      </c>
      <c r="G262" s="21" t="str">
        <f t="array" ref="G262">INDEX(Store[Store_Name],MATCH(F262,Store[Store_ID],0))</f>
        <v>Benson-Elliott</v>
      </c>
      <c r="H262" s="21" t="str">
        <f>Sales[Product_ID]</f>
        <v>PROD71</v>
      </c>
      <c r="I262" s="21" t="str">
        <f>VLOOKUP(H262,Products[],2)</f>
        <v>Hair Repair Oil Treatment</v>
      </c>
      <c r="J262" s="24">
        <f>Sales[Total_Amount]</f>
        <v>1754.94</v>
      </c>
      <c r="K262" s="21" t="str">
        <f t="shared" si="1"/>
        <v>Nov</v>
      </c>
      <c r="L262" s="21">
        <f t="shared" si="2"/>
        <v>2023</v>
      </c>
      <c r="N262" s="33"/>
      <c r="O262" s="34"/>
    </row>
    <row r="263" ht="22.5" customHeight="1">
      <c r="A263" s="21" t="s">
        <v>2228</v>
      </c>
      <c r="B263" s="21" t="s">
        <v>911</v>
      </c>
      <c r="C263" s="21" t="str">
        <f t="array" ref="C263">XLOOKUP(B263,Customer[Customer_ID],Customer[Name(Cleaned)])</f>
        <v>Kristi Lopez</v>
      </c>
      <c r="D263" s="22" t="str">
        <f>VLOOKUP(B263,Customer[#ALL],6)</f>
        <v>Male</v>
      </c>
      <c r="E263" s="23">
        <f>Sales[Order_Date]</f>
        <v>45740</v>
      </c>
      <c r="F263" s="21" t="str">
        <f>Sales[Store_ID]</f>
        <v>STORE17</v>
      </c>
      <c r="G263" s="21" t="str">
        <f t="array" ref="G263">INDEX(Store[Store_Name],MATCH(F263,Store[Store_ID],0))</f>
        <v>Holloway Ltd</v>
      </c>
      <c r="H263" s="21" t="str">
        <f>Sales[Product_ID]</f>
        <v>PROD70</v>
      </c>
      <c r="I263" s="21" t="str">
        <f>VLOOKUP(H263,Products[],2)</f>
        <v>Kitchen Storage Rack</v>
      </c>
      <c r="J263" s="24">
        <f>Sales[Total_Amount]</f>
        <v>530.2116</v>
      </c>
      <c r="K263" s="21" t="str">
        <f t="shared" si="1"/>
        <v>Mar</v>
      </c>
      <c r="L263" s="21">
        <f t="shared" si="2"/>
        <v>2025</v>
      </c>
      <c r="N263" s="33"/>
      <c r="O263" s="34"/>
    </row>
    <row r="264" ht="22.5" customHeight="1">
      <c r="A264" s="21" t="s">
        <v>2229</v>
      </c>
      <c r="B264" s="21" t="s">
        <v>896</v>
      </c>
      <c r="C264" s="21" t="str">
        <f t="array" ref="C264">XLOOKUP(B264,Customer[Customer_ID],Customer[Name(Cleaned)])</f>
        <v>Jeffrey Gomez</v>
      </c>
      <c r="D264" s="22" t="str">
        <f>VLOOKUP(B264,Customer[#ALL],6)</f>
        <v>Male</v>
      </c>
      <c r="E264" s="23">
        <f>Sales[Order_Date]</f>
        <v>45869</v>
      </c>
      <c r="F264" s="21" t="str">
        <f>Sales[Store_ID]</f>
        <v>STORE15</v>
      </c>
      <c r="G264" s="21" t="str">
        <f t="array" ref="G264">INDEX(Store[Store_Name],MATCH(F264,Store[Store_ID],0))</f>
        <v>Shelton PLC</v>
      </c>
      <c r="H264" s="21" t="str">
        <f>Sales[Product_ID]</f>
        <v>PROD7</v>
      </c>
      <c r="I264" s="21" t="str">
        <f>VLOOKUP(H264,Products[],2)</f>
        <v>Men's Sports Shorts</v>
      </c>
      <c r="J264" s="24">
        <f>Sales[Total_Amount]</f>
        <v>2035.854</v>
      </c>
      <c r="K264" s="21" t="str">
        <f t="shared" si="1"/>
        <v>Jul</v>
      </c>
      <c r="L264" s="21">
        <f t="shared" si="2"/>
        <v>2025</v>
      </c>
      <c r="N264" s="33"/>
      <c r="O264" s="34"/>
    </row>
    <row r="265" ht="22.5" customHeight="1">
      <c r="A265" s="21" t="s">
        <v>2230</v>
      </c>
      <c r="B265" s="21" t="s">
        <v>1215</v>
      </c>
      <c r="C265" s="21" t="str">
        <f t="array" ref="C265">XLOOKUP(B265,Customer[Customer_ID],Customer[Name(Cleaned)])</f>
        <v>Andrew Mason</v>
      </c>
      <c r="D265" s="22" t="str">
        <f>VLOOKUP(B265,Customer[#ALL],6)</f>
        <v>Male</v>
      </c>
      <c r="E265" s="23">
        <f>Sales[Order_Date]</f>
        <v>45526</v>
      </c>
      <c r="F265" s="21" t="str">
        <f>Sales[Store_ID]</f>
        <v>STORE12</v>
      </c>
      <c r="G265" s="21" t="str">
        <f t="array" ref="G265">INDEX(Store[Store_Name],MATCH(F265,Store[Store_ID],0))</f>
        <v>Thomas, Bridges and Harris</v>
      </c>
      <c r="H265" s="21" t="str">
        <f>Sales[Product_ID]</f>
        <v>PROD34</v>
      </c>
      <c r="I265" s="21" t="str">
        <f>VLOOKUP(H265,Products[],2)</f>
        <v>Gaming Mechanical Keyboard</v>
      </c>
      <c r="J265" s="24">
        <f>Sales[Total_Amount]</f>
        <v>361.4592</v>
      </c>
      <c r="K265" s="21" t="str">
        <f t="shared" si="1"/>
        <v>Aug</v>
      </c>
      <c r="L265" s="21">
        <f t="shared" si="2"/>
        <v>2024</v>
      </c>
      <c r="N265" s="33"/>
      <c r="O265" s="34"/>
    </row>
    <row r="266" ht="22.5" customHeight="1">
      <c r="A266" s="21" t="s">
        <v>2231</v>
      </c>
      <c r="B266" s="21" t="s">
        <v>1459</v>
      </c>
      <c r="C266" s="21" t="str">
        <f t="array" ref="C266">XLOOKUP(B266,Customer[Customer_ID],Customer[Name(Cleaned)])</f>
        <v>Gregory Curtis</v>
      </c>
      <c r="D266" s="22" t="str">
        <f>VLOOKUP(B266,Customer[#ALL],6)</f>
        <v>Female</v>
      </c>
      <c r="E266" s="23">
        <f>Sales[Order_Date]</f>
        <v>45489</v>
      </c>
      <c r="F266" s="21" t="str">
        <f>Sales[Store_ID]</f>
        <v>STORE15</v>
      </c>
      <c r="G266" s="21" t="str">
        <f t="array" ref="G266">INDEX(Store[Store_Name],MATCH(F266,Store[Store_ID],0))</f>
        <v>Shelton PLC</v>
      </c>
      <c r="H266" s="21" t="str">
        <f>Sales[Product_ID]</f>
        <v>PROD1</v>
      </c>
      <c r="I266" s="21" t="str">
        <f>VLOOKUP(H266,Products[],2)</f>
        <v>Men's Graphic T-Shirt</v>
      </c>
      <c r="J266" s="24">
        <f>Sales[Total_Amount]</f>
        <v>953.451</v>
      </c>
      <c r="K266" s="21" t="str">
        <f t="shared" si="1"/>
        <v>Jul</v>
      </c>
      <c r="L266" s="21">
        <f t="shared" si="2"/>
        <v>2024</v>
      </c>
      <c r="N266" s="33"/>
      <c r="O266" s="34"/>
    </row>
    <row r="267" ht="22.5" customHeight="1">
      <c r="A267" s="21" t="s">
        <v>2232</v>
      </c>
      <c r="B267" s="21" t="s">
        <v>782</v>
      </c>
      <c r="C267" s="21" t="str">
        <f t="array" ref="C267">XLOOKUP(B267,Customer[Customer_ID],Customer[Name(Cleaned)])</f>
        <v>Maria Hill</v>
      </c>
      <c r="D267" s="22" t="str">
        <f>VLOOKUP(B267,Customer[#ALL],6)</f>
        <v>Male</v>
      </c>
      <c r="E267" s="23">
        <f>Sales[Order_Date]</f>
        <v>45908</v>
      </c>
      <c r="F267" s="21" t="str">
        <f>Sales[Store_ID]</f>
        <v>STORE7</v>
      </c>
      <c r="G267" s="21" t="str">
        <f t="array" ref="G267">INDEX(Store[Store_Name],MATCH(F267,Store[Store_ID],0))</f>
        <v>Martinez-Mullins</v>
      </c>
      <c r="H267" s="21" t="str">
        <f>Sales[Product_ID]</f>
        <v>PROD86</v>
      </c>
      <c r="I267" s="21" t="str">
        <f>VLOOKUP(H267,Products[],2)</f>
        <v>Kitchen Cutting Board</v>
      </c>
      <c r="J267" s="24">
        <f>Sales[Total_Amount]</f>
        <v>685.307</v>
      </c>
      <c r="K267" s="21" t="str">
        <f t="shared" si="1"/>
        <v>Sep</v>
      </c>
      <c r="L267" s="21">
        <f t="shared" si="2"/>
        <v>2025</v>
      </c>
      <c r="N267" s="33"/>
      <c r="O267" s="34"/>
    </row>
    <row r="268" ht="22.5" customHeight="1">
      <c r="A268" s="21" t="s">
        <v>2233</v>
      </c>
      <c r="B268" s="21" t="s">
        <v>469</v>
      </c>
      <c r="C268" s="21" t="str">
        <f t="array" ref="C268">XLOOKUP(B268,Customer[Customer_ID],Customer[Name(Cleaned)])</f>
        <v>Morgan Bowen</v>
      </c>
      <c r="D268" s="22" t="str">
        <f>VLOOKUP(B268,Customer[#ALL],6)</f>
        <v>Female</v>
      </c>
      <c r="E268" s="23">
        <f>Sales[Order_Date]</f>
        <v>45912</v>
      </c>
      <c r="F268" s="21" t="str">
        <f>Sales[Store_ID]</f>
        <v>STORE13</v>
      </c>
      <c r="G268" s="21" t="str">
        <f t="array" ref="G268">INDEX(Store[Store_Name],MATCH(F268,Store[Store_ID],0))</f>
        <v>Gardner, Humphrey and Contreras</v>
      </c>
      <c r="H268" s="21" t="str">
        <f>Sales[Product_ID]</f>
        <v>PROD90</v>
      </c>
      <c r="I268" s="21" t="str">
        <f>VLOOKUP(H268,Products[],2)</f>
        <v>Gaming Mouse Pad XL</v>
      </c>
      <c r="J268" s="24">
        <f>Sales[Total_Amount]</f>
        <v>584.046</v>
      </c>
      <c r="K268" s="21" t="str">
        <f t="shared" si="1"/>
        <v>Sep</v>
      </c>
      <c r="L268" s="21">
        <f t="shared" si="2"/>
        <v>2025</v>
      </c>
      <c r="N268" s="33"/>
      <c r="O268" s="34"/>
    </row>
    <row r="269" ht="22.5" customHeight="1">
      <c r="A269" s="21" t="s">
        <v>2234</v>
      </c>
      <c r="B269" s="21" t="s">
        <v>646</v>
      </c>
      <c r="C269" s="21" t="str">
        <f t="array" ref="C269">XLOOKUP(B269,Customer[Customer_ID],Customer[Name(Cleaned)])</f>
        <v>David Roberts</v>
      </c>
      <c r="D269" s="22" t="str">
        <f>VLOOKUP(B269,Customer[#ALL],6)</f>
        <v>Female</v>
      </c>
      <c r="E269" s="23">
        <f>Sales[Order_Date]</f>
        <v>45771</v>
      </c>
      <c r="F269" s="21" t="str">
        <f>Sales[Store_ID]</f>
        <v>STORE8</v>
      </c>
      <c r="G269" s="21" t="str">
        <f t="array" ref="G269">INDEX(Store[Store_Name],MATCH(F269,Store[Store_ID],0))</f>
        <v>Bean, Jones and Park</v>
      </c>
      <c r="H269" s="21" t="str">
        <f>Sales[Product_ID]</f>
        <v>PROD83</v>
      </c>
      <c r="I269" s="21" t="str">
        <f>VLOOKUP(H269,Products[],2)</f>
        <v>Hydrating Face Cleanser</v>
      </c>
      <c r="J269" s="24">
        <f>Sales[Total_Amount]</f>
        <v>530.145</v>
      </c>
      <c r="K269" s="21" t="str">
        <f t="shared" si="1"/>
        <v>Apr</v>
      </c>
      <c r="L269" s="21">
        <f t="shared" si="2"/>
        <v>2025</v>
      </c>
      <c r="N269" s="33"/>
      <c r="O269" s="34"/>
    </row>
    <row r="270" ht="22.5" customHeight="1">
      <c r="A270" s="21" t="s">
        <v>2235</v>
      </c>
      <c r="B270" s="21" t="s">
        <v>312</v>
      </c>
      <c r="C270" s="21" t="str">
        <f t="array" ref="C270">XLOOKUP(B270,Customer[Customer_ID],Customer[Name(Cleaned)])</f>
        <v>Christy Hoffman</v>
      </c>
      <c r="D270" s="22" t="str">
        <f>VLOOKUP(B270,Customer[#ALL],6)</f>
        <v>Male</v>
      </c>
      <c r="E270" s="23">
        <f>Sales[Order_Date]</f>
        <v>45619</v>
      </c>
      <c r="F270" s="21" t="str">
        <f>Sales[Store_ID]</f>
        <v>STORE9</v>
      </c>
      <c r="G270" s="21" t="str">
        <f t="array" ref="G270">INDEX(Store[Store_Name],MATCH(F270,Store[Store_ID],0))</f>
        <v>Moore, Padilla and Butler</v>
      </c>
      <c r="H270" s="21" t="str">
        <f>Sales[Product_ID]</f>
        <v>PROD70</v>
      </c>
      <c r="I270" s="21" t="str">
        <f>VLOOKUP(H270,Products[],2)</f>
        <v>Kitchen Storage Rack</v>
      </c>
      <c r="J270" s="24">
        <f>Sales[Total_Amount]</f>
        <v>3721.52</v>
      </c>
      <c r="K270" s="21" t="str">
        <f t="shared" si="1"/>
        <v>Nov</v>
      </c>
      <c r="L270" s="21">
        <f t="shared" si="2"/>
        <v>2024</v>
      </c>
      <c r="N270" s="33"/>
      <c r="O270" s="34"/>
    </row>
    <row r="271" ht="22.5" customHeight="1">
      <c r="A271" s="21" t="s">
        <v>2236</v>
      </c>
      <c r="B271" s="21" t="s">
        <v>322</v>
      </c>
      <c r="C271" s="21" t="str">
        <f t="array" ref="C271">XLOOKUP(B271,Customer[Customer_ID],Customer[Name(Cleaned)])</f>
        <v>Melissa Duffy Md</v>
      </c>
      <c r="D271" s="22" t="str">
        <f>VLOOKUP(B271,Customer[#ALL],6)</f>
        <v>Male</v>
      </c>
      <c r="E271" s="23">
        <f>Sales[Order_Date]</f>
        <v>45777</v>
      </c>
      <c r="F271" s="21" t="str">
        <f>Sales[Store_ID]</f>
        <v>STORE3</v>
      </c>
      <c r="G271" s="21" t="str">
        <f t="array" ref="G271">INDEX(Store[Store_Name],MATCH(F271,Store[Store_ID],0))</f>
        <v>Johnson-Wright</v>
      </c>
      <c r="H271" s="21" t="str">
        <f>Sales[Product_ID]</f>
        <v>PROD14</v>
      </c>
      <c r="I271" s="21" t="str">
        <f>VLOOKUP(H271,Products[],2)</f>
        <v>Decorative Wall Mirror</v>
      </c>
      <c r="J271" s="24">
        <f>Sales[Total_Amount]</f>
        <v>70.96</v>
      </c>
      <c r="K271" s="21" t="str">
        <f t="shared" si="1"/>
        <v>Apr</v>
      </c>
      <c r="L271" s="21">
        <f t="shared" si="2"/>
        <v>2025</v>
      </c>
      <c r="N271" s="33"/>
      <c r="O271" s="34"/>
    </row>
    <row r="272" ht="22.5" customHeight="1">
      <c r="A272" s="21" t="s">
        <v>2237</v>
      </c>
      <c r="B272" s="21" t="s">
        <v>498</v>
      </c>
      <c r="C272" s="21" t="str">
        <f t="array" ref="C272">XLOOKUP(B272,Customer[Customer_ID],Customer[Name(Cleaned)])</f>
        <v>Justin Cross</v>
      </c>
      <c r="D272" s="22" t="str">
        <f>VLOOKUP(B272,Customer[#ALL],6)</f>
        <v>Male</v>
      </c>
      <c r="E272" s="23">
        <f>Sales[Order_Date]</f>
        <v>45394</v>
      </c>
      <c r="F272" s="21" t="str">
        <f>Sales[Store_ID]</f>
        <v>STORE5</v>
      </c>
      <c r="G272" s="21" t="str">
        <f t="array" ref="G272">INDEX(Store[Store_Name],MATCH(F272,Store[Store_ID],0))</f>
        <v>Gray Ltd</v>
      </c>
      <c r="H272" s="21" t="str">
        <f>Sales[Product_ID]</f>
        <v>PROD27</v>
      </c>
      <c r="I272" s="21" t="str">
        <f>VLOOKUP(H272,Products[],2)</f>
        <v>Decorative Floor Vase</v>
      </c>
      <c r="J272" s="24">
        <f>Sales[Total_Amount]</f>
        <v>665.5168</v>
      </c>
      <c r="K272" s="21" t="str">
        <f t="shared" si="1"/>
        <v>Apr</v>
      </c>
      <c r="L272" s="21">
        <f t="shared" si="2"/>
        <v>2024</v>
      </c>
      <c r="N272" s="33"/>
      <c r="O272" s="34"/>
    </row>
    <row r="273" ht="22.5" customHeight="1">
      <c r="A273" s="21" t="s">
        <v>2238</v>
      </c>
      <c r="B273" s="21" t="s">
        <v>266</v>
      </c>
      <c r="C273" s="21" t="str">
        <f t="array" ref="C273">XLOOKUP(B273,Customer[Customer_ID],Customer[Name(Cleaned)])</f>
        <v>Eric Singh</v>
      </c>
      <c r="D273" s="22" t="str">
        <f>VLOOKUP(B273,Customer[#ALL],6)</f>
        <v>Male</v>
      </c>
      <c r="E273" s="23">
        <f>Sales[Order_Date]</f>
        <v>45786</v>
      </c>
      <c r="F273" s="21" t="str">
        <f>Sales[Store_ID]</f>
        <v>STORE16</v>
      </c>
      <c r="G273" s="21" t="str">
        <f t="array" ref="G273">INDEX(Store[Store_Name],MATCH(F273,Store[Store_ID],0))</f>
        <v>Frederick-Wright</v>
      </c>
      <c r="H273" s="21" t="str">
        <f>Sales[Product_ID]</f>
        <v>PROD16</v>
      </c>
      <c r="I273" s="21" t="str">
        <f>VLOOKUP(H273,Products[],2)</f>
        <v>Beard Grooming Kit</v>
      </c>
      <c r="J273" s="24">
        <f>Sales[Total_Amount]</f>
        <v>229.3564</v>
      </c>
      <c r="K273" s="21" t="str">
        <f t="shared" si="1"/>
        <v>May</v>
      </c>
      <c r="L273" s="21">
        <f t="shared" si="2"/>
        <v>2025</v>
      </c>
      <c r="N273" s="33"/>
      <c r="O273" s="34"/>
    </row>
    <row r="274" ht="22.5" customHeight="1">
      <c r="A274" s="21" t="s">
        <v>2239</v>
      </c>
      <c r="B274" s="21" t="s">
        <v>1371</v>
      </c>
      <c r="C274" s="21" t="str">
        <f t="array" ref="C274">XLOOKUP(B274,Customer[Customer_ID],Customer[Name(Cleaned)])</f>
        <v>Melinda Rivera</v>
      </c>
      <c r="D274" s="22" t="str">
        <f>VLOOKUP(B274,Customer[#ALL],6)</f>
        <v>Male</v>
      </c>
      <c r="E274" s="23">
        <f>Sales[Order_Date]</f>
        <v>45692</v>
      </c>
      <c r="F274" s="21" t="str">
        <f>Sales[Store_ID]</f>
        <v>STORE15</v>
      </c>
      <c r="G274" s="21" t="str">
        <f t="array" ref="G274">INDEX(Store[Store_Name],MATCH(F274,Store[Store_ID],0))</f>
        <v>Shelton PLC</v>
      </c>
      <c r="H274" s="21" t="str">
        <f>Sales[Product_ID]</f>
        <v>PROD83</v>
      </c>
      <c r="I274" s="21" t="str">
        <f>VLOOKUP(H274,Products[],2)</f>
        <v>Hydrating Face Cleanser</v>
      </c>
      <c r="J274" s="24">
        <f>Sales[Total_Amount]</f>
        <v>800.5812</v>
      </c>
      <c r="K274" s="21" t="str">
        <f t="shared" si="1"/>
        <v>Feb</v>
      </c>
      <c r="L274" s="21">
        <f t="shared" si="2"/>
        <v>2025</v>
      </c>
      <c r="N274" s="33"/>
      <c r="O274" s="34"/>
    </row>
    <row r="275" ht="22.5" customHeight="1">
      <c r="A275" s="21" t="s">
        <v>2240</v>
      </c>
      <c r="B275" s="21" t="s">
        <v>343</v>
      </c>
      <c r="C275" s="21" t="str">
        <f t="array" ref="C275">XLOOKUP(B275,Customer[Customer_ID],Customer[Name(Cleaned)])</f>
        <v>Christy Vasquez</v>
      </c>
      <c r="D275" s="22" t="str">
        <f>VLOOKUP(B275,Customer[#ALL],6)</f>
        <v>Male</v>
      </c>
      <c r="E275" s="23">
        <f>Sales[Order_Date]</f>
        <v>45677</v>
      </c>
      <c r="F275" s="21" t="str">
        <f>Sales[Store_ID]</f>
        <v>STORE13</v>
      </c>
      <c r="G275" s="21" t="str">
        <f t="array" ref="G275">INDEX(Store[Store_Name],MATCH(F275,Store[Store_ID],0))</f>
        <v>Gardner, Humphrey and Contreras</v>
      </c>
      <c r="H275" s="21" t="str">
        <f>Sales[Product_ID]</f>
        <v>PROD48</v>
      </c>
      <c r="I275" s="21" t="str">
        <f>VLOOKUP(H275,Products[],2)</f>
        <v>Car Dashboard Phone Holder</v>
      </c>
      <c r="J275" s="24">
        <f>Sales[Total_Amount]</f>
        <v>122.968</v>
      </c>
      <c r="K275" s="21" t="str">
        <f t="shared" si="1"/>
        <v>Jan</v>
      </c>
      <c r="L275" s="21">
        <f t="shared" si="2"/>
        <v>2025</v>
      </c>
      <c r="N275" s="33"/>
      <c r="O275" s="34"/>
    </row>
    <row r="276" ht="22.5" customHeight="1">
      <c r="A276" s="21" t="s">
        <v>2241</v>
      </c>
      <c r="B276" s="21" t="s">
        <v>1218</v>
      </c>
      <c r="C276" s="21" t="str">
        <f t="array" ref="C276">XLOOKUP(B276,Customer[Customer_ID],Customer[Name(Cleaned)])</f>
        <v>Tammy Brennan</v>
      </c>
      <c r="D276" s="22" t="str">
        <f>VLOOKUP(B276,Customer[#ALL],6)</f>
        <v>Female</v>
      </c>
      <c r="E276" s="23">
        <f>Sales[Order_Date]</f>
        <v>45669</v>
      </c>
      <c r="F276" s="21" t="str">
        <f>Sales[Store_ID]</f>
        <v>STORE17</v>
      </c>
      <c r="G276" s="21" t="str">
        <f t="array" ref="G276">INDEX(Store[Store_Name],MATCH(F276,Store[Store_ID],0))</f>
        <v>Holloway Ltd</v>
      </c>
      <c r="H276" s="21" t="str">
        <f>Sales[Product_ID]</f>
        <v>PROD38</v>
      </c>
      <c r="I276" s="21" t="str">
        <f>VLOOKUP(H276,Products[],2)</f>
        <v>Sports Water Hydration Pack</v>
      </c>
      <c r="J276" s="24">
        <f>Sales[Total_Amount]</f>
        <v>1363.4544</v>
      </c>
      <c r="K276" s="21" t="str">
        <f t="shared" si="1"/>
        <v>Jan</v>
      </c>
      <c r="L276" s="21">
        <f t="shared" si="2"/>
        <v>2025</v>
      </c>
      <c r="N276" s="33"/>
      <c r="O276" s="34"/>
    </row>
    <row r="277" ht="22.5" customHeight="1">
      <c r="A277" s="21" t="s">
        <v>2242</v>
      </c>
      <c r="B277" s="21" t="s">
        <v>1416</v>
      </c>
      <c r="C277" s="21" t="str">
        <f t="array" ref="C277">XLOOKUP(B277,Customer[Customer_ID],Customer[Name(Cleaned)])</f>
        <v>April Phillips</v>
      </c>
      <c r="D277" s="22" t="str">
        <f>VLOOKUP(B277,Customer[#ALL],6)</f>
        <v>Male</v>
      </c>
      <c r="E277" s="23">
        <f>Sales[Order_Date]</f>
        <v>45299</v>
      </c>
      <c r="F277" s="21" t="str">
        <f>Sales[Store_ID]</f>
        <v>STORE16</v>
      </c>
      <c r="G277" s="21" t="str">
        <f t="array" ref="G277">INDEX(Store[Store_Name],MATCH(F277,Store[Store_ID],0))</f>
        <v>Frederick-Wright</v>
      </c>
      <c r="H277" s="21" t="str">
        <f>Sales[Product_ID]</f>
        <v>PROD85</v>
      </c>
      <c r="I277" s="21" t="str">
        <f>VLOOKUP(H277,Products[],2)</f>
        <v>Women's Beanie Hat</v>
      </c>
      <c r="J277" s="24">
        <f>Sales[Total_Amount]</f>
        <v>912.0036</v>
      </c>
      <c r="K277" s="21" t="str">
        <f t="shared" si="1"/>
        <v>Jan</v>
      </c>
      <c r="L277" s="21">
        <f t="shared" si="2"/>
        <v>2024</v>
      </c>
      <c r="N277" s="33"/>
      <c r="O277" s="34"/>
    </row>
    <row r="278" ht="22.5" customHeight="1">
      <c r="A278" s="21" t="s">
        <v>2243</v>
      </c>
      <c r="B278" s="21" t="s">
        <v>39</v>
      </c>
      <c r="C278" s="21" t="str">
        <f t="array" ref="C278">XLOOKUP(B278,Customer[Customer_ID],Customer[Name(Cleaned)])</f>
        <v>Christine Vaughn</v>
      </c>
      <c r="D278" s="22" t="str">
        <f>VLOOKUP(B278,Customer[#ALL],6)</f>
        <v>Female</v>
      </c>
      <c r="E278" s="23">
        <f>Sales[Order_Date]</f>
        <v>45893</v>
      </c>
      <c r="F278" s="21" t="str">
        <f>Sales[Store_ID]</f>
        <v>STORE0</v>
      </c>
      <c r="G278" s="21" t="str">
        <f t="array" ref="G278">INDEX(Store[Store_Name],MATCH(F278,Store[Store_ID],0))</f>
        <v>Rivera-Warner</v>
      </c>
      <c r="H278" s="21" t="str">
        <f>Sales[Product_ID]</f>
        <v>PROD62</v>
      </c>
      <c r="I278" s="21" t="str">
        <f>VLOOKUP(H278,Products[],2)</f>
        <v>Laptop Cooling Pad</v>
      </c>
      <c r="J278" s="24">
        <f>Sales[Total_Amount]</f>
        <v>112.4496</v>
      </c>
      <c r="K278" s="21" t="str">
        <f t="shared" si="1"/>
        <v>Aug</v>
      </c>
      <c r="L278" s="21">
        <f t="shared" si="2"/>
        <v>2025</v>
      </c>
      <c r="N278" s="33"/>
      <c r="O278" s="34"/>
    </row>
    <row r="279" ht="22.5" customHeight="1">
      <c r="A279" s="21" t="s">
        <v>2244</v>
      </c>
      <c r="B279" s="21" t="s">
        <v>1393</v>
      </c>
      <c r="C279" s="21" t="str">
        <f t="array" ref="C279">XLOOKUP(B279,Customer[Customer_ID],Customer[Name(Cleaned)])</f>
        <v>Gene Lee</v>
      </c>
      <c r="D279" s="22" t="str">
        <f>VLOOKUP(B279,Customer[#ALL],6)</f>
        <v>Male</v>
      </c>
      <c r="E279" s="23">
        <f>Sales[Order_Date]</f>
        <v>45560</v>
      </c>
      <c r="F279" s="21" t="str">
        <f>Sales[Store_ID]</f>
        <v>STORE8</v>
      </c>
      <c r="G279" s="21" t="str">
        <f t="array" ref="G279">INDEX(Store[Store_Name],MATCH(F279,Store[Store_ID],0))</f>
        <v>Bean, Jones and Park</v>
      </c>
      <c r="H279" s="21" t="str">
        <f>Sales[Product_ID]</f>
        <v>PROD18</v>
      </c>
      <c r="I279" s="21" t="str">
        <f>VLOOKUP(H279,Products[],2)</f>
        <v>Women's Denim Jeans</v>
      </c>
      <c r="J279" s="24">
        <f>Sales[Total_Amount]</f>
        <v>1287.6084</v>
      </c>
      <c r="K279" s="21" t="str">
        <f t="shared" si="1"/>
        <v>Sep</v>
      </c>
      <c r="L279" s="21">
        <f t="shared" si="2"/>
        <v>2024</v>
      </c>
      <c r="N279" s="33"/>
      <c r="O279" s="34"/>
    </row>
    <row r="280" ht="22.5" customHeight="1">
      <c r="A280" s="21" t="s">
        <v>2245</v>
      </c>
      <c r="B280" s="21" t="s">
        <v>1176</v>
      </c>
      <c r="C280" s="21" t="str">
        <f t="array" ref="C280">XLOOKUP(B280,Customer[Customer_ID],Customer[Name(Cleaned)])</f>
        <v>Michael Garner</v>
      </c>
      <c r="D280" s="22" t="str">
        <f>VLOOKUP(B280,Customer[#ALL],6)</f>
        <v>Male</v>
      </c>
      <c r="E280" s="23">
        <f>Sales[Order_Date]</f>
        <v>45267</v>
      </c>
      <c r="F280" s="21" t="str">
        <f>Sales[Store_ID]</f>
        <v>STORE7</v>
      </c>
      <c r="G280" s="21" t="str">
        <f t="array" ref="G280">INDEX(Store[Store_Name],MATCH(F280,Store[Store_ID],0))</f>
        <v>Martinez-Mullins</v>
      </c>
      <c r="H280" s="21" t="str">
        <f>Sales[Product_ID]</f>
        <v>PROD97</v>
      </c>
      <c r="I280" s="21" t="str">
        <f>VLOOKUP(H280,Products[],2)</f>
        <v>Cricket Bat</v>
      </c>
      <c r="J280" s="24">
        <f>Sales[Total_Amount]</f>
        <v>3602.7264</v>
      </c>
      <c r="K280" s="21" t="str">
        <f t="shared" si="1"/>
        <v>Dec</v>
      </c>
      <c r="L280" s="21">
        <f t="shared" si="2"/>
        <v>2023</v>
      </c>
      <c r="N280" s="33"/>
      <c r="O280" s="34"/>
    </row>
    <row r="281" ht="22.5" customHeight="1">
      <c r="A281" s="21" t="s">
        <v>2246</v>
      </c>
      <c r="B281" s="21" t="s">
        <v>469</v>
      </c>
      <c r="C281" s="21" t="str">
        <f t="array" ref="C281">XLOOKUP(B281,Customer[Customer_ID],Customer[Name(Cleaned)])</f>
        <v>Morgan Bowen</v>
      </c>
      <c r="D281" s="22" t="str">
        <f>VLOOKUP(B281,Customer[#ALL],6)</f>
        <v>Female</v>
      </c>
      <c r="E281" s="23">
        <f>Sales[Order_Date]</f>
        <v>45467</v>
      </c>
      <c r="F281" s="21" t="str">
        <f>Sales[Store_ID]</f>
        <v>STORE16</v>
      </c>
      <c r="G281" s="21" t="str">
        <f t="array" ref="G281">INDEX(Store[Store_Name],MATCH(F281,Store[Store_ID],0))</f>
        <v>Frederick-Wright</v>
      </c>
      <c r="H281" s="21" t="str">
        <f>Sales[Product_ID]</f>
        <v>PROD94</v>
      </c>
      <c r="I281" s="21" t="str">
        <f>VLOOKUP(H281,Products[],2)</f>
        <v>Vitamin E Body Lotion</v>
      </c>
      <c r="J281" s="24">
        <f>Sales[Total_Amount]</f>
        <v>1538.4006</v>
      </c>
      <c r="K281" s="21" t="str">
        <f t="shared" si="1"/>
        <v>Jun</v>
      </c>
      <c r="L281" s="21">
        <f t="shared" si="2"/>
        <v>2024</v>
      </c>
      <c r="N281" s="33"/>
      <c r="O281" s="34"/>
    </row>
    <row r="282" ht="22.5" customHeight="1">
      <c r="A282" s="21" t="s">
        <v>2247</v>
      </c>
      <c r="B282" s="21" t="s">
        <v>1546</v>
      </c>
      <c r="C282" s="21" t="str">
        <f t="array" ref="C282">XLOOKUP(B282,Customer[Customer_ID],Customer[Name(Cleaned)])</f>
        <v>Traci Gonzalez</v>
      </c>
      <c r="D282" s="22" t="str">
        <f>VLOOKUP(B282,Customer[#ALL],6)</f>
        <v>Female</v>
      </c>
      <c r="E282" s="23">
        <f>Sales[Order_Date]</f>
        <v>45598</v>
      </c>
      <c r="F282" s="21" t="str">
        <f>Sales[Store_ID]</f>
        <v>STORE6</v>
      </c>
      <c r="G282" s="21" t="str">
        <f t="array" ref="G282">INDEX(Store[Store_Name],MATCH(F282,Store[Store_ID],0))</f>
        <v>Benson-Elliott</v>
      </c>
      <c r="H282" s="21" t="str">
        <f>Sales[Product_ID]</f>
        <v>PROD8</v>
      </c>
      <c r="I282" s="21" t="str">
        <f>VLOOKUP(H282,Products[],2)</f>
        <v>Decorative Lamp Shade</v>
      </c>
      <c r="J282" s="24">
        <f>Sales[Total_Amount]</f>
        <v>803.9945</v>
      </c>
      <c r="K282" s="21" t="str">
        <f t="shared" si="1"/>
        <v>Nov</v>
      </c>
      <c r="L282" s="21">
        <f t="shared" si="2"/>
        <v>2024</v>
      </c>
      <c r="N282" s="33"/>
      <c r="O282" s="34"/>
    </row>
    <row r="283" ht="22.5" customHeight="1">
      <c r="A283" s="21" t="s">
        <v>2248</v>
      </c>
      <c r="B283" s="21" t="s">
        <v>152</v>
      </c>
      <c r="C283" s="21" t="str">
        <f t="array" ref="C283">XLOOKUP(B283,Customer[Customer_ID],Customer[Name(Cleaned)])</f>
        <v>Thomas Phillips</v>
      </c>
      <c r="D283" s="22" t="str">
        <f>VLOOKUP(B283,Customer[#ALL],6)</f>
        <v>Male</v>
      </c>
      <c r="E283" s="23">
        <f>Sales[Order_Date]</f>
        <v>45847</v>
      </c>
      <c r="F283" s="21" t="str">
        <f>Sales[Store_ID]</f>
        <v>STORE8</v>
      </c>
      <c r="G283" s="21" t="str">
        <f t="array" ref="G283">INDEX(Store[Store_Name],MATCH(F283,Store[Store_ID],0))</f>
        <v>Bean, Jones and Park</v>
      </c>
      <c r="H283" s="21" t="str">
        <f>Sales[Product_ID]</f>
        <v>PROD6</v>
      </c>
      <c r="I283" s="21" t="str">
        <f>VLOOKUP(H283,Products[],2)</f>
        <v>Men's Hair Styling Gel</v>
      </c>
      <c r="J283" s="24">
        <f>Sales[Total_Amount]</f>
        <v>82.5468</v>
      </c>
      <c r="K283" s="21" t="str">
        <f t="shared" si="1"/>
        <v>Jul</v>
      </c>
      <c r="L283" s="21">
        <f t="shared" si="2"/>
        <v>2025</v>
      </c>
      <c r="N283" s="33"/>
      <c r="O283" s="34"/>
    </row>
    <row r="284" ht="22.5" customHeight="1">
      <c r="A284" s="21" t="s">
        <v>2249</v>
      </c>
      <c r="B284" s="21" t="s">
        <v>818</v>
      </c>
      <c r="C284" s="21" t="str">
        <f t="array" ref="C284">XLOOKUP(B284,Customer[Customer_ID],Customer[Name(Cleaned)])</f>
        <v>Tyler Garner</v>
      </c>
      <c r="D284" s="22" t="str">
        <f>VLOOKUP(B284,Customer[#ALL],6)</f>
        <v>Female</v>
      </c>
      <c r="E284" s="23">
        <f>Sales[Order_Date]</f>
        <v>45480</v>
      </c>
      <c r="F284" s="21" t="str">
        <f>Sales[Store_ID]</f>
        <v>STORE11</v>
      </c>
      <c r="G284" s="21" t="str">
        <f t="array" ref="G284">INDEX(Store[Store_Name],MATCH(F284,Store[Store_ID],0))</f>
        <v>Aguirre-Keller</v>
      </c>
      <c r="H284" s="21" t="str">
        <f>Sales[Product_ID]</f>
        <v>PROD48</v>
      </c>
      <c r="I284" s="21" t="str">
        <f>VLOOKUP(H284,Products[],2)</f>
        <v>Car Dashboard Phone Holder</v>
      </c>
      <c r="J284" s="24">
        <f>Sales[Total_Amount]</f>
        <v>1417.824</v>
      </c>
      <c r="K284" s="21" t="str">
        <f t="shared" si="1"/>
        <v>Jul</v>
      </c>
      <c r="L284" s="21">
        <f t="shared" si="2"/>
        <v>2024</v>
      </c>
      <c r="N284" s="33"/>
      <c r="O284" s="34"/>
    </row>
    <row r="285" ht="22.5" customHeight="1">
      <c r="A285" s="21" t="s">
        <v>2250</v>
      </c>
      <c r="B285" s="21" t="s">
        <v>978</v>
      </c>
      <c r="C285" s="21" t="str">
        <f t="array" ref="C285">XLOOKUP(B285,Customer[Customer_ID],Customer[Name(Cleaned)])</f>
        <v>Roberta Green</v>
      </c>
      <c r="D285" s="22" t="str">
        <f>VLOOKUP(B285,Customer[#ALL],6)</f>
        <v>Female</v>
      </c>
      <c r="E285" s="23">
        <f>Sales[Order_Date]</f>
        <v>45345</v>
      </c>
      <c r="F285" s="21" t="str">
        <f>Sales[Store_ID]</f>
        <v>STORE0</v>
      </c>
      <c r="G285" s="21" t="str">
        <f t="array" ref="G285">INDEX(Store[Store_Name],MATCH(F285,Store[Store_ID],0))</f>
        <v>Rivera-Warner</v>
      </c>
      <c r="H285" s="21" t="str">
        <f>Sales[Product_ID]</f>
        <v>PROD86</v>
      </c>
      <c r="I285" s="21" t="str">
        <f>VLOOKUP(H285,Products[],2)</f>
        <v>Kitchen Cutting Board</v>
      </c>
      <c r="J285" s="24">
        <f>Sales[Total_Amount]</f>
        <v>213.709</v>
      </c>
      <c r="K285" s="21" t="str">
        <f t="shared" si="1"/>
        <v>Feb</v>
      </c>
      <c r="L285" s="21">
        <f t="shared" si="2"/>
        <v>2024</v>
      </c>
      <c r="N285" s="33"/>
      <c r="O285" s="34"/>
    </row>
    <row r="286" ht="22.5" customHeight="1">
      <c r="A286" s="21" t="s">
        <v>2251</v>
      </c>
      <c r="B286" s="21" t="s">
        <v>696</v>
      </c>
      <c r="C286" s="21" t="str">
        <f t="array" ref="C286">XLOOKUP(B286,Customer[Customer_ID],Customer[Name(Cleaned)])</f>
        <v>Antonio Jones</v>
      </c>
      <c r="D286" s="22" t="str">
        <f>VLOOKUP(B286,Customer[#ALL],6)</f>
        <v>Female</v>
      </c>
      <c r="E286" s="23">
        <f>Sales[Order_Date]</f>
        <v>45235</v>
      </c>
      <c r="F286" s="21" t="str">
        <f>Sales[Store_ID]</f>
        <v>STORE1</v>
      </c>
      <c r="G286" s="21" t="str">
        <f t="array" ref="G286">INDEX(Store[Store_Name],MATCH(F286,Store[Store_ID],0))</f>
        <v>Martinez, Adkins and Johnson</v>
      </c>
      <c r="H286" s="21" t="str">
        <f>Sales[Product_ID]</f>
        <v>PROD74</v>
      </c>
      <c r="I286" s="21" t="str">
        <f>VLOOKUP(H286,Products[],2)</f>
        <v>Bluetooth Car Audio System</v>
      </c>
      <c r="J286" s="24">
        <f>Sales[Total_Amount]</f>
        <v>800.337</v>
      </c>
      <c r="K286" s="21" t="str">
        <f t="shared" si="1"/>
        <v>Nov</v>
      </c>
      <c r="L286" s="21">
        <f t="shared" si="2"/>
        <v>2023</v>
      </c>
      <c r="N286" s="33"/>
      <c r="O286" s="34"/>
    </row>
    <row r="287" ht="22.5" customHeight="1">
      <c r="A287" s="21" t="s">
        <v>2252</v>
      </c>
      <c r="B287" s="21" t="s">
        <v>702</v>
      </c>
      <c r="C287" s="21" t="str">
        <f t="array" ref="C287">XLOOKUP(B287,Customer[Customer_ID],Customer[Name(Cleaned)])</f>
        <v>Blake Harrison</v>
      </c>
      <c r="D287" s="22" t="str">
        <f>VLOOKUP(B287,Customer[#ALL],6)</f>
        <v>Male</v>
      </c>
      <c r="E287" s="23">
        <f>Sales[Order_Date]</f>
        <v>45543</v>
      </c>
      <c r="F287" s="21" t="str">
        <f>Sales[Store_ID]</f>
        <v>STORE11</v>
      </c>
      <c r="G287" s="21" t="str">
        <f t="array" ref="G287">INDEX(Store[Store_Name],MATCH(F287,Store[Store_ID],0))</f>
        <v>Aguirre-Keller</v>
      </c>
      <c r="H287" s="21" t="str">
        <f>Sales[Product_ID]</f>
        <v>PROD36</v>
      </c>
      <c r="I287" s="21" t="str">
        <f>VLOOKUP(H287,Products[],2)</f>
        <v>Women's Summer Dress</v>
      </c>
      <c r="J287" s="24">
        <f>Sales[Total_Amount]</f>
        <v>333.0492</v>
      </c>
      <c r="K287" s="21" t="str">
        <f t="shared" si="1"/>
        <v>Sep</v>
      </c>
      <c r="L287" s="21">
        <f t="shared" si="2"/>
        <v>2024</v>
      </c>
      <c r="N287" s="33"/>
      <c r="O287" s="34"/>
    </row>
    <row r="288" ht="22.5" customHeight="1">
      <c r="A288" s="21" t="s">
        <v>2253</v>
      </c>
      <c r="B288" s="21" t="s">
        <v>1543</v>
      </c>
      <c r="C288" s="21" t="str">
        <f t="array" ref="C288">XLOOKUP(B288,Customer[Customer_ID],Customer[Name(Cleaned)])</f>
        <v>Sarah Marsh</v>
      </c>
      <c r="D288" s="22" t="str">
        <f>VLOOKUP(B288,Customer[#ALL],6)</f>
        <v>Male</v>
      </c>
      <c r="E288" s="23">
        <f>Sales[Order_Date]</f>
        <v>45402</v>
      </c>
      <c r="F288" s="21" t="str">
        <f>Sales[Store_ID]</f>
        <v>STORE3</v>
      </c>
      <c r="G288" s="21" t="str">
        <f t="array" ref="G288">INDEX(Store[Store_Name],MATCH(F288,Store[Store_ID],0))</f>
        <v>Johnson-Wright</v>
      </c>
      <c r="H288" s="21" t="str">
        <f>Sales[Product_ID]</f>
        <v>PROD20</v>
      </c>
      <c r="I288" s="21" t="str">
        <f>VLOOKUP(H288,Products[],2)</f>
        <v>Outdoor Sports Water Bottle</v>
      </c>
      <c r="J288" s="24">
        <f>Sales[Total_Amount]</f>
        <v>514.2996</v>
      </c>
      <c r="K288" s="21" t="str">
        <f t="shared" si="1"/>
        <v>Apr</v>
      </c>
      <c r="L288" s="21">
        <f t="shared" si="2"/>
        <v>2024</v>
      </c>
      <c r="N288" s="33"/>
      <c r="O288" s="34"/>
    </row>
    <row r="289" ht="22.5" customHeight="1">
      <c r="A289" s="21" t="s">
        <v>2254</v>
      </c>
      <c r="B289" s="21" t="s">
        <v>1408</v>
      </c>
      <c r="C289" s="21" t="str">
        <f t="array" ref="C289">XLOOKUP(B289,Customer[Customer_ID],Customer[Name(Cleaned)])</f>
        <v>Shane Mills</v>
      </c>
      <c r="D289" s="22" t="str">
        <f>VLOOKUP(B289,Customer[#ALL],6)</f>
        <v>Female</v>
      </c>
      <c r="E289" s="23">
        <f>Sales[Order_Date]</f>
        <v>45671</v>
      </c>
      <c r="F289" s="21" t="str">
        <f>Sales[Store_ID]</f>
        <v>STORE11</v>
      </c>
      <c r="G289" s="21" t="str">
        <f t="array" ref="G289">INDEX(Store[Store_Name],MATCH(F289,Store[Store_ID],0))</f>
        <v>Aguirre-Keller</v>
      </c>
      <c r="H289" s="21" t="str">
        <f>Sales[Product_ID]</f>
        <v>PROD63</v>
      </c>
      <c r="I289" s="21" t="str">
        <f>VLOOKUP(H289,Products[],2)</f>
        <v>Organic Sunscreen Lotion</v>
      </c>
      <c r="J289" s="24">
        <f>Sales[Total_Amount]</f>
        <v>2299.5984</v>
      </c>
      <c r="K289" s="21" t="str">
        <f t="shared" si="1"/>
        <v>Jan</v>
      </c>
      <c r="L289" s="21">
        <f t="shared" si="2"/>
        <v>2025</v>
      </c>
      <c r="N289" s="33"/>
      <c r="O289" s="34"/>
    </row>
    <row r="290" ht="22.5" customHeight="1">
      <c r="A290" s="21" t="s">
        <v>2255</v>
      </c>
      <c r="B290" s="21" t="s">
        <v>594</v>
      </c>
      <c r="C290" s="21" t="str">
        <f t="array" ref="C290">XLOOKUP(B290,Customer[Customer_ID],Customer[Name(Cleaned)])</f>
        <v>John Bradford</v>
      </c>
      <c r="D290" s="22" t="str">
        <f>VLOOKUP(B290,Customer[#ALL],6)</f>
        <v>Female</v>
      </c>
      <c r="E290" s="23">
        <f>Sales[Order_Date]</f>
        <v>45367</v>
      </c>
      <c r="F290" s="21" t="str">
        <f>Sales[Store_ID]</f>
        <v>STORE4</v>
      </c>
      <c r="G290" s="21" t="str">
        <f t="array" ref="G290">INDEX(Store[Store_Name],MATCH(F290,Store[Store_ID],0))</f>
        <v>Alexander Group</v>
      </c>
      <c r="H290" s="21" t="str">
        <f>Sales[Product_ID]</f>
        <v>PROD70</v>
      </c>
      <c r="I290" s="21" t="str">
        <f>VLOOKUP(H290,Products[],2)</f>
        <v>Kitchen Storage Rack</v>
      </c>
      <c r="J290" s="24">
        <f>Sales[Total_Amount]</f>
        <v>2013.7872</v>
      </c>
      <c r="K290" s="21" t="str">
        <f t="shared" si="1"/>
        <v>Mar</v>
      </c>
      <c r="L290" s="21">
        <f t="shared" si="2"/>
        <v>2024</v>
      </c>
      <c r="N290" s="33"/>
      <c r="O290" s="34"/>
    </row>
    <row r="291" ht="22.5" customHeight="1">
      <c r="A291" s="21" t="s">
        <v>2256</v>
      </c>
      <c r="B291" s="21" t="s">
        <v>450</v>
      </c>
      <c r="C291" s="21" t="str">
        <f t="array" ref="C291">XLOOKUP(B291,Customer[Customer_ID],Customer[Name(Cleaned)])</f>
        <v>Susan Mcdonald</v>
      </c>
      <c r="D291" s="22" t="str">
        <f>VLOOKUP(B291,Customer[#ALL],6)</f>
        <v>Female</v>
      </c>
      <c r="E291" s="23">
        <f>Sales[Order_Date]</f>
        <v>45488</v>
      </c>
      <c r="F291" s="21" t="str">
        <f>Sales[Store_ID]</f>
        <v>STORE8</v>
      </c>
      <c r="G291" s="21" t="str">
        <f t="array" ref="G291">INDEX(Store[Store_Name],MATCH(F291,Store[Store_ID],0))</f>
        <v>Bean, Jones and Park</v>
      </c>
      <c r="H291" s="21" t="str">
        <f>Sales[Product_ID]</f>
        <v>PROD43</v>
      </c>
      <c r="I291" s="21" t="str">
        <f>VLOOKUP(H291,Products[],2)</f>
        <v>USB External Hard Drive</v>
      </c>
      <c r="J291" s="24">
        <f>Sales[Total_Amount]</f>
        <v>1228.4895</v>
      </c>
      <c r="K291" s="21" t="str">
        <f t="shared" si="1"/>
        <v>Jul</v>
      </c>
      <c r="L291" s="21">
        <f t="shared" si="2"/>
        <v>2024</v>
      </c>
      <c r="N291" s="33"/>
      <c r="O291" s="34"/>
    </row>
    <row r="292" ht="22.5" customHeight="1">
      <c r="A292" s="21" t="s">
        <v>2257</v>
      </c>
      <c r="B292" s="21" t="s">
        <v>993</v>
      </c>
      <c r="C292" s="21" t="str">
        <f t="array" ref="C292">XLOOKUP(B292,Customer[Customer_ID],Customer[Name(Cleaned)])</f>
        <v>Kara Dodson</v>
      </c>
      <c r="D292" s="22" t="str">
        <f>VLOOKUP(B292,Customer[#ALL],6)</f>
        <v>Female</v>
      </c>
      <c r="E292" s="23">
        <f>Sales[Order_Date]</f>
        <v>45509</v>
      </c>
      <c r="F292" s="21" t="str">
        <f>Sales[Store_ID]</f>
        <v>STORE5</v>
      </c>
      <c r="G292" s="21" t="str">
        <f t="array" ref="G292">INDEX(Store[Store_Name],MATCH(F292,Store[Store_ID],0))</f>
        <v>Gray Ltd</v>
      </c>
      <c r="H292" s="21" t="str">
        <f>Sales[Product_ID]</f>
        <v>PROD61</v>
      </c>
      <c r="I292" s="21" t="str">
        <f>VLOOKUP(H292,Products[],2)</f>
        <v>Tennis Ball 3-Pack</v>
      </c>
      <c r="J292" s="24">
        <f>Sales[Total_Amount]</f>
        <v>77.022</v>
      </c>
      <c r="K292" s="21" t="str">
        <f t="shared" si="1"/>
        <v>Aug</v>
      </c>
      <c r="L292" s="21">
        <f t="shared" si="2"/>
        <v>2024</v>
      </c>
      <c r="N292" s="33"/>
      <c r="O292" s="34"/>
    </row>
    <row r="293" ht="22.5" customHeight="1">
      <c r="A293" s="21" t="s">
        <v>2258</v>
      </c>
      <c r="B293" s="21" t="s">
        <v>460</v>
      </c>
      <c r="C293" s="21" t="str">
        <f t="array" ref="C293">XLOOKUP(B293,Customer[Customer_ID],Customer[Name(Cleaned)])</f>
        <v>Joseph Richards</v>
      </c>
      <c r="D293" s="22" t="str">
        <f>VLOOKUP(B293,Customer[#ALL],6)</f>
        <v>Male</v>
      </c>
      <c r="E293" s="23">
        <f>Sales[Order_Date]</f>
        <v>45884</v>
      </c>
      <c r="F293" s="21" t="str">
        <f>Sales[Store_ID]</f>
        <v>STORE12</v>
      </c>
      <c r="G293" s="21" t="str">
        <f t="array" ref="G293">INDEX(Store[Store_Name],MATCH(F293,Store[Store_ID],0))</f>
        <v>Thomas, Bridges and Harris</v>
      </c>
      <c r="H293" s="21" t="str">
        <f>Sales[Product_ID]</f>
        <v>PROD35</v>
      </c>
      <c r="I293" s="21" t="str">
        <f>VLOOKUP(H293,Products[],2)</f>
        <v>Bedroom Table Lamp</v>
      </c>
      <c r="J293" s="24">
        <f>Sales[Total_Amount]</f>
        <v>926.7264</v>
      </c>
      <c r="K293" s="21" t="str">
        <f t="shared" si="1"/>
        <v>Aug</v>
      </c>
      <c r="L293" s="21">
        <f t="shared" si="2"/>
        <v>2025</v>
      </c>
      <c r="N293" s="33"/>
      <c r="O293" s="34"/>
    </row>
    <row r="294" ht="22.5" customHeight="1">
      <c r="A294" s="21" t="s">
        <v>2259</v>
      </c>
      <c r="B294" s="21" t="s">
        <v>1152</v>
      </c>
      <c r="C294" s="21" t="str">
        <f t="array" ref="C294">XLOOKUP(B294,Customer[Customer_ID],Customer[Name(Cleaned)])</f>
        <v>Elizabeth Smith</v>
      </c>
      <c r="D294" s="22" t="str">
        <f>VLOOKUP(B294,Customer[#ALL],6)</f>
        <v>Female</v>
      </c>
      <c r="E294" s="23">
        <f>Sales[Order_Date]</f>
        <v>45323</v>
      </c>
      <c r="F294" s="21" t="str">
        <f>Sales[Store_ID]</f>
        <v>STORE1</v>
      </c>
      <c r="G294" s="21" t="str">
        <f t="array" ref="G294">INDEX(Store[Store_Name],MATCH(F294,Store[Store_ID],0))</f>
        <v>Martinez, Adkins and Johnson</v>
      </c>
      <c r="H294" s="21" t="str">
        <f>Sales[Product_ID]</f>
        <v>PROD87</v>
      </c>
      <c r="I294" s="21" t="str">
        <f>VLOOKUP(H294,Products[],2)</f>
        <v>LED Bedside Lamp</v>
      </c>
      <c r="J294" s="24">
        <f>Sales[Total_Amount]</f>
        <v>2560</v>
      </c>
      <c r="K294" s="21" t="str">
        <f t="shared" si="1"/>
        <v>Feb</v>
      </c>
      <c r="L294" s="21">
        <f t="shared" si="2"/>
        <v>2024</v>
      </c>
      <c r="N294" s="33"/>
      <c r="O294" s="34"/>
    </row>
    <row r="295" ht="22.5" customHeight="1">
      <c r="A295" s="21" t="s">
        <v>2260</v>
      </c>
      <c r="B295" s="21" t="s">
        <v>531</v>
      </c>
      <c r="C295" s="21" t="str">
        <f t="array" ref="C295">XLOOKUP(B295,Customer[Customer_ID],Customer[Name(Cleaned)])</f>
        <v>Curtis Haynes</v>
      </c>
      <c r="D295" s="22" t="str">
        <f>VLOOKUP(B295,Customer[#ALL],6)</f>
        <v>Male</v>
      </c>
      <c r="E295" s="23">
        <f>Sales[Order_Date]</f>
        <v>45889</v>
      </c>
      <c r="F295" s="21" t="str">
        <f>Sales[Store_ID]</f>
        <v>STORE10</v>
      </c>
      <c r="G295" s="21" t="str">
        <f t="array" ref="G295">INDEX(Store[Store_Name],MATCH(F295,Store[Store_ID],0))</f>
        <v>Hill, Wagner and Ballard</v>
      </c>
      <c r="H295" s="21" t="str">
        <f>Sales[Product_ID]</f>
        <v>PROD60</v>
      </c>
      <c r="I295" s="21" t="str">
        <f>VLOOKUP(H295,Products[],2)</f>
        <v>Luxury Perfume Spray</v>
      </c>
      <c r="J295" s="24">
        <f>Sales[Total_Amount]</f>
        <v>262.515</v>
      </c>
      <c r="K295" s="21" t="str">
        <f t="shared" si="1"/>
        <v>Aug</v>
      </c>
      <c r="L295" s="21">
        <f t="shared" si="2"/>
        <v>2025</v>
      </c>
      <c r="N295" s="33"/>
      <c r="O295" s="34"/>
    </row>
    <row r="296" ht="22.5" customHeight="1">
      <c r="A296" s="21" t="s">
        <v>2261</v>
      </c>
      <c r="B296" s="21" t="s">
        <v>1323</v>
      </c>
      <c r="C296" s="21" t="str">
        <f t="array" ref="C296">XLOOKUP(B296,Customer[Customer_ID],Customer[Name(Cleaned)])</f>
        <v>Holly Robinson</v>
      </c>
      <c r="D296" s="22" t="str">
        <f>VLOOKUP(B296,Customer[#ALL],6)</f>
        <v>Male</v>
      </c>
      <c r="E296" s="23">
        <f>Sales[Order_Date]</f>
        <v>45253</v>
      </c>
      <c r="F296" s="21" t="str">
        <f>Sales[Store_ID]</f>
        <v>STORE15</v>
      </c>
      <c r="G296" s="21" t="str">
        <f t="array" ref="G296">INDEX(Store[Store_Name],MATCH(F296,Store[Store_ID],0))</f>
        <v>Shelton PLC</v>
      </c>
      <c r="H296" s="21" t="str">
        <f>Sales[Product_ID]</f>
        <v>PROD32</v>
      </c>
      <c r="I296" s="21" t="str">
        <f>VLOOKUP(H296,Products[],2)</f>
        <v>Vitamin C Face Serum</v>
      </c>
      <c r="J296" s="24">
        <f>Sales[Total_Amount]</f>
        <v>158.5075</v>
      </c>
      <c r="K296" s="21" t="str">
        <f t="shared" si="1"/>
        <v>Nov</v>
      </c>
      <c r="L296" s="21">
        <f t="shared" si="2"/>
        <v>2023</v>
      </c>
      <c r="N296" s="33"/>
      <c r="O296" s="34"/>
    </row>
    <row r="297" ht="22.5" customHeight="1">
      <c r="A297" s="21" t="s">
        <v>2262</v>
      </c>
      <c r="B297" s="21" t="s">
        <v>1341</v>
      </c>
      <c r="C297" s="21" t="str">
        <f t="array" ref="C297">XLOOKUP(B297,Customer[Customer_ID],Customer[Name(Cleaned)])</f>
        <v>Jose Stewart</v>
      </c>
      <c r="D297" s="22" t="str">
        <f>VLOOKUP(B297,Customer[#ALL],6)</f>
        <v>Male</v>
      </c>
      <c r="E297" s="23">
        <f>Sales[Order_Date]</f>
        <v>45530</v>
      </c>
      <c r="F297" s="21" t="str">
        <f>Sales[Store_ID]</f>
        <v>STORE4</v>
      </c>
      <c r="G297" s="21" t="str">
        <f t="array" ref="G297">INDEX(Store[Store_Name],MATCH(F297,Store[Store_ID],0))</f>
        <v>Alexander Group</v>
      </c>
      <c r="H297" s="21" t="str">
        <f>Sales[Product_ID]</f>
        <v>PROD32</v>
      </c>
      <c r="I297" s="21" t="str">
        <f>VLOOKUP(H297,Products[],2)</f>
        <v>Vitamin C Face Serum</v>
      </c>
      <c r="J297" s="24">
        <f>Sales[Total_Amount]</f>
        <v>2205.024</v>
      </c>
      <c r="K297" s="21" t="str">
        <f t="shared" si="1"/>
        <v>Aug</v>
      </c>
      <c r="L297" s="21">
        <f t="shared" si="2"/>
        <v>2024</v>
      </c>
      <c r="N297" s="33"/>
      <c r="O297" s="34"/>
    </row>
    <row r="298" ht="22.5" customHeight="1">
      <c r="A298" s="21" t="s">
        <v>2263</v>
      </c>
      <c r="B298" s="21" t="s">
        <v>905</v>
      </c>
      <c r="C298" s="21" t="str">
        <f t="array" ref="C298">XLOOKUP(B298,Customer[Customer_ID],Customer[Name(Cleaned)])</f>
        <v>Antonio Leon</v>
      </c>
      <c r="D298" s="22" t="str">
        <f>VLOOKUP(B298,Customer[#ALL],6)</f>
        <v>Female</v>
      </c>
      <c r="E298" s="23">
        <f>Sales[Order_Date]</f>
        <v>45491</v>
      </c>
      <c r="F298" s="21" t="str">
        <f>Sales[Store_ID]</f>
        <v>STORE13</v>
      </c>
      <c r="G298" s="21" t="str">
        <f t="array" ref="G298">INDEX(Store[Store_Name],MATCH(F298,Store[Store_ID],0))</f>
        <v>Gardner, Humphrey and Contreras</v>
      </c>
      <c r="H298" s="21" t="str">
        <f>Sales[Product_ID]</f>
        <v>PROD84</v>
      </c>
      <c r="I298" s="21" t="str">
        <f>VLOOKUP(H298,Products[],2)</f>
        <v>Wooden Bookshelf</v>
      </c>
      <c r="J298" s="24">
        <f>Sales[Total_Amount]</f>
        <v>1538.942</v>
      </c>
      <c r="K298" s="21" t="str">
        <f t="shared" si="1"/>
        <v>Jul</v>
      </c>
      <c r="L298" s="21">
        <f t="shared" si="2"/>
        <v>2024</v>
      </c>
      <c r="N298" s="33"/>
      <c r="O298" s="34"/>
    </row>
    <row r="299" ht="22.5" customHeight="1">
      <c r="A299" s="21" t="s">
        <v>2264</v>
      </c>
      <c r="B299" s="21" t="s">
        <v>999</v>
      </c>
      <c r="C299" s="21" t="str">
        <f t="array" ref="C299">XLOOKUP(B299,Customer[Customer_ID],Customer[Name(Cleaned)])</f>
        <v>Jason Mullins</v>
      </c>
      <c r="D299" s="22" t="str">
        <f>VLOOKUP(B299,Customer[#ALL],6)</f>
        <v>Male</v>
      </c>
      <c r="E299" s="23">
        <f>Sales[Order_Date]</f>
        <v>45628</v>
      </c>
      <c r="F299" s="21" t="str">
        <f>Sales[Store_ID]</f>
        <v>STORE19</v>
      </c>
      <c r="G299" s="21" t="str">
        <f t="array" ref="G299">INDEX(Store[Store_Name],MATCH(F299,Store[Store_ID],0))</f>
        <v>Mann-Austin</v>
      </c>
      <c r="H299" s="21" t="str">
        <f>Sales[Product_ID]</f>
        <v>PROD16</v>
      </c>
      <c r="I299" s="21" t="str">
        <f>VLOOKUP(H299,Products[],2)</f>
        <v>Beard Grooming Kit</v>
      </c>
      <c r="J299" s="24">
        <f>Sales[Total_Amount]</f>
        <v>909.832</v>
      </c>
      <c r="K299" s="21" t="str">
        <f t="shared" si="1"/>
        <v>Dec</v>
      </c>
      <c r="L299" s="21">
        <f t="shared" si="2"/>
        <v>2024</v>
      </c>
      <c r="N299" s="33"/>
      <c r="O299" s="34"/>
    </row>
    <row r="300" ht="22.5" customHeight="1">
      <c r="A300" s="21" t="s">
        <v>2265</v>
      </c>
      <c r="B300" s="21" t="s">
        <v>322</v>
      </c>
      <c r="C300" s="21" t="str">
        <f t="array" ref="C300">XLOOKUP(B300,Customer[Customer_ID],Customer[Name(Cleaned)])</f>
        <v>Melissa Duffy Md</v>
      </c>
      <c r="D300" s="22" t="str">
        <f>VLOOKUP(B300,Customer[#ALL],6)</f>
        <v>Male</v>
      </c>
      <c r="E300" s="23">
        <f>Sales[Order_Date]</f>
        <v>45861</v>
      </c>
      <c r="F300" s="21" t="str">
        <f>Sales[Store_ID]</f>
        <v>STORE5</v>
      </c>
      <c r="G300" s="21" t="str">
        <f t="array" ref="G300">INDEX(Store[Store_Name],MATCH(F300,Store[Store_ID],0))</f>
        <v>Gray Ltd</v>
      </c>
      <c r="H300" s="21" t="str">
        <f>Sales[Product_ID]</f>
        <v>PROD94</v>
      </c>
      <c r="I300" s="21" t="str">
        <f>VLOOKUP(H300,Products[],2)</f>
        <v>Vitamin E Body Lotion</v>
      </c>
      <c r="J300" s="24">
        <f>Sales[Total_Amount]</f>
        <v>194.1786</v>
      </c>
      <c r="K300" s="21" t="str">
        <f t="shared" si="1"/>
        <v>Jul</v>
      </c>
      <c r="L300" s="21">
        <f t="shared" si="2"/>
        <v>2025</v>
      </c>
      <c r="N300" s="33"/>
      <c r="O300" s="34"/>
    </row>
    <row r="301" ht="22.5" customHeight="1">
      <c r="A301" s="21" t="s">
        <v>2266</v>
      </c>
      <c r="B301" s="21" t="s">
        <v>522</v>
      </c>
      <c r="C301" s="21" t="str">
        <f t="array" ref="C301">XLOOKUP(B301,Customer[Customer_ID],Customer[Name(Cleaned)])</f>
        <v>Patrick Roberts</v>
      </c>
      <c r="D301" s="22" t="str">
        <f>VLOOKUP(B301,Customer[#ALL],6)</f>
        <v>Male</v>
      </c>
      <c r="E301" s="23">
        <f>Sales[Order_Date]</f>
        <v>45878</v>
      </c>
      <c r="F301" s="21" t="str">
        <f>Sales[Store_ID]</f>
        <v>STORE12</v>
      </c>
      <c r="G301" s="21" t="str">
        <f t="array" ref="G301">INDEX(Store[Store_Name],MATCH(F301,Store[Store_ID],0))</f>
        <v>Thomas, Bridges and Harris</v>
      </c>
      <c r="H301" s="21" t="str">
        <f>Sales[Product_ID]</f>
        <v>PROD97</v>
      </c>
      <c r="I301" s="21" t="str">
        <f>VLOOKUP(H301,Products[],2)</f>
        <v>Cricket Bat</v>
      </c>
      <c r="J301" s="24">
        <f>Sales[Total_Amount]</f>
        <v>2566.404</v>
      </c>
      <c r="K301" s="21" t="str">
        <f t="shared" si="1"/>
        <v>Aug</v>
      </c>
      <c r="L301" s="21">
        <f t="shared" si="2"/>
        <v>2025</v>
      </c>
      <c r="N301" s="33"/>
      <c r="O301" s="34"/>
    </row>
    <row r="302" ht="22.5" customHeight="1">
      <c r="A302" s="21" t="s">
        <v>2267</v>
      </c>
      <c r="B302" s="21" t="s">
        <v>286</v>
      </c>
      <c r="C302" s="21" t="str">
        <f t="array" ref="C302">XLOOKUP(B302,Customer[Customer_ID],Customer[Name(Cleaned)])</f>
        <v>Nathan Campbell</v>
      </c>
      <c r="D302" s="22" t="str">
        <f>VLOOKUP(B302,Customer[#ALL],6)</f>
        <v>Female</v>
      </c>
      <c r="E302" s="23">
        <f>Sales[Order_Date]</f>
        <v>45426</v>
      </c>
      <c r="F302" s="21" t="str">
        <f>Sales[Store_ID]</f>
        <v>STORE14</v>
      </c>
      <c r="G302" s="21" t="str">
        <f t="array" ref="G302">INDEX(Store[Store_Name],MATCH(F302,Store[Store_ID],0))</f>
        <v>Mcdonald Inc</v>
      </c>
      <c r="H302" s="21" t="str">
        <f>Sales[Product_ID]</f>
        <v>PROD88</v>
      </c>
      <c r="I302" s="21" t="str">
        <f>VLOOKUP(H302,Products[],2)</f>
        <v>Sports Wrist Sweatbands</v>
      </c>
      <c r="J302" s="24">
        <f>Sales[Total_Amount]</f>
        <v>786.1904</v>
      </c>
      <c r="K302" s="21" t="str">
        <f t="shared" si="1"/>
        <v>May</v>
      </c>
      <c r="L302" s="21">
        <f t="shared" si="2"/>
        <v>2024</v>
      </c>
      <c r="N302" s="33"/>
      <c r="O302" s="34"/>
    </row>
    <row r="303" ht="22.5" customHeight="1">
      <c r="A303" s="21" t="s">
        <v>2268</v>
      </c>
      <c r="B303" s="21" t="s">
        <v>893</v>
      </c>
      <c r="C303" s="21" t="str">
        <f t="array" ref="C303">XLOOKUP(B303,Customer[Customer_ID],Customer[Name(Cleaned)])</f>
        <v>Arthur Warren</v>
      </c>
      <c r="D303" s="22" t="str">
        <f>VLOOKUP(B303,Customer[#ALL],6)</f>
        <v>Female</v>
      </c>
      <c r="E303" s="23">
        <f>Sales[Order_Date]</f>
        <v>45231</v>
      </c>
      <c r="F303" s="21" t="str">
        <f>Sales[Store_ID]</f>
        <v>STORE0</v>
      </c>
      <c r="G303" s="21" t="str">
        <f t="array" ref="G303">INDEX(Store[Store_Name],MATCH(F303,Store[Store_ID],0))</f>
        <v>Rivera-Warner</v>
      </c>
      <c r="H303" s="21" t="str">
        <f>Sales[Product_ID]</f>
        <v>PROD69</v>
      </c>
      <c r="I303" s="21" t="str">
        <f>VLOOKUP(H303,Products[],2)</f>
        <v>Men's Sports Shorts</v>
      </c>
      <c r="J303" s="24">
        <f>Sales[Total_Amount]</f>
        <v>1125.896</v>
      </c>
      <c r="K303" s="21" t="str">
        <f t="shared" si="1"/>
        <v>Nov</v>
      </c>
      <c r="L303" s="21">
        <f t="shared" si="2"/>
        <v>2023</v>
      </c>
      <c r="N303" s="33"/>
      <c r="O303" s="34"/>
    </row>
    <row r="304" ht="22.5" customHeight="1">
      <c r="A304" s="21" t="s">
        <v>2269</v>
      </c>
      <c r="B304" s="21" t="s">
        <v>896</v>
      </c>
      <c r="C304" s="21" t="str">
        <f t="array" ref="C304">XLOOKUP(B304,Customer[Customer_ID],Customer[Name(Cleaned)])</f>
        <v>Jeffrey Gomez</v>
      </c>
      <c r="D304" s="22" t="str">
        <f>VLOOKUP(B304,Customer[#ALL],6)</f>
        <v>Male</v>
      </c>
      <c r="E304" s="23">
        <f>Sales[Order_Date]</f>
        <v>45916</v>
      </c>
      <c r="F304" s="21" t="str">
        <f>Sales[Store_ID]</f>
        <v>STORE6</v>
      </c>
      <c r="G304" s="21" t="str">
        <f t="array" ref="G304">INDEX(Store[Store_Name],MATCH(F304,Store[Store_ID],0))</f>
        <v>Benson-Elliott</v>
      </c>
      <c r="H304" s="21" t="str">
        <f>Sales[Product_ID]</f>
        <v>PROD93</v>
      </c>
      <c r="I304" s="21" t="str">
        <f>VLOOKUP(H304,Products[],2)</f>
        <v>USB-C Laptop Charger</v>
      </c>
      <c r="J304" s="24">
        <f>Sales[Total_Amount]</f>
        <v>2762.1429</v>
      </c>
      <c r="K304" s="21" t="str">
        <f t="shared" si="1"/>
        <v>Sep</v>
      </c>
      <c r="L304" s="21">
        <f t="shared" si="2"/>
        <v>2025</v>
      </c>
      <c r="N304" s="33"/>
      <c r="O304" s="34"/>
    </row>
    <row r="305" ht="22.5" customHeight="1">
      <c r="A305" s="21" t="s">
        <v>2270</v>
      </c>
      <c r="B305" s="21" t="s">
        <v>1265</v>
      </c>
      <c r="C305" s="21" t="str">
        <f t="array" ref="C305">XLOOKUP(B305,Customer[Customer_ID],Customer[Name(Cleaned)])</f>
        <v>Terry Moses</v>
      </c>
      <c r="D305" s="22" t="str">
        <f>VLOOKUP(B305,Customer[#ALL],6)</f>
        <v>Male</v>
      </c>
      <c r="E305" s="23">
        <f>Sales[Order_Date]</f>
        <v>45609</v>
      </c>
      <c r="F305" s="21" t="str">
        <f>Sales[Store_ID]</f>
        <v>STORE7</v>
      </c>
      <c r="G305" s="21" t="str">
        <f t="array" ref="G305">INDEX(Store[Store_Name],MATCH(F305,Store[Store_ID],0))</f>
        <v>Martinez-Mullins</v>
      </c>
      <c r="H305" s="21" t="str">
        <f>Sales[Product_ID]</f>
        <v>PROD58</v>
      </c>
      <c r="I305" s="21" t="str">
        <f>VLOOKUP(H305,Products[],2)</f>
        <v>Womens Cotton Scarf</v>
      </c>
      <c r="J305" s="24">
        <f>Sales[Total_Amount]</f>
        <v>1715.0595</v>
      </c>
      <c r="K305" s="21" t="str">
        <f t="shared" si="1"/>
        <v>Nov</v>
      </c>
      <c r="L305" s="21">
        <f t="shared" si="2"/>
        <v>2024</v>
      </c>
      <c r="N305" s="33"/>
      <c r="O305" s="34"/>
    </row>
    <row r="306" ht="22.5" customHeight="1">
      <c r="A306" s="21" t="s">
        <v>2271</v>
      </c>
      <c r="B306" s="21" t="s">
        <v>1128</v>
      </c>
      <c r="C306" s="21" t="str">
        <f t="array" ref="C306">XLOOKUP(B306,Customer[Customer_ID],Customer[Name(Cleaned)])</f>
        <v>Carlos Flores</v>
      </c>
      <c r="D306" s="22" t="str">
        <f>VLOOKUP(B306,Customer[#ALL],6)</f>
        <v>Female</v>
      </c>
      <c r="E306" s="23">
        <f>Sales[Order_Date]</f>
        <v>45392</v>
      </c>
      <c r="F306" s="21" t="str">
        <f>Sales[Store_ID]</f>
        <v>STORE18</v>
      </c>
      <c r="G306" s="21" t="str">
        <f t="array" ref="G306">INDEX(Store[Store_Name],MATCH(F306,Store[Store_ID],0))</f>
        <v>Guerrero-Schmitt</v>
      </c>
      <c r="H306" s="21" t="str">
        <f>Sales[Product_ID]</f>
        <v>PROD25</v>
      </c>
      <c r="I306" s="21" t="str">
        <f>VLOOKUP(H306,Products[],2)</f>
        <v>Women's Scarf Set</v>
      </c>
      <c r="J306" s="24">
        <f>Sales[Total_Amount]</f>
        <v>887.304</v>
      </c>
      <c r="K306" s="21" t="str">
        <f t="shared" si="1"/>
        <v>Apr</v>
      </c>
      <c r="L306" s="21">
        <f t="shared" si="2"/>
        <v>2024</v>
      </c>
      <c r="N306" s="33"/>
      <c r="O306" s="34"/>
    </row>
    <row r="307" ht="22.5" customHeight="1">
      <c r="A307" s="21" t="s">
        <v>2272</v>
      </c>
      <c r="B307" s="21" t="s">
        <v>1297</v>
      </c>
      <c r="C307" s="21" t="str">
        <f t="array" ref="C307">XLOOKUP(B307,Customer[Customer_ID],Customer[Name(Cleaned)])</f>
        <v>Shane Brown</v>
      </c>
      <c r="D307" s="22" t="str">
        <f>VLOOKUP(B307,Customer[#ALL],6)</f>
        <v>Male</v>
      </c>
      <c r="E307" s="23">
        <f>Sales[Order_Date]</f>
        <v>45876</v>
      </c>
      <c r="F307" s="21" t="str">
        <f>Sales[Store_ID]</f>
        <v>STORE7</v>
      </c>
      <c r="G307" s="21" t="str">
        <f t="array" ref="G307">INDEX(Store[Store_Name],MATCH(F307,Store[Store_ID],0))</f>
        <v>Martinez-Mullins</v>
      </c>
      <c r="H307" s="21" t="str">
        <f>Sales[Product_ID]</f>
        <v>PROD29</v>
      </c>
      <c r="I307" s="21" t="str">
        <f>VLOOKUP(H307,Products[],2)</f>
        <v>Fabric Sofa Throw Blanket</v>
      </c>
      <c r="J307" s="24">
        <f>Sales[Total_Amount]</f>
        <v>800.7288</v>
      </c>
      <c r="K307" s="21" t="str">
        <f t="shared" si="1"/>
        <v>Aug</v>
      </c>
      <c r="L307" s="21">
        <f t="shared" si="2"/>
        <v>2025</v>
      </c>
      <c r="N307" s="33"/>
      <c r="O307" s="34"/>
    </row>
    <row r="308" ht="22.5" customHeight="1">
      <c r="A308" s="21" t="s">
        <v>2273</v>
      </c>
      <c r="B308" s="21" t="s">
        <v>902</v>
      </c>
      <c r="C308" s="21" t="str">
        <f t="array" ref="C308">XLOOKUP(B308,Customer[Customer_ID],Customer[Name(Cleaned)])</f>
        <v>Aaron Luna</v>
      </c>
      <c r="D308" s="22" t="str">
        <f>VLOOKUP(B308,Customer[#ALL],6)</f>
        <v>Male</v>
      </c>
      <c r="E308" s="23">
        <f>Sales[Order_Date]</f>
        <v>45772</v>
      </c>
      <c r="F308" s="21" t="str">
        <f>Sales[Store_ID]</f>
        <v>STORE8</v>
      </c>
      <c r="G308" s="21" t="str">
        <f t="array" ref="G308">INDEX(Store[Store_Name],MATCH(F308,Store[Store_ID],0))</f>
        <v>Bean, Jones and Park</v>
      </c>
      <c r="H308" s="21" t="str">
        <f>Sales[Product_ID]</f>
        <v>PROD98</v>
      </c>
      <c r="I308" s="21" t="str">
        <f>VLOOKUP(H308,Products[],2)</f>
        <v>Portable Bluetooth Speaker</v>
      </c>
      <c r="J308" s="24">
        <f>Sales[Total_Amount]</f>
        <v>2859.2928</v>
      </c>
      <c r="K308" s="21" t="str">
        <f t="shared" si="1"/>
        <v>Apr</v>
      </c>
      <c r="L308" s="21">
        <f t="shared" si="2"/>
        <v>2025</v>
      </c>
      <c r="N308" s="33"/>
      <c r="O308" s="34"/>
    </row>
    <row r="309" ht="22.5" customHeight="1">
      <c r="A309" s="21" t="s">
        <v>2274</v>
      </c>
      <c r="B309" s="21" t="s">
        <v>660</v>
      </c>
      <c r="C309" s="21" t="str">
        <f t="array" ref="C309">XLOOKUP(B309,Customer[Customer_ID],Customer[Name(Cleaned)])</f>
        <v>Wanda Snyder</v>
      </c>
      <c r="D309" s="22" t="str">
        <f>VLOOKUP(B309,Customer[#ALL],6)</f>
        <v>Female</v>
      </c>
      <c r="E309" s="23">
        <f>Sales[Order_Date]</f>
        <v>45217</v>
      </c>
      <c r="F309" s="21" t="str">
        <f>Sales[Store_ID]</f>
        <v>STORE11</v>
      </c>
      <c r="G309" s="21" t="str">
        <f t="array" ref="G309">INDEX(Store[Store_Name],MATCH(F309,Store[Store_ID],0))</f>
        <v>Aguirre-Keller</v>
      </c>
      <c r="H309" s="21" t="str">
        <f>Sales[Product_ID]</f>
        <v>PROD60</v>
      </c>
      <c r="I309" s="21" t="str">
        <f>VLOOKUP(H309,Products[],2)</f>
        <v>Luxury Perfume Spray</v>
      </c>
      <c r="J309" s="24">
        <f>Sales[Total_Amount]</f>
        <v>570.7842</v>
      </c>
      <c r="K309" s="21" t="str">
        <f t="shared" si="1"/>
        <v>Oct</v>
      </c>
      <c r="L309" s="21">
        <f t="shared" si="2"/>
        <v>2023</v>
      </c>
      <c r="N309" s="33"/>
      <c r="O309" s="34"/>
    </row>
    <row r="310" ht="22.5" customHeight="1">
      <c r="A310" s="21" t="s">
        <v>2275</v>
      </c>
      <c r="B310" s="21" t="s">
        <v>726</v>
      </c>
      <c r="C310" s="21" t="str">
        <f t="array" ref="C310">XLOOKUP(B310,Customer[Customer_ID],Customer[Name(Cleaned)])</f>
        <v>George Davis</v>
      </c>
      <c r="D310" s="22" t="str">
        <f>VLOOKUP(B310,Customer[#ALL],6)</f>
        <v>Male</v>
      </c>
      <c r="E310" s="23">
        <f>Sales[Order_Date]</f>
        <v>45739</v>
      </c>
      <c r="F310" s="21" t="str">
        <f>Sales[Store_ID]</f>
        <v>STORE12</v>
      </c>
      <c r="G310" s="21" t="str">
        <f t="array" ref="G310">INDEX(Store[Store_Name],MATCH(F310,Store[Store_ID],0))</f>
        <v>Thomas, Bridges and Harris</v>
      </c>
      <c r="H310" s="21" t="str">
        <f>Sales[Product_ID]</f>
        <v>PROD95</v>
      </c>
      <c r="I310" s="21" t="str">
        <f>VLOOKUP(H310,Products[],2)</f>
        <v>Sports Stopwatch Basic</v>
      </c>
      <c r="J310" s="24">
        <f>Sales[Total_Amount]</f>
        <v>2481.5216</v>
      </c>
      <c r="K310" s="21" t="str">
        <f t="shared" si="1"/>
        <v>Mar</v>
      </c>
      <c r="L310" s="21">
        <f t="shared" si="2"/>
        <v>2025</v>
      </c>
      <c r="N310" s="33"/>
      <c r="O310" s="34"/>
    </row>
    <row r="311" ht="22.5" customHeight="1">
      <c r="A311" s="21" t="s">
        <v>2276</v>
      </c>
      <c r="B311" s="21" t="s">
        <v>431</v>
      </c>
      <c r="C311" s="21" t="str">
        <f t="array" ref="C311">XLOOKUP(B311,Customer[Customer_ID],Customer[Name(Cleaned)])</f>
        <v>Michael Chang</v>
      </c>
      <c r="D311" s="22" t="str">
        <f>VLOOKUP(B311,Customer[#ALL],6)</f>
        <v>Female</v>
      </c>
      <c r="E311" s="23">
        <f>Sales[Order_Date]</f>
        <v>45272</v>
      </c>
      <c r="F311" s="21" t="str">
        <f>Sales[Store_ID]</f>
        <v>STORE12</v>
      </c>
      <c r="G311" s="21" t="str">
        <f t="array" ref="G311">INDEX(Store[Store_Name],MATCH(F311,Store[Store_ID],0))</f>
        <v>Thomas, Bridges and Harris</v>
      </c>
      <c r="H311" s="21" t="str">
        <f>Sales[Product_ID]</f>
        <v>PROD60</v>
      </c>
      <c r="I311" s="21" t="str">
        <f>VLOOKUP(H311,Products[],2)</f>
        <v>Luxury Perfume Spray</v>
      </c>
      <c r="J311" s="24">
        <f>Sales[Total_Amount]</f>
        <v>2358.1584</v>
      </c>
      <c r="K311" s="21" t="str">
        <f t="shared" si="1"/>
        <v>Dec</v>
      </c>
      <c r="L311" s="21">
        <f t="shared" si="2"/>
        <v>2023</v>
      </c>
      <c r="N311" s="33"/>
      <c r="O311" s="34"/>
    </row>
    <row r="312" ht="22.5" customHeight="1">
      <c r="A312" s="21" t="s">
        <v>2277</v>
      </c>
      <c r="B312" s="21" t="s">
        <v>30</v>
      </c>
      <c r="C312" s="21" t="str">
        <f t="array" ref="C312">XLOOKUP(B312,Customer[Customer_ID],Customer[Name(Cleaned)])</f>
        <v>Jeremy Harris</v>
      </c>
      <c r="D312" s="22" t="str">
        <f>VLOOKUP(B312,Customer[#ALL],6)</f>
        <v>Male</v>
      </c>
      <c r="E312" s="23">
        <f>Sales[Order_Date]</f>
        <v>45524</v>
      </c>
      <c r="F312" s="21" t="str">
        <f>Sales[Store_ID]</f>
        <v>STORE14</v>
      </c>
      <c r="G312" s="21" t="str">
        <f t="array" ref="G312">INDEX(Store[Store_Name],MATCH(F312,Store[Store_ID],0))</f>
        <v>Mcdonald Inc</v>
      </c>
      <c r="H312" s="21" t="str">
        <f>Sales[Product_ID]</f>
        <v>PROD0</v>
      </c>
      <c r="I312" s="21" t="str">
        <f>VLOOKUP(H312,Products[],2)</f>
        <v>Brother Laser Printer</v>
      </c>
      <c r="J312" s="24">
        <f>Sales[Total_Amount]</f>
        <v>445.104</v>
      </c>
      <c r="K312" s="21" t="str">
        <f t="shared" si="1"/>
        <v>Aug</v>
      </c>
      <c r="L312" s="21">
        <f t="shared" si="2"/>
        <v>2024</v>
      </c>
      <c r="N312" s="33"/>
      <c r="O312" s="34"/>
    </row>
    <row r="313" ht="22.5" customHeight="1">
      <c r="A313" s="21" t="s">
        <v>2278</v>
      </c>
      <c r="B313" s="21" t="s">
        <v>1116</v>
      </c>
      <c r="C313" s="21" t="str">
        <f t="array" ref="C313">XLOOKUP(B313,Customer[Customer_ID],Customer[Name(Cleaned)])</f>
        <v>Jeffrey Mccarthy</v>
      </c>
      <c r="D313" s="22" t="str">
        <f>VLOOKUP(B313,Customer[#ALL],6)</f>
        <v>Male</v>
      </c>
      <c r="E313" s="23">
        <f>Sales[Order_Date]</f>
        <v>45481</v>
      </c>
      <c r="F313" s="21" t="str">
        <f>Sales[Store_ID]</f>
        <v>STORE0</v>
      </c>
      <c r="G313" s="21" t="str">
        <f t="array" ref="G313">INDEX(Store[Store_Name],MATCH(F313,Store[Store_ID],0))</f>
        <v>Rivera-Warner</v>
      </c>
      <c r="H313" s="21" t="str">
        <f>Sales[Product_ID]</f>
        <v>PROD14</v>
      </c>
      <c r="I313" s="21" t="str">
        <f>VLOOKUP(H313,Products[],2)</f>
        <v>Decorative Wall Mirror</v>
      </c>
      <c r="J313" s="24">
        <f>Sales[Total_Amount]</f>
        <v>1371.5504</v>
      </c>
      <c r="K313" s="21" t="str">
        <f t="shared" si="1"/>
        <v>Jul</v>
      </c>
      <c r="L313" s="21">
        <f t="shared" si="2"/>
        <v>2024</v>
      </c>
      <c r="N313" s="33"/>
      <c r="O313" s="34"/>
    </row>
    <row r="314" ht="22.5" customHeight="1">
      <c r="A314" s="21" t="s">
        <v>2279</v>
      </c>
      <c r="B314" s="21" t="s">
        <v>1447</v>
      </c>
      <c r="C314" s="21" t="str">
        <f t="array" ref="C314">XLOOKUP(B314,Customer[Customer_ID],Customer[Name(Cleaned)])</f>
        <v>David Pierce</v>
      </c>
      <c r="D314" s="22" t="str">
        <f>VLOOKUP(B314,Customer[#ALL],6)</f>
        <v>Male</v>
      </c>
      <c r="E314" s="23">
        <f>Sales[Order_Date]</f>
        <v>45267</v>
      </c>
      <c r="F314" s="21" t="str">
        <f>Sales[Store_ID]</f>
        <v>STORE17</v>
      </c>
      <c r="G314" s="21" t="str">
        <f t="array" ref="G314">INDEX(Store[Store_Name],MATCH(F314,Store[Store_ID],0))</f>
        <v>Holloway Ltd</v>
      </c>
      <c r="H314" s="21" t="str">
        <f>Sales[Product_ID]</f>
        <v>PROD77</v>
      </c>
      <c r="I314" s="21" t="str">
        <f>VLOOKUP(H314,Products[],2)</f>
        <v>WiFi Mesh Router</v>
      </c>
      <c r="J314" s="24">
        <f>Sales[Total_Amount]</f>
        <v>673.875</v>
      </c>
      <c r="K314" s="21" t="str">
        <f t="shared" si="1"/>
        <v>Dec</v>
      </c>
      <c r="L314" s="21">
        <f t="shared" si="2"/>
        <v>2023</v>
      </c>
      <c r="N314" s="33"/>
      <c r="O314" s="34"/>
    </row>
    <row r="315" ht="22.5" customHeight="1">
      <c r="A315" s="21" t="s">
        <v>2280</v>
      </c>
      <c r="B315" s="21" t="s">
        <v>1254</v>
      </c>
      <c r="C315" s="21" t="str">
        <f t="array" ref="C315">XLOOKUP(B315,Customer[Customer_ID],Customer[Name(Cleaned)])</f>
        <v>Charles Norman Phd</v>
      </c>
      <c r="D315" s="22" t="str">
        <f>VLOOKUP(B315,Customer[#ALL],6)</f>
        <v>Male</v>
      </c>
      <c r="E315" s="23">
        <f>Sales[Order_Date]</f>
        <v>45347</v>
      </c>
      <c r="F315" s="21" t="str">
        <f>Sales[Store_ID]</f>
        <v>STORE9</v>
      </c>
      <c r="G315" s="21" t="str">
        <f t="array" ref="G315">INDEX(Store[Store_Name],MATCH(F315,Store[Store_ID],0))</f>
        <v>Moore, Padilla and Butler</v>
      </c>
      <c r="H315" s="21" t="str">
        <f>Sales[Product_ID]</f>
        <v>PROD94</v>
      </c>
      <c r="I315" s="21" t="str">
        <f>VLOOKUP(H315,Products[],2)</f>
        <v>Vitamin E Body Lotion</v>
      </c>
      <c r="J315" s="24">
        <f>Sales[Total_Amount]</f>
        <v>1304.946</v>
      </c>
      <c r="K315" s="21" t="str">
        <f t="shared" si="1"/>
        <v>Feb</v>
      </c>
      <c r="L315" s="21">
        <f t="shared" si="2"/>
        <v>2024</v>
      </c>
      <c r="N315" s="33"/>
      <c r="O315" s="34"/>
    </row>
    <row r="316" ht="22.5" customHeight="1">
      <c r="A316" s="21" t="s">
        <v>2281</v>
      </c>
      <c r="B316" s="21" t="s">
        <v>610</v>
      </c>
      <c r="C316" s="21" t="str">
        <f t="array" ref="C316">XLOOKUP(B316,Customer[Customer_ID],Customer[Name(Cleaned)])</f>
        <v>Erin Ward</v>
      </c>
      <c r="D316" s="22" t="str">
        <f>VLOOKUP(B316,Customer[#ALL],6)</f>
        <v>Female</v>
      </c>
      <c r="E316" s="23">
        <f>Sales[Order_Date]</f>
        <v>45328</v>
      </c>
      <c r="F316" s="21" t="str">
        <f>Sales[Store_ID]</f>
        <v>STORE0</v>
      </c>
      <c r="G316" s="21" t="str">
        <f t="array" ref="G316">INDEX(Store[Store_Name],MATCH(F316,Store[Store_ID],0))</f>
        <v>Rivera-Warner</v>
      </c>
      <c r="H316" s="21" t="str">
        <f>Sales[Product_ID]</f>
        <v>PROD89</v>
      </c>
      <c r="I316" s="21" t="str">
        <f>VLOOKUP(H316,Products[],2)</f>
        <v>Face Foundation Kit</v>
      </c>
      <c r="J316" s="24">
        <f>Sales[Total_Amount]</f>
        <v>223.8728</v>
      </c>
      <c r="K316" s="21" t="str">
        <f t="shared" si="1"/>
        <v>Feb</v>
      </c>
      <c r="L316" s="21">
        <f t="shared" si="2"/>
        <v>2024</v>
      </c>
      <c r="N316" s="33"/>
      <c r="O316" s="34"/>
    </row>
    <row r="317" ht="22.5" customHeight="1">
      <c r="A317" s="21" t="s">
        <v>2282</v>
      </c>
      <c r="B317" s="21" t="s">
        <v>1529</v>
      </c>
      <c r="C317" s="21" t="str">
        <f t="array" ref="C317">XLOOKUP(B317,Customer[Customer_ID],Customer[Name(Cleaned)])</f>
        <v>Darrell Miller</v>
      </c>
      <c r="D317" s="22" t="str">
        <f>VLOOKUP(B317,Customer[#ALL],6)</f>
        <v>Male</v>
      </c>
      <c r="E317" s="23">
        <f>Sales[Order_Date]</f>
        <v>45787</v>
      </c>
      <c r="F317" s="21" t="str">
        <f>Sales[Store_ID]</f>
        <v>STORE15</v>
      </c>
      <c r="G317" s="21" t="str">
        <f t="array" ref="G317">INDEX(Store[Store_Name],MATCH(F317,Store[Store_ID],0))</f>
        <v>Shelton PLC</v>
      </c>
      <c r="H317" s="21" t="str">
        <f>Sales[Product_ID]</f>
        <v>PROD49</v>
      </c>
      <c r="I317" s="21" t="str">
        <f>VLOOKUP(H317,Products[],2)</f>
        <v>Men's Roll-On Perfume</v>
      </c>
      <c r="J317" s="24">
        <f>Sales[Total_Amount]</f>
        <v>574.107</v>
      </c>
      <c r="K317" s="21" t="str">
        <f t="shared" si="1"/>
        <v>May</v>
      </c>
      <c r="L317" s="21">
        <f t="shared" si="2"/>
        <v>2025</v>
      </c>
      <c r="N317" s="33"/>
      <c r="O317" s="34"/>
    </row>
    <row r="318" ht="22.5" customHeight="1">
      <c r="A318" s="21" t="s">
        <v>2283</v>
      </c>
      <c r="B318" s="21" t="s">
        <v>1026</v>
      </c>
      <c r="C318" s="21" t="str">
        <f t="array" ref="C318">XLOOKUP(B318,Customer[Customer_ID],Customer[Name(Cleaned)])</f>
        <v>Darren Burton</v>
      </c>
      <c r="D318" s="22" t="str">
        <f>VLOOKUP(B318,Customer[#ALL],6)</f>
        <v>Male</v>
      </c>
      <c r="E318" s="23">
        <f>Sales[Order_Date]</f>
        <v>45876</v>
      </c>
      <c r="F318" s="21" t="str">
        <f>Sales[Store_ID]</f>
        <v>STORE19</v>
      </c>
      <c r="G318" s="21" t="str">
        <f t="array" ref="G318">INDEX(Store[Store_Name],MATCH(F318,Store[Store_ID],0))</f>
        <v>Mann-Austin</v>
      </c>
      <c r="H318" s="21" t="str">
        <f>Sales[Product_ID]</f>
        <v>PROD29</v>
      </c>
      <c r="I318" s="21" t="str">
        <f>VLOOKUP(H318,Products[],2)</f>
        <v>Fabric Sofa Throw Blanket</v>
      </c>
      <c r="J318" s="24">
        <f>Sales[Total_Amount]</f>
        <v>529.8858</v>
      </c>
      <c r="K318" s="21" t="str">
        <f t="shared" si="1"/>
        <v>Aug</v>
      </c>
      <c r="L318" s="21">
        <f t="shared" si="2"/>
        <v>2025</v>
      </c>
      <c r="N318" s="33"/>
      <c r="O318" s="34"/>
    </row>
    <row r="319" ht="22.5" customHeight="1">
      <c r="A319" s="21" t="s">
        <v>2284</v>
      </c>
      <c r="B319" s="21" t="s">
        <v>226</v>
      </c>
      <c r="C319" s="21" t="str">
        <f t="array" ref="C319">XLOOKUP(B319,Customer[Customer_ID],Customer[Name(Cleaned)])</f>
        <v>Cheryl Copeland</v>
      </c>
      <c r="D319" s="22" t="str">
        <f>VLOOKUP(B319,Customer[#ALL],6)</f>
        <v>Female</v>
      </c>
      <c r="E319" s="23">
        <f>Sales[Order_Date]</f>
        <v>45552</v>
      </c>
      <c r="F319" s="21" t="str">
        <f>Sales[Store_ID]</f>
        <v>STORE5</v>
      </c>
      <c r="G319" s="21" t="str">
        <f t="array" ref="G319">INDEX(Store[Store_Name],MATCH(F319,Store[Store_ID],0))</f>
        <v>Gray Ltd</v>
      </c>
      <c r="H319" s="21" t="str">
        <f>Sales[Product_ID]</f>
        <v>PROD71</v>
      </c>
      <c r="I319" s="21" t="str">
        <f>VLOOKUP(H319,Products[],2)</f>
        <v>Hair Repair Oil Treatment</v>
      </c>
      <c r="J319" s="24">
        <f>Sales[Total_Amount]</f>
        <v>929.1632</v>
      </c>
      <c r="K319" s="21" t="str">
        <f t="shared" si="1"/>
        <v>Sep</v>
      </c>
      <c r="L319" s="21">
        <f t="shared" si="2"/>
        <v>2024</v>
      </c>
      <c r="N319" s="33"/>
      <c r="O319" s="34"/>
    </row>
    <row r="320" ht="22.5" customHeight="1">
      <c r="A320" s="21" t="s">
        <v>2285</v>
      </c>
      <c r="B320" s="21" t="s">
        <v>1197</v>
      </c>
      <c r="C320" s="21" t="str">
        <f t="array" ref="C320">XLOOKUP(B320,Customer[Customer_ID],Customer[Name(Cleaned)])</f>
        <v>Frank Stewart</v>
      </c>
      <c r="D320" s="22" t="str">
        <f>VLOOKUP(B320,Customer[#ALL],6)</f>
        <v>Male</v>
      </c>
      <c r="E320" s="23">
        <f>Sales[Order_Date]</f>
        <v>45823</v>
      </c>
      <c r="F320" s="21" t="str">
        <f>Sales[Store_ID]</f>
        <v>STORE8</v>
      </c>
      <c r="G320" s="21" t="str">
        <f t="array" ref="G320">INDEX(Store[Store_Name],MATCH(F320,Store[Store_ID],0))</f>
        <v>Bean, Jones and Park</v>
      </c>
      <c r="H320" s="21" t="str">
        <f>Sales[Product_ID]</f>
        <v>PROD54</v>
      </c>
      <c r="I320" s="21" t="str">
        <f>VLOOKUP(H320,Products[],2)</f>
        <v>Sports Stopwatch Pro</v>
      </c>
      <c r="J320" s="24">
        <f>Sales[Total_Amount]</f>
        <v>1071.904</v>
      </c>
      <c r="K320" s="21" t="str">
        <f t="shared" si="1"/>
        <v>Jun</v>
      </c>
      <c r="L320" s="21">
        <f t="shared" si="2"/>
        <v>2025</v>
      </c>
      <c r="N320" s="33"/>
      <c r="O320" s="34"/>
    </row>
    <row r="321" ht="22.5" customHeight="1">
      <c r="A321" s="21" t="s">
        <v>2286</v>
      </c>
      <c r="B321" s="21" t="s">
        <v>1038</v>
      </c>
      <c r="C321" s="21" t="str">
        <f t="array" ref="C321">XLOOKUP(B321,Customer[Customer_ID],Customer[Name(Cleaned)])</f>
        <v>Andrew Smith</v>
      </c>
      <c r="D321" s="22" t="str">
        <f>VLOOKUP(B321,Customer[#ALL],6)</f>
        <v>Female</v>
      </c>
      <c r="E321" s="23">
        <f>Sales[Order_Date]</f>
        <v>45622</v>
      </c>
      <c r="F321" s="21" t="str">
        <f>Sales[Store_ID]</f>
        <v>STORE16</v>
      </c>
      <c r="G321" s="21" t="str">
        <f t="array" ref="G321">INDEX(Store[Store_Name],MATCH(F321,Store[Store_ID],0))</f>
        <v>Frederick-Wright</v>
      </c>
      <c r="H321" s="21" t="str">
        <f>Sales[Product_ID]</f>
        <v>PROD5</v>
      </c>
      <c r="I321" s="21" t="str">
        <f>VLOOKUP(H321,Products[],2)</f>
        <v>Men's Roll-On Perfume</v>
      </c>
      <c r="J321" s="24">
        <f>Sales[Total_Amount]</f>
        <v>763.9776</v>
      </c>
      <c r="K321" s="21" t="str">
        <f t="shared" si="1"/>
        <v>Nov</v>
      </c>
      <c r="L321" s="21">
        <f t="shared" si="2"/>
        <v>2024</v>
      </c>
      <c r="N321" s="33"/>
      <c r="O321" s="34"/>
    </row>
    <row r="322" ht="22.5" customHeight="1">
      <c r="A322" s="21" t="s">
        <v>2287</v>
      </c>
      <c r="B322" s="21" t="s">
        <v>1158</v>
      </c>
      <c r="C322" s="21" t="str">
        <f t="array" ref="C322">XLOOKUP(B322,Customer[Customer_ID],Customer[Name(Cleaned)])</f>
        <v>Brandon Mcbride</v>
      </c>
      <c r="D322" s="22" t="str">
        <f>VLOOKUP(B322,Customer[#ALL],6)</f>
        <v>Male</v>
      </c>
      <c r="E322" s="23">
        <f>Sales[Order_Date]</f>
        <v>45810</v>
      </c>
      <c r="F322" s="21" t="str">
        <f>Sales[Store_ID]</f>
        <v>STORE16</v>
      </c>
      <c r="G322" s="21" t="str">
        <f t="array" ref="G322">INDEX(Store[Store_Name],MATCH(F322,Store[Store_ID],0))</f>
        <v>Frederick-Wright</v>
      </c>
      <c r="H322" s="21" t="str">
        <f>Sales[Product_ID]</f>
        <v>PROD0</v>
      </c>
      <c r="I322" s="21" t="str">
        <f>VLOOKUP(H322,Products[],2)</f>
        <v>Brother Laser Printer</v>
      </c>
      <c r="J322" s="24">
        <f>Sales[Total_Amount]</f>
        <v>712.5975</v>
      </c>
      <c r="K322" s="21" t="str">
        <f t="shared" si="1"/>
        <v>Jun</v>
      </c>
      <c r="L322" s="21">
        <f t="shared" si="2"/>
        <v>2025</v>
      </c>
      <c r="N322" s="33"/>
      <c r="O322" s="34"/>
    </row>
    <row r="323" ht="22.5" customHeight="1">
      <c r="A323" s="21" t="s">
        <v>2288</v>
      </c>
      <c r="B323" s="21" t="s">
        <v>864</v>
      </c>
      <c r="C323" s="21" t="str">
        <f t="array" ref="C323">XLOOKUP(B323,Customer[Customer_ID],Customer[Name(Cleaned)])</f>
        <v>Cynthia Payne</v>
      </c>
      <c r="D323" s="22" t="str">
        <f>VLOOKUP(B323,Customer[#ALL],6)</f>
        <v>Male</v>
      </c>
      <c r="E323" s="23">
        <f>Sales[Order_Date]</f>
        <v>45645</v>
      </c>
      <c r="F323" s="21" t="str">
        <f>Sales[Store_ID]</f>
        <v>STORE8</v>
      </c>
      <c r="G323" s="21" t="str">
        <f t="array" ref="G323">INDEX(Store[Store_Name],MATCH(F323,Store[Store_ID],0))</f>
        <v>Bean, Jones and Park</v>
      </c>
      <c r="H323" s="21" t="str">
        <f>Sales[Product_ID]</f>
        <v>PROD12</v>
      </c>
      <c r="I323" s="21" t="str">
        <f>VLOOKUP(H323,Products[],2)</f>
        <v>Hair Strengthening Shampoo</v>
      </c>
      <c r="J323" s="24">
        <f>Sales[Total_Amount]</f>
        <v>2013.5178</v>
      </c>
      <c r="K323" s="21" t="str">
        <f t="shared" si="1"/>
        <v>Dec</v>
      </c>
      <c r="L323" s="21">
        <f t="shared" si="2"/>
        <v>2024</v>
      </c>
      <c r="N323" s="33"/>
      <c r="O323" s="34"/>
    </row>
    <row r="324" ht="22.5" customHeight="1">
      <c r="A324" s="21" t="s">
        <v>2289</v>
      </c>
      <c r="B324" s="21" t="s">
        <v>266</v>
      </c>
      <c r="C324" s="21" t="str">
        <f t="array" ref="C324">XLOOKUP(B324,Customer[Customer_ID],Customer[Name(Cleaned)])</f>
        <v>Eric Singh</v>
      </c>
      <c r="D324" s="22" t="str">
        <f>VLOOKUP(B324,Customer[#ALL],6)</f>
        <v>Male</v>
      </c>
      <c r="E324" s="23">
        <f>Sales[Order_Date]</f>
        <v>45749</v>
      </c>
      <c r="F324" s="21" t="str">
        <f>Sales[Store_ID]</f>
        <v>STORE17</v>
      </c>
      <c r="G324" s="21" t="str">
        <f t="array" ref="G324">INDEX(Store[Store_Name],MATCH(F324,Store[Store_ID],0))</f>
        <v>Holloway Ltd</v>
      </c>
      <c r="H324" s="21" t="str">
        <f>Sales[Product_ID]</f>
        <v>PROD80</v>
      </c>
      <c r="I324" s="21" t="str">
        <f>VLOOKUP(H324,Products[],2)</f>
        <v>Wall-Mounted Spice Rack</v>
      </c>
      <c r="J324" s="24">
        <f>Sales[Total_Amount]</f>
        <v>1438.8352</v>
      </c>
      <c r="K324" s="21" t="str">
        <f t="shared" si="1"/>
        <v>Apr</v>
      </c>
      <c r="L324" s="21">
        <f t="shared" si="2"/>
        <v>2025</v>
      </c>
      <c r="N324" s="33"/>
      <c r="O324" s="34"/>
    </row>
    <row r="325" ht="22.5" customHeight="1">
      <c r="A325" s="21" t="s">
        <v>2290</v>
      </c>
      <c r="B325" s="21" t="s">
        <v>597</v>
      </c>
      <c r="C325" s="21" t="str">
        <f t="array" ref="C325">XLOOKUP(B325,Customer[Customer_ID],Customer[Name(Cleaned)])</f>
        <v>Curtis Lam</v>
      </c>
      <c r="D325" s="22" t="str">
        <f>VLOOKUP(B325,Customer[#ALL],6)</f>
        <v>Female</v>
      </c>
      <c r="E325" s="23">
        <f>Sales[Order_Date]</f>
        <v>45537</v>
      </c>
      <c r="F325" s="21" t="str">
        <f>Sales[Store_ID]</f>
        <v>STORE9</v>
      </c>
      <c r="G325" s="21" t="str">
        <f t="array" ref="G325">INDEX(Store[Store_Name],MATCH(F325,Store[Store_ID],0))</f>
        <v>Moore, Padilla and Butler</v>
      </c>
      <c r="H325" s="21" t="str">
        <f>Sales[Product_ID]</f>
        <v>PROD36</v>
      </c>
      <c r="I325" s="21" t="str">
        <f>VLOOKUP(H325,Products[],2)</f>
        <v>Women's Summer Dress</v>
      </c>
      <c r="J325" s="24">
        <f>Sales[Total_Amount]</f>
        <v>213.5588</v>
      </c>
      <c r="K325" s="21" t="str">
        <f t="shared" si="1"/>
        <v>Sep</v>
      </c>
      <c r="L325" s="21">
        <f t="shared" si="2"/>
        <v>2024</v>
      </c>
      <c r="N325" s="33"/>
      <c r="O325" s="34"/>
    </row>
    <row r="326" ht="22.5" customHeight="1">
      <c r="A326" s="21" t="s">
        <v>2291</v>
      </c>
      <c r="B326" s="21" t="s">
        <v>1008</v>
      </c>
      <c r="C326" s="21" t="str">
        <f t="array" ref="C326">XLOOKUP(B326,Customer[Customer_ID],Customer[Name(Cleaned)])</f>
        <v>William Rodriguez</v>
      </c>
      <c r="D326" s="22" t="str">
        <f>VLOOKUP(B326,Customer[#ALL],6)</f>
        <v>Female</v>
      </c>
      <c r="E326" s="23">
        <f>Sales[Order_Date]</f>
        <v>45723</v>
      </c>
      <c r="F326" s="21" t="str">
        <f>Sales[Store_ID]</f>
        <v>STORE16</v>
      </c>
      <c r="G326" s="21" t="str">
        <f t="array" ref="G326">INDEX(Store[Store_Name],MATCH(F326,Store[Store_ID],0))</f>
        <v>Frederick-Wright</v>
      </c>
      <c r="H326" s="21" t="str">
        <f>Sales[Product_ID]</f>
        <v>PROD1</v>
      </c>
      <c r="I326" s="21" t="str">
        <f>VLOOKUP(H326,Products[],2)</f>
        <v>Men's Graphic T-Shirt</v>
      </c>
      <c r="J326" s="24">
        <f>Sales[Total_Amount]</f>
        <v>548.275</v>
      </c>
      <c r="K326" s="21" t="str">
        <f t="shared" si="1"/>
        <v>Mar</v>
      </c>
      <c r="L326" s="21">
        <f t="shared" si="2"/>
        <v>2025</v>
      </c>
      <c r="N326" s="33"/>
      <c r="O326" s="34"/>
    </row>
    <row r="327" ht="22.5" customHeight="1">
      <c r="A327" s="21" t="s">
        <v>2292</v>
      </c>
      <c r="B327" s="21" t="s">
        <v>570</v>
      </c>
      <c r="C327" s="21" t="str">
        <f t="array" ref="C327">XLOOKUP(B327,Customer[Customer_ID],Customer[Name(Cleaned)])</f>
        <v>Daniel Contreras</v>
      </c>
      <c r="D327" s="22" t="str">
        <f>VLOOKUP(B327,Customer[#ALL],6)</f>
        <v>Male</v>
      </c>
      <c r="E327" s="23">
        <f>Sales[Order_Date]</f>
        <v>45376</v>
      </c>
      <c r="F327" s="21" t="str">
        <f>Sales[Store_ID]</f>
        <v>STORE14</v>
      </c>
      <c r="G327" s="21" t="str">
        <f t="array" ref="G327">INDEX(Store[Store_Name],MATCH(F327,Store[Store_ID],0))</f>
        <v>Mcdonald Inc</v>
      </c>
      <c r="H327" s="21" t="str">
        <f>Sales[Product_ID]</f>
        <v>PROD91</v>
      </c>
      <c r="I327" s="21" t="str">
        <f>VLOOKUP(H327,Products[],2)</f>
        <v>Women's High Heels</v>
      </c>
      <c r="J327" s="24">
        <f>Sales[Total_Amount]</f>
        <v>1925.8533</v>
      </c>
      <c r="K327" s="21" t="str">
        <f t="shared" si="1"/>
        <v>Mar</v>
      </c>
      <c r="L327" s="21">
        <f t="shared" si="2"/>
        <v>2024</v>
      </c>
      <c r="N327" s="33"/>
      <c r="O327" s="34"/>
    </row>
    <row r="328" ht="22.5" customHeight="1">
      <c r="A328" s="21" t="s">
        <v>2293</v>
      </c>
      <c r="B328" s="21" t="s">
        <v>389</v>
      </c>
      <c r="C328" s="21" t="str">
        <f t="array" ref="C328">XLOOKUP(B328,Customer[Customer_ID],Customer[Name(Cleaned)])</f>
        <v>Travis Holland</v>
      </c>
      <c r="D328" s="22" t="str">
        <f>VLOOKUP(B328,Customer[#ALL],6)</f>
        <v>Female</v>
      </c>
      <c r="E328" s="23">
        <f>Sales[Order_Date]</f>
        <v>45709</v>
      </c>
      <c r="F328" s="21" t="str">
        <f>Sales[Store_ID]</f>
        <v>STORE17</v>
      </c>
      <c r="G328" s="21" t="str">
        <f t="array" ref="G328">INDEX(Store[Store_Name],MATCH(F328,Store[Store_ID],0))</f>
        <v>Holloway Ltd</v>
      </c>
      <c r="H328" s="21" t="str">
        <f>Sales[Product_ID]</f>
        <v>PROD28</v>
      </c>
      <c r="I328" s="21" t="str">
        <f>VLOOKUP(H328,Products[],2)</f>
        <v>Sports Stopwatch Timer</v>
      </c>
      <c r="J328" s="24">
        <f>Sales[Total_Amount]</f>
        <v>1146.6272</v>
      </c>
      <c r="K328" s="21" t="str">
        <f t="shared" si="1"/>
        <v>Feb</v>
      </c>
      <c r="L328" s="21">
        <f t="shared" si="2"/>
        <v>2025</v>
      </c>
      <c r="N328" s="33"/>
      <c r="O328" s="34"/>
    </row>
    <row r="329" ht="22.5" customHeight="1">
      <c r="A329" s="21" t="s">
        <v>2294</v>
      </c>
      <c r="B329" s="21" t="s">
        <v>401</v>
      </c>
      <c r="C329" s="21" t="str">
        <f t="array" ref="C329">XLOOKUP(B329,Customer[Customer_ID],Customer[Name(Cleaned)])</f>
        <v>David Cole</v>
      </c>
      <c r="D329" s="22" t="str">
        <f>VLOOKUP(B329,Customer[#ALL],6)</f>
        <v>Male</v>
      </c>
      <c r="E329" s="23">
        <f>Sales[Order_Date]</f>
        <v>45446</v>
      </c>
      <c r="F329" s="21" t="str">
        <f>Sales[Store_ID]</f>
        <v>STORE0</v>
      </c>
      <c r="G329" s="21" t="str">
        <f t="array" ref="G329">INDEX(Store[Store_Name],MATCH(F329,Store[Store_ID],0))</f>
        <v>Rivera-Warner</v>
      </c>
      <c r="H329" s="21" t="str">
        <f>Sales[Product_ID]</f>
        <v>PROD40</v>
      </c>
      <c r="I329" s="21" t="str">
        <f>VLOOKUP(H329,Products[],2)</f>
        <v>Noise-Canceling Headphones</v>
      </c>
      <c r="J329" s="24">
        <f>Sales[Total_Amount]</f>
        <v>64.8784</v>
      </c>
      <c r="K329" s="21" t="str">
        <f t="shared" si="1"/>
        <v>Jun</v>
      </c>
      <c r="L329" s="21">
        <f t="shared" si="2"/>
        <v>2024</v>
      </c>
      <c r="N329" s="33"/>
      <c r="O329" s="34"/>
    </row>
    <row r="330" ht="22.5" customHeight="1">
      <c r="A330" s="21" t="s">
        <v>2295</v>
      </c>
      <c r="B330" s="21" t="s">
        <v>890</v>
      </c>
      <c r="C330" s="21" t="str">
        <f t="array" ref="C330">XLOOKUP(B330,Customer[Customer_ID],Customer[Name(Cleaned)])</f>
        <v>Shannon Miller</v>
      </c>
      <c r="D330" s="22" t="str">
        <f>VLOOKUP(B330,Customer[#ALL],6)</f>
        <v>Female</v>
      </c>
      <c r="E330" s="23">
        <f>Sales[Order_Date]</f>
        <v>45330</v>
      </c>
      <c r="F330" s="21" t="str">
        <f>Sales[Store_ID]</f>
        <v>STORE9</v>
      </c>
      <c r="G330" s="21" t="str">
        <f t="array" ref="G330">INDEX(Store[Store_Name],MATCH(F330,Store[Store_ID],0))</f>
        <v>Moore, Padilla and Butler</v>
      </c>
      <c r="H330" s="21" t="str">
        <f>Sales[Product_ID]</f>
        <v>PROD38</v>
      </c>
      <c r="I330" s="21" t="str">
        <f>VLOOKUP(H330,Products[],2)</f>
        <v>Sports Water Hydration Pack</v>
      </c>
      <c r="J330" s="24">
        <f>Sales[Total_Amount]</f>
        <v>36.225</v>
      </c>
      <c r="K330" s="21" t="str">
        <f t="shared" si="1"/>
        <v>Feb</v>
      </c>
      <c r="L330" s="21">
        <f t="shared" si="2"/>
        <v>2024</v>
      </c>
      <c r="N330" s="33"/>
      <c r="O330" s="34"/>
    </row>
    <row r="331" ht="22.5" customHeight="1">
      <c r="A331" s="21" t="s">
        <v>2296</v>
      </c>
      <c r="B331" s="21" t="s">
        <v>761</v>
      </c>
      <c r="C331" s="21" t="str">
        <f t="array" ref="C331">XLOOKUP(B331,Customer[Customer_ID],Customer[Name(Cleaned)])</f>
        <v>Christy Hill</v>
      </c>
      <c r="D331" s="22" t="str">
        <f>VLOOKUP(B331,Customer[#ALL],6)</f>
        <v>Male</v>
      </c>
      <c r="E331" s="23">
        <f>Sales[Order_Date]</f>
        <v>45388</v>
      </c>
      <c r="F331" s="21" t="str">
        <f>Sales[Store_ID]</f>
        <v>STORE11</v>
      </c>
      <c r="G331" s="21" t="str">
        <f t="array" ref="G331">INDEX(Store[Store_Name],MATCH(F331,Store[Store_ID],0))</f>
        <v>Aguirre-Keller</v>
      </c>
      <c r="H331" s="21" t="str">
        <f>Sales[Product_ID]</f>
        <v>PROD89</v>
      </c>
      <c r="I331" s="21" t="str">
        <f>VLOOKUP(H331,Products[],2)</f>
        <v>Face Foundation Kit</v>
      </c>
      <c r="J331" s="24">
        <f>Sales[Total_Amount]</f>
        <v>1537.404</v>
      </c>
      <c r="K331" s="21" t="str">
        <f t="shared" si="1"/>
        <v>Apr</v>
      </c>
      <c r="L331" s="21">
        <f t="shared" si="2"/>
        <v>2024</v>
      </c>
      <c r="N331" s="33"/>
      <c r="O331" s="34"/>
    </row>
    <row r="332" ht="22.5" customHeight="1">
      <c r="A332" s="21" t="s">
        <v>2297</v>
      </c>
      <c r="B332" s="21" t="s">
        <v>806</v>
      </c>
      <c r="C332" s="21" t="str">
        <f t="array" ref="C332">XLOOKUP(B332,Customer[Customer_ID],Customer[Name(Cleaned)])</f>
        <v>Douglas Rhodes</v>
      </c>
      <c r="D332" s="22" t="str">
        <f>VLOOKUP(B332,Customer[#ALL],6)</f>
        <v>Female</v>
      </c>
      <c r="E332" s="23">
        <f>Sales[Order_Date]</f>
        <v>45313</v>
      </c>
      <c r="F332" s="21" t="str">
        <f>Sales[Store_ID]</f>
        <v>STORE4</v>
      </c>
      <c r="G332" s="21" t="str">
        <f t="array" ref="G332">INDEX(Store[Store_Name],MATCH(F332,Store[Store_ID],0))</f>
        <v>Alexander Group</v>
      </c>
      <c r="H332" s="21" t="str">
        <f>Sales[Product_ID]</f>
        <v>PROD60</v>
      </c>
      <c r="I332" s="21" t="str">
        <f>VLOOKUP(H332,Products[],2)</f>
        <v>Luxury Perfume Spray</v>
      </c>
      <c r="J332" s="24">
        <f>Sales[Total_Amount]</f>
        <v>1548.9465</v>
      </c>
      <c r="K332" s="21" t="str">
        <f t="shared" si="1"/>
        <v>Jan</v>
      </c>
      <c r="L332" s="21">
        <f t="shared" si="2"/>
        <v>2024</v>
      </c>
      <c r="N332" s="33"/>
      <c r="O332" s="34"/>
    </row>
    <row r="333" ht="22.5" customHeight="1">
      <c r="A333" s="21" t="s">
        <v>2298</v>
      </c>
      <c r="B333" s="21" t="s">
        <v>1035</v>
      </c>
      <c r="C333" s="21" t="str">
        <f t="array" ref="C333">XLOOKUP(B333,Customer[Customer_ID],Customer[Name(Cleaned)])</f>
        <v>Alex Mann Ii</v>
      </c>
      <c r="D333" s="22" t="str">
        <f>VLOOKUP(B333,Customer[#ALL],6)</f>
        <v>Female</v>
      </c>
      <c r="E333" s="23">
        <f>Sales[Order_Date]</f>
        <v>45221</v>
      </c>
      <c r="F333" s="21" t="str">
        <f>Sales[Store_ID]</f>
        <v>STORE6</v>
      </c>
      <c r="G333" s="21" t="str">
        <f t="array" ref="G333">INDEX(Store[Store_Name],MATCH(F333,Store[Store_ID],0))</f>
        <v>Benson-Elliott</v>
      </c>
      <c r="H333" s="21" t="str">
        <f>Sales[Product_ID]</f>
        <v>PROD7</v>
      </c>
      <c r="I333" s="21" t="str">
        <f>VLOOKUP(H333,Products[],2)</f>
        <v>Men's Sports Shorts</v>
      </c>
      <c r="J333" s="24">
        <f>Sales[Total_Amount]</f>
        <v>1969.956</v>
      </c>
      <c r="K333" s="21" t="str">
        <f t="shared" si="1"/>
        <v>Oct</v>
      </c>
      <c r="L333" s="21">
        <f t="shared" si="2"/>
        <v>2023</v>
      </c>
      <c r="N333" s="33"/>
      <c r="O333" s="34"/>
    </row>
    <row r="334" ht="22.5" customHeight="1">
      <c r="A334" s="21" t="s">
        <v>2299</v>
      </c>
      <c r="B334" s="21" t="s">
        <v>788</v>
      </c>
      <c r="C334" s="21" t="str">
        <f t="array" ref="C334">XLOOKUP(B334,Customer[Customer_ID],Customer[Name(Cleaned)])</f>
        <v>Mr. William Horton</v>
      </c>
      <c r="D334" s="22" t="str">
        <f>VLOOKUP(B334,Customer[#ALL],6)</f>
        <v>Female</v>
      </c>
      <c r="E334" s="23">
        <f>Sales[Order_Date]</f>
        <v>45619</v>
      </c>
      <c r="F334" s="21" t="str">
        <f>Sales[Store_ID]</f>
        <v>STORE1</v>
      </c>
      <c r="G334" s="21" t="str">
        <f t="array" ref="G334">INDEX(Store[Store_Name],MATCH(F334,Store[Store_ID],0))</f>
        <v>Martinez, Adkins and Johnson</v>
      </c>
      <c r="H334" s="21" t="str">
        <f>Sales[Product_ID]</f>
        <v>PROD65</v>
      </c>
      <c r="I334" s="21" t="str">
        <f>VLOOKUP(H334,Products[],2)</f>
        <v>Adjustable Dumbbells 20kg</v>
      </c>
      <c r="J334" s="24">
        <f>Sales[Total_Amount]</f>
        <v>1659.9756</v>
      </c>
      <c r="K334" s="21" t="str">
        <f t="shared" si="1"/>
        <v>Nov</v>
      </c>
      <c r="L334" s="21">
        <f t="shared" si="2"/>
        <v>2024</v>
      </c>
      <c r="N334" s="33"/>
      <c r="O334" s="34"/>
    </row>
    <row r="335" ht="22.5" customHeight="1">
      <c r="A335" s="21" t="s">
        <v>2300</v>
      </c>
      <c r="B335" s="21" t="s">
        <v>1224</v>
      </c>
      <c r="C335" s="21" t="str">
        <f t="array" ref="C335">XLOOKUP(B335,Customer[Customer_ID],Customer[Name(Cleaned)])</f>
        <v>Timothy Gardner</v>
      </c>
      <c r="D335" s="22" t="str">
        <f>VLOOKUP(B335,Customer[#ALL],6)</f>
        <v>Male</v>
      </c>
      <c r="E335" s="23">
        <f>Sales[Order_Date]</f>
        <v>45286</v>
      </c>
      <c r="F335" s="21" t="str">
        <f>Sales[Store_ID]</f>
        <v>STORE8</v>
      </c>
      <c r="G335" s="21" t="str">
        <f t="array" ref="G335">INDEX(Store[Store_Name],MATCH(F335,Store[Store_ID],0))</f>
        <v>Bean, Jones and Park</v>
      </c>
      <c r="H335" s="21" t="str">
        <f>Sales[Product_ID]</f>
        <v>PROD26</v>
      </c>
      <c r="I335" s="21" t="str">
        <f>VLOOKUP(H335,Products[],2)</f>
        <v>Wireless Bluetooth Speaker</v>
      </c>
      <c r="J335" s="24">
        <f>Sales[Total_Amount]</f>
        <v>1280.115</v>
      </c>
      <c r="K335" s="21" t="str">
        <f t="shared" si="1"/>
        <v>Dec</v>
      </c>
      <c r="L335" s="21">
        <f t="shared" si="2"/>
        <v>2023</v>
      </c>
      <c r="N335" s="33"/>
      <c r="O335" s="34"/>
    </row>
    <row r="336" ht="22.5" customHeight="1">
      <c r="A336" s="21" t="s">
        <v>2301</v>
      </c>
      <c r="B336" s="21" t="s">
        <v>395</v>
      </c>
      <c r="C336" s="21" t="str">
        <f t="array" ref="C336">XLOOKUP(B336,Customer[Customer_ID],Customer[Name(Cleaned)])</f>
        <v>Ashley Griffin</v>
      </c>
      <c r="D336" s="22" t="str">
        <f>VLOOKUP(B336,Customer[#ALL],6)</f>
        <v>Male</v>
      </c>
      <c r="E336" s="23">
        <f>Sales[Order_Date]</f>
        <v>45451</v>
      </c>
      <c r="F336" s="21" t="str">
        <f>Sales[Store_ID]</f>
        <v>STORE7</v>
      </c>
      <c r="G336" s="21" t="str">
        <f t="array" ref="G336">INDEX(Store[Store_Name],MATCH(F336,Store[Store_ID],0))</f>
        <v>Martinez-Mullins</v>
      </c>
      <c r="H336" s="21" t="str">
        <f>Sales[Product_ID]</f>
        <v>PROD82</v>
      </c>
      <c r="I336" s="21" t="str">
        <f>VLOOKUP(H336,Products[],2)</f>
        <v>Fitness Resistance Bands</v>
      </c>
      <c r="J336" s="24">
        <f>Sales[Total_Amount]</f>
        <v>150.7902</v>
      </c>
      <c r="K336" s="21" t="str">
        <f t="shared" si="1"/>
        <v>Jun</v>
      </c>
      <c r="L336" s="21">
        <f t="shared" si="2"/>
        <v>2024</v>
      </c>
      <c r="N336" s="33"/>
      <c r="O336" s="34"/>
    </row>
    <row r="337" ht="22.5" customHeight="1">
      <c r="A337" s="21" t="s">
        <v>2302</v>
      </c>
      <c r="B337" s="21" t="s">
        <v>1387</v>
      </c>
      <c r="C337" s="21" t="str">
        <f t="array" ref="C337">XLOOKUP(B337,Customer[Customer_ID],Customer[Name(Cleaned)])</f>
        <v>Adam Castro</v>
      </c>
      <c r="D337" s="22" t="str">
        <f>VLOOKUP(B337,Customer[#ALL],6)</f>
        <v>Female</v>
      </c>
      <c r="E337" s="23">
        <f>Sales[Order_Date]</f>
        <v>45875</v>
      </c>
      <c r="F337" s="21" t="str">
        <f>Sales[Store_ID]</f>
        <v>STORE16</v>
      </c>
      <c r="G337" s="21" t="str">
        <f t="array" ref="G337">INDEX(Store[Store_Name],MATCH(F337,Store[Store_ID],0))</f>
        <v>Frederick-Wright</v>
      </c>
      <c r="H337" s="21" t="str">
        <f>Sales[Product_ID]</f>
        <v>PROD34</v>
      </c>
      <c r="I337" s="21" t="str">
        <f>VLOOKUP(H337,Products[],2)</f>
        <v>Gaming Mechanical Keyboard</v>
      </c>
      <c r="J337" s="24">
        <f>Sales[Total_Amount]</f>
        <v>443.66</v>
      </c>
      <c r="K337" s="21" t="str">
        <f t="shared" si="1"/>
        <v>Aug</v>
      </c>
      <c r="L337" s="21">
        <f t="shared" si="2"/>
        <v>2025</v>
      </c>
      <c r="N337" s="33"/>
      <c r="O337" s="34"/>
    </row>
    <row r="338" ht="22.5" customHeight="1">
      <c r="A338" s="21" t="s">
        <v>2303</v>
      </c>
      <c r="B338" s="21" t="s">
        <v>1092</v>
      </c>
      <c r="C338" s="21" t="str">
        <f t="array" ref="C338">XLOOKUP(B338,Customer[Customer_ID],Customer[Name(Cleaned)])</f>
        <v>Ryan Moore</v>
      </c>
      <c r="D338" s="22" t="str">
        <f>VLOOKUP(B338,Customer[#ALL],6)</f>
        <v>Female</v>
      </c>
      <c r="E338" s="23">
        <f>Sales[Order_Date]</f>
        <v>45495</v>
      </c>
      <c r="F338" s="21" t="str">
        <f>Sales[Store_ID]</f>
        <v>STORE3</v>
      </c>
      <c r="G338" s="21" t="str">
        <f t="array" ref="G338">INDEX(Store[Store_Name],MATCH(F338,Store[Store_ID],0))</f>
        <v>Johnson-Wright</v>
      </c>
      <c r="H338" s="21" t="str">
        <f>Sales[Product_ID]</f>
        <v>PROD17</v>
      </c>
      <c r="I338" s="21" t="str">
        <f>VLOOKUP(H338,Products[],2)</f>
        <v>Soccer Training Cone Set</v>
      </c>
      <c r="J338" s="24">
        <f>Sales[Total_Amount]</f>
        <v>782.1754</v>
      </c>
      <c r="K338" s="21" t="str">
        <f t="shared" si="1"/>
        <v>Jul</v>
      </c>
      <c r="L338" s="21">
        <f t="shared" si="2"/>
        <v>2024</v>
      </c>
      <c r="N338" s="33"/>
      <c r="O338" s="34"/>
    </row>
    <row r="339" ht="22.5" customHeight="1">
      <c r="A339" s="21" t="s">
        <v>2304</v>
      </c>
      <c r="B339" s="21" t="s">
        <v>507</v>
      </c>
      <c r="C339" s="21" t="str">
        <f t="array" ref="C339">XLOOKUP(B339,Customer[Customer_ID],Customer[Name(Cleaned)])</f>
        <v>Rhonda Young</v>
      </c>
      <c r="D339" s="22" t="str">
        <f>VLOOKUP(B339,Customer[#ALL],6)</f>
        <v>Male</v>
      </c>
      <c r="E339" s="23">
        <f>Sales[Order_Date]</f>
        <v>45478</v>
      </c>
      <c r="F339" s="21" t="str">
        <f>Sales[Store_ID]</f>
        <v>STORE16</v>
      </c>
      <c r="G339" s="21" t="str">
        <f t="array" ref="G339">INDEX(Store[Store_Name],MATCH(F339,Store[Store_ID],0))</f>
        <v>Frederick-Wright</v>
      </c>
      <c r="H339" s="21" t="str">
        <f>Sales[Product_ID]</f>
        <v>PROD96</v>
      </c>
      <c r="I339" s="21" t="str">
        <f>VLOOKUP(H339,Products[],2)</f>
        <v>Women's Formal Blazer</v>
      </c>
      <c r="J339" s="24">
        <f>Sales[Total_Amount]</f>
        <v>812.7574</v>
      </c>
      <c r="K339" s="21" t="str">
        <f t="shared" si="1"/>
        <v>Jul</v>
      </c>
      <c r="L339" s="21">
        <f t="shared" si="2"/>
        <v>2024</v>
      </c>
      <c r="N339" s="33"/>
      <c r="O339" s="34"/>
    </row>
    <row r="340" ht="22.5" customHeight="1">
      <c r="A340" s="21" t="s">
        <v>2305</v>
      </c>
      <c r="B340" s="21" t="s">
        <v>374</v>
      </c>
      <c r="C340" s="21" t="str">
        <f t="array" ref="C340">XLOOKUP(B340,Customer[Customer_ID],Customer[Name(Cleaned)])</f>
        <v>Steven Stein</v>
      </c>
      <c r="D340" s="22" t="str">
        <f>VLOOKUP(B340,Customer[#ALL],6)</f>
        <v>Female</v>
      </c>
      <c r="E340" s="23">
        <f>Sales[Order_Date]</f>
        <v>45528</v>
      </c>
      <c r="F340" s="21" t="str">
        <f>Sales[Store_ID]</f>
        <v>STORE8</v>
      </c>
      <c r="G340" s="21" t="str">
        <f t="array" ref="G340">INDEX(Store[Store_Name],MATCH(F340,Store[Store_ID],0))</f>
        <v>Bean, Jones and Park</v>
      </c>
      <c r="H340" s="21" t="str">
        <f>Sales[Product_ID]</f>
        <v>PROD34</v>
      </c>
      <c r="I340" s="21" t="str">
        <f>VLOOKUP(H340,Products[],2)</f>
        <v>Gaming Mechanical Keyboard</v>
      </c>
      <c r="J340" s="24">
        <f>Sales[Total_Amount]</f>
        <v>1005.3216</v>
      </c>
      <c r="K340" s="21" t="str">
        <f t="shared" si="1"/>
        <v>Aug</v>
      </c>
      <c r="L340" s="21">
        <f t="shared" si="2"/>
        <v>2024</v>
      </c>
      <c r="N340" s="33"/>
      <c r="O340" s="34"/>
    </row>
    <row r="341" ht="22.5" customHeight="1">
      <c r="A341" s="21" t="s">
        <v>2306</v>
      </c>
      <c r="B341" s="21" t="s">
        <v>914</v>
      </c>
      <c r="C341" s="21" t="str">
        <f t="array" ref="C341">XLOOKUP(B341,Customer[Customer_ID],Customer[Name(Cleaned)])</f>
        <v>Bryan Garcia</v>
      </c>
      <c r="D341" s="22" t="str">
        <f>VLOOKUP(B341,Customer[#ALL],6)</f>
        <v>Male</v>
      </c>
      <c r="E341" s="23">
        <f>Sales[Order_Date]</f>
        <v>45418</v>
      </c>
      <c r="F341" s="21" t="str">
        <f>Sales[Store_ID]</f>
        <v>STORE13</v>
      </c>
      <c r="G341" s="21" t="str">
        <f t="array" ref="G341">INDEX(Store[Store_Name],MATCH(F341,Store[Store_ID],0))</f>
        <v>Gardner, Humphrey and Contreras</v>
      </c>
      <c r="H341" s="21" t="str">
        <f>Sales[Product_ID]</f>
        <v>PROD81</v>
      </c>
      <c r="I341" s="21" t="str">
        <f>VLOOKUP(H341,Products[],2)</f>
        <v>Badminton Racket Set</v>
      </c>
      <c r="J341" s="24">
        <f>Sales[Total_Amount]</f>
        <v>590.841</v>
      </c>
      <c r="K341" s="21" t="str">
        <f t="shared" si="1"/>
        <v>May</v>
      </c>
      <c r="L341" s="21">
        <f t="shared" si="2"/>
        <v>2024</v>
      </c>
      <c r="N341" s="33"/>
      <c r="O341" s="34"/>
    </row>
    <row r="342" ht="22.5" customHeight="1">
      <c r="A342" s="21" t="s">
        <v>2307</v>
      </c>
      <c r="B342" s="21" t="s">
        <v>135</v>
      </c>
      <c r="C342" s="21" t="str">
        <f t="array" ref="C342">XLOOKUP(B342,Customer[Customer_ID],Customer[Name(Cleaned)])</f>
        <v>Sarah Vance</v>
      </c>
      <c r="D342" s="22" t="str">
        <f>VLOOKUP(B342,Customer[#ALL],6)</f>
        <v>Female</v>
      </c>
      <c r="E342" s="23">
        <f>Sales[Order_Date]</f>
        <v>45478</v>
      </c>
      <c r="F342" s="21" t="str">
        <f>Sales[Store_ID]</f>
        <v>STORE6</v>
      </c>
      <c r="G342" s="21" t="str">
        <f t="array" ref="G342">INDEX(Store[Store_Name],MATCH(F342,Store[Store_ID],0))</f>
        <v>Benson-Elliott</v>
      </c>
      <c r="H342" s="21" t="str">
        <f>Sales[Product_ID]</f>
        <v>PROD81</v>
      </c>
      <c r="I342" s="21" t="str">
        <f>VLOOKUP(H342,Products[],2)</f>
        <v>Badminton Racket Set</v>
      </c>
      <c r="J342" s="24">
        <f>Sales[Total_Amount]</f>
        <v>1040.2404</v>
      </c>
      <c r="K342" s="21" t="str">
        <f t="shared" si="1"/>
        <v>Jul</v>
      </c>
      <c r="L342" s="21">
        <f t="shared" si="2"/>
        <v>2024</v>
      </c>
      <c r="N342" s="33"/>
      <c r="O342" s="34"/>
    </row>
    <row r="343" ht="22.5" customHeight="1">
      <c r="A343" s="21" t="s">
        <v>2308</v>
      </c>
      <c r="B343" s="21" t="s">
        <v>434</v>
      </c>
      <c r="C343" s="21" t="str">
        <f t="array" ref="C343">XLOOKUP(B343,Customer[Customer_ID],Customer[Name(Cleaned)])</f>
        <v>Erin Hopkins</v>
      </c>
      <c r="D343" s="22" t="str">
        <f>VLOOKUP(B343,Customer[#ALL],6)</f>
        <v>Female</v>
      </c>
      <c r="E343" s="23">
        <f>Sales[Order_Date]</f>
        <v>45232</v>
      </c>
      <c r="F343" s="21" t="str">
        <f>Sales[Store_ID]</f>
        <v>STORE4</v>
      </c>
      <c r="G343" s="21" t="str">
        <f t="array" ref="G343">INDEX(Store[Store_Name],MATCH(F343,Store[Store_ID],0))</f>
        <v>Alexander Group</v>
      </c>
      <c r="H343" s="21" t="str">
        <f>Sales[Product_ID]</f>
        <v>PROD77</v>
      </c>
      <c r="I343" s="21" t="str">
        <f>VLOOKUP(H343,Products[],2)</f>
        <v>WiFi Mesh Router</v>
      </c>
      <c r="J343" s="24">
        <f>Sales[Total_Amount]</f>
        <v>2182.4464</v>
      </c>
      <c r="K343" s="21" t="str">
        <f t="shared" si="1"/>
        <v>Nov</v>
      </c>
      <c r="L343" s="21">
        <f t="shared" si="2"/>
        <v>2023</v>
      </c>
      <c r="N343" s="33"/>
      <c r="O343" s="34"/>
    </row>
    <row r="344" ht="22.5" customHeight="1">
      <c r="A344" s="21" t="s">
        <v>2309</v>
      </c>
      <c r="B344" s="21" t="s">
        <v>30</v>
      </c>
      <c r="C344" s="21" t="str">
        <f t="array" ref="C344">XLOOKUP(B344,Customer[Customer_ID],Customer[Name(Cleaned)])</f>
        <v>Jeremy Harris</v>
      </c>
      <c r="D344" s="22" t="str">
        <f>VLOOKUP(B344,Customer[#ALL],6)</f>
        <v>Male</v>
      </c>
      <c r="E344" s="23">
        <f>Sales[Order_Date]</f>
        <v>45616</v>
      </c>
      <c r="F344" s="21" t="str">
        <f>Sales[Store_ID]</f>
        <v>STORE18</v>
      </c>
      <c r="G344" s="21" t="str">
        <f t="array" ref="G344">INDEX(Store[Store_Name],MATCH(F344,Store[Store_ID],0))</f>
        <v>Guerrero-Schmitt</v>
      </c>
      <c r="H344" s="21" t="str">
        <f>Sales[Product_ID]</f>
        <v>PROD60</v>
      </c>
      <c r="I344" s="21" t="str">
        <f>VLOOKUP(H344,Products[],2)</f>
        <v>Luxury Perfume Spray</v>
      </c>
      <c r="J344" s="24">
        <f>Sales[Total_Amount]</f>
        <v>105.4728</v>
      </c>
      <c r="K344" s="21" t="str">
        <f t="shared" si="1"/>
        <v>Nov</v>
      </c>
      <c r="L344" s="21">
        <f t="shared" si="2"/>
        <v>2024</v>
      </c>
      <c r="N344" s="33"/>
      <c r="O344" s="34"/>
    </row>
    <row r="345" ht="22.5" customHeight="1">
      <c r="A345" s="21" t="s">
        <v>2310</v>
      </c>
      <c r="B345" s="21" t="s">
        <v>483</v>
      </c>
      <c r="C345" s="21" t="str">
        <f t="array" ref="C345">XLOOKUP(B345,Customer[Customer_ID],Customer[Name(Cleaned)])</f>
        <v>Brian Holder</v>
      </c>
      <c r="D345" s="22" t="str">
        <f>VLOOKUP(B345,Customer[#ALL],6)</f>
        <v>Female</v>
      </c>
      <c r="E345" s="23">
        <f>Sales[Order_Date]</f>
        <v>45774</v>
      </c>
      <c r="F345" s="21" t="str">
        <f>Sales[Store_ID]</f>
        <v>STORE15</v>
      </c>
      <c r="G345" s="21" t="str">
        <f t="array" ref="G345">INDEX(Store[Store_Name],MATCH(F345,Store[Store_ID],0))</f>
        <v>Shelton PLC</v>
      </c>
      <c r="H345" s="21" t="str">
        <f>Sales[Product_ID]</f>
        <v>PROD38</v>
      </c>
      <c r="I345" s="21" t="str">
        <f>VLOOKUP(H345,Products[],2)</f>
        <v>Sports Water Hydration Pack</v>
      </c>
      <c r="J345" s="24">
        <f>Sales[Total_Amount]</f>
        <v>343.6694</v>
      </c>
      <c r="K345" s="21" t="str">
        <f t="shared" si="1"/>
        <v>Apr</v>
      </c>
      <c r="L345" s="21">
        <f t="shared" si="2"/>
        <v>2025</v>
      </c>
      <c r="N345" s="33"/>
      <c r="O345" s="34"/>
    </row>
    <row r="346" ht="22.5" customHeight="1">
      <c r="A346" s="21" t="s">
        <v>2311</v>
      </c>
      <c r="B346" s="21" t="s">
        <v>126</v>
      </c>
      <c r="C346" s="21" t="str">
        <f t="array" ref="C346">XLOOKUP(B346,Customer[Customer_ID],Customer[Name(Cleaned)])</f>
        <v>Joshua Ryan</v>
      </c>
      <c r="D346" s="22" t="str">
        <f>VLOOKUP(B346,Customer[#ALL],6)</f>
        <v>Male</v>
      </c>
      <c r="E346" s="23">
        <f>Sales[Order_Date]</f>
        <v>45651</v>
      </c>
      <c r="F346" s="21" t="str">
        <f>Sales[Store_ID]</f>
        <v>STORE5</v>
      </c>
      <c r="G346" s="21" t="str">
        <f t="array" ref="G346">INDEX(Store[Store_Name],MATCH(F346,Store[Store_ID],0))</f>
        <v>Gray Ltd</v>
      </c>
      <c r="H346" s="21" t="str">
        <f>Sales[Product_ID]</f>
        <v>PROD61</v>
      </c>
      <c r="I346" s="21" t="str">
        <f>VLOOKUP(H346,Products[],2)</f>
        <v>Tennis Ball 3-Pack</v>
      </c>
      <c r="J346" s="24">
        <f>Sales[Total_Amount]</f>
        <v>103.9311</v>
      </c>
      <c r="K346" s="21" t="str">
        <f t="shared" si="1"/>
        <v>Dec</v>
      </c>
      <c r="L346" s="21">
        <f t="shared" si="2"/>
        <v>2024</v>
      </c>
      <c r="N346" s="33"/>
      <c r="O346" s="34"/>
    </row>
    <row r="347" ht="22.5" customHeight="1">
      <c r="A347" s="21" t="s">
        <v>2312</v>
      </c>
      <c r="B347" s="21" t="s">
        <v>1270</v>
      </c>
      <c r="C347" s="21" t="str">
        <f t="array" ref="C347">XLOOKUP(B347,Customer[Customer_ID],Customer[Name(Cleaned)])</f>
        <v>Justin Ingram</v>
      </c>
      <c r="D347" s="22" t="str">
        <f>VLOOKUP(B347,Customer[#ALL],6)</f>
        <v>Female</v>
      </c>
      <c r="E347" s="23">
        <f>Sales[Order_Date]</f>
        <v>45902</v>
      </c>
      <c r="F347" s="21" t="str">
        <f>Sales[Store_ID]</f>
        <v>STORE4</v>
      </c>
      <c r="G347" s="21" t="str">
        <f t="array" ref="G347">INDEX(Store[Store_Name],MATCH(F347,Store[Store_ID],0))</f>
        <v>Alexander Group</v>
      </c>
      <c r="H347" s="21" t="str">
        <f>Sales[Product_ID]</f>
        <v>PROD34</v>
      </c>
      <c r="I347" s="21" t="str">
        <f>VLOOKUP(H347,Products[],2)</f>
        <v>Gaming Mechanical Keyboard</v>
      </c>
      <c r="J347" s="24">
        <f>Sales[Total_Amount]</f>
        <v>900.592</v>
      </c>
      <c r="K347" s="21" t="str">
        <f t="shared" si="1"/>
        <v>Sep</v>
      </c>
      <c r="L347" s="21">
        <f t="shared" si="2"/>
        <v>2025</v>
      </c>
      <c r="N347" s="33"/>
      <c r="O347" s="34"/>
    </row>
    <row r="348" ht="22.5" customHeight="1">
      <c r="A348" s="21" t="s">
        <v>2313</v>
      </c>
      <c r="B348" s="21" t="s">
        <v>340</v>
      </c>
      <c r="C348" s="21" t="str">
        <f t="array" ref="C348">XLOOKUP(B348,Customer[Customer_ID],Customer[Name(Cleaned)])</f>
        <v>Robert Jackson</v>
      </c>
      <c r="D348" s="22" t="str">
        <f>VLOOKUP(B348,Customer[#ALL],6)</f>
        <v>Male</v>
      </c>
      <c r="E348" s="23">
        <f>Sales[Order_Date]</f>
        <v>45401</v>
      </c>
      <c r="F348" s="21" t="str">
        <f>Sales[Store_ID]</f>
        <v>STORE8</v>
      </c>
      <c r="G348" s="21" t="str">
        <f t="array" ref="G348">INDEX(Store[Store_Name],MATCH(F348,Store[Store_ID],0))</f>
        <v>Bean, Jones and Park</v>
      </c>
      <c r="H348" s="21" t="str">
        <f>Sales[Product_ID]</f>
        <v>PROD75</v>
      </c>
      <c r="I348" s="21" t="str">
        <f>VLOOKUP(H348,Products[],2)</f>
        <v>Women's Ankle Boots</v>
      </c>
      <c r="J348" s="24">
        <f>Sales[Total_Amount]</f>
        <v>1505.2576</v>
      </c>
      <c r="K348" s="21" t="str">
        <f t="shared" si="1"/>
        <v>Apr</v>
      </c>
      <c r="L348" s="21">
        <f t="shared" si="2"/>
        <v>2024</v>
      </c>
      <c r="N348" s="33"/>
      <c r="O348" s="34"/>
    </row>
    <row r="349" ht="22.5" customHeight="1">
      <c r="A349" s="21" t="s">
        <v>2314</v>
      </c>
      <c r="B349" s="21" t="s">
        <v>1540</v>
      </c>
      <c r="C349" s="21" t="str">
        <f t="array" ref="C349">XLOOKUP(B349,Customer[Customer_ID],Customer[Name(Cleaned)])</f>
        <v>Christopher Ford</v>
      </c>
      <c r="D349" s="22" t="str">
        <f>VLOOKUP(B349,Customer[#ALL],6)</f>
        <v>Female</v>
      </c>
      <c r="E349" s="23">
        <f>Sales[Order_Date]</f>
        <v>45444</v>
      </c>
      <c r="F349" s="21" t="str">
        <f>Sales[Store_ID]</f>
        <v>STORE11</v>
      </c>
      <c r="G349" s="21" t="str">
        <f t="array" ref="G349">INDEX(Store[Store_Name],MATCH(F349,Store[Store_ID],0))</f>
        <v>Aguirre-Keller</v>
      </c>
      <c r="H349" s="21" t="str">
        <f>Sales[Product_ID]</f>
        <v>PROD51</v>
      </c>
      <c r="I349" s="21" t="str">
        <f>VLOOKUP(H349,Products[],2)</f>
        <v>HDMI Cable – 2m</v>
      </c>
      <c r="J349" s="24">
        <f>Sales[Total_Amount]</f>
        <v>850.2975</v>
      </c>
      <c r="K349" s="21" t="str">
        <f t="shared" si="1"/>
        <v>Jun</v>
      </c>
      <c r="L349" s="21">
        <f t="shared" si="2"/>
        <v>2024</v>
      </c>
      <c r="N349" s="33"/>
      <c r="O349" s="34"/>
    </row>
    <row r="350" ht="22.5" customHeight="1">
      <c r="A350" s="21" t="s">
        <v>2315</v>
      </c>
      <c r="B350" s="21" t="s">
        <v>1236</v>
      </c>
      <c r="C350" s="21" t="str">
        <f t="array" ref="C350">XLOOKUP(B350,Customer[Customer_ID],Customer[Name(Cleaned)])</f>
        <v>Heidi Tyler</v>
      </c>
      <c r="D350" s="22" t="str">
        <f>VLOOKUP(B350,Customer[#ALL],6)</f>
        <v>Male</v>
      </c>
      <c r="E350" s="23">
        <f>Sales[Order_Date]</f>
        <v>45717</v>
      </c>
      <c r="F350" s="21" t="str">
        <f>Sales[Store_ID]</f>
        <v>STORE12</v>
      </c>
      <c r="G350" s="21" t="str">
        <f t="array" ref="G350">INDEX(Store[Store_Name],MATCH(F350,Store[Store_ID],0))</f>
        <v>Thomas, Bridges and Harris</v>
      </c>
      <c r="H350" s="21" t="str">
        <f>Sales[Product_ID]</f>
        <v>PROD50</v>
      </c>
      <c r="I350" s="21" t="str">
        <f>VLOOKUP(H350,Products[],2)</f>
        <v>Boxing Hand Wraps</v>
      </c>
      <c r="J350" s="24">
        <f>Sales[Total_Amount]</f>
        <v>926.401</v>
      </c>
      <c r="K350" s="21" t="str">
        <f t="shared" si="1"/>
        <v>Mar</v>
      </c>
      <c r="L350" s="21">
        <f t="shared" si="2"/>
        <v>2025</v>
      </c>
      <c r="N350" s="33"/>
      <c r="O350" s="34"/>
    </row>
    <row r="351" ht="22.5" customHeight="1">
      <c r="A351" s="21" t="s">
        <v>2316</v>
      </c>
      <c r="B351" s="21" t="s">
        <v>1356</v>
      </c>
      <c r="C351" s="21" t="str">
        <f t="array" ref="C351">XLOOKUP(B351,Customer[Customer_ID],Customer[Name(Cleaned)])</f>
        <v>Summer Weiss</v>
      </c>
      <c r="D351" s="22" t="str">
        <f>VLOOKUP(B351,Customer[#ALL],6)</f>
        <v>Female</v>
      </c>
      <c r="E351" s="23">
        <f>Sales[Order_Date]</f>
        <v>45376</v>
      </c>
      <c r="F351" s="21" t="str">
        <f>Sales[Store_ID]</f>
        <v>STORE5</v>
      </c>
      <c r="G351" s="21" t="str">
        <f t="array" ref="G351">INDEX(Store[Store_Name],MATCH(F351,Store[Store_ID],0))</f>
        <v>Gray Ltd</v>
      </c>
      <c r="H351" s="21" t="str">
        <f>Sales[Product_ID]</f>
        <v>PROD48</v>
      </c>
      <c r="I351" s="21" t="str">
        <f>VLOOKUP(H351,Products[],2)</f>
        <v>Car Dashboard Phone Holder</v>
      </c>
      <c r="J351" s="24">
        <f>Sales[Total_Amount]</f>
        <v>242.039</v>
      </c>
      <c r="K351" s="21" t="str">
        <f t="shared" si="1"/>
        <v>Mar</v>
      </c>
      <c r="L351" s="21">
        <f t="shared" si="2"/>
        <v>2024</v>
      </c>
      <c r="N351" s="33"/>
      <c r="O351" s="34"/>
    </row>
    <row r="352" ht="22.5" customHeight="1">
      <c r="A352" s="21" t="s">
        <v>2317</v>
      </c>
      <c r="B352" s="21" t="s">
        <v>1101</v>
      </c>
      <c r="C352" s="21" t="str">
        <f t="array" ref="C352">XLOOKUP(B352,Customer[Customer_ID],Customer[Name(Cleaned)])</f>
        <v>John Jordan</v>
      </c>
      <c r="D352" s="22" t="str">
        <f>VLOOKUP(B352,Customer[#ALL],6)</f>
        <v>Male</v>
      </c>
      <c r="E352" s="23">
        <f>Sales[Order_Date]</f>
        <v>45576</v>
      </c>
      <c r="F352" s="21" t="str">
        <f>Sales[Store_ID]</f>
        <v>STORE8</v>
      </c>
      <c r="G352" s="21" t="str">
        <f t="array" ref="G352">INDEX(Store[Store_Name],MATCH(F352,Store[Store_ID],0))</f>
        <v>Bean, Jones and Park</v>
      </c>
      <c r="H352" s="21" t="str">
        <f>Sales[Product_ID]</f>
        <v>PROD31</v>
      </c>
      <c r="I352" s="21" t="str">
        <f>VLOOKUP(H352,Products[],2)</f>
        <v>Basketball</v>
      </c>
      <c r="J352" s="24">
        <f>Sales[Total_Amount]</f>
        <v>1627.4391</v>
      </c>
      <c r="K352" s="21" t="str">
        <f t="shared" si="1"/>
        <v>Oct</v>
      </c>
      <c r="L352" s="21">
        <f t="shared" si="2"/>
        <v>2024</v>
      </c>
      <c r="N352" s="33"/>
      <c r="O352" s="34"/>
    </row>
    <row r="353" ht="22.5" customHeight="1">
      <c r="A353" s="21" t="s">
        <v>2318</v>
      </c>
      <c r="B353" s="21" t="s">
        <v>100</v>
      </c>
      <c r="C353" s="21" t="str">
        <f t="array" ref="C353">XLOOKUP(B353,Customer[Customer_ID],Customer[Name(Cleaned)])</f>
        <v>Jeff Martinez</v>
      </c>
      <c r="D353" s="22" t="str">
        <f>VLOOKUP(B353,Customer[#ALL],6)</f>
        <v>Male</v>
      </c>
      <c r="E353" s="23">
        <f>Sales[Order_Date]</f>
        <v>45906</v>
      </c>
      <c r="F353" s="21" t="str">
        <f>Sales[Store_ID]</f>
        <v>STORE18</v>
      </c>
      <c r="G353" s="21" t="str">
        <f t="array" ref="G353">INDEX(Store[Store_Name],MATCH(F353,Store[Store_ID],0))</f>
        <v>Guerrero-Schmitt</v>
      </c>
      <c r="H353" s="21" t="str">
        <f>Sales[Product_ID]</f>
        <v>PROD26</v>
      </c>
      <c r="I353" s="21" t="str">
        <f>VLOOKUP(H353,Products[],2)</f>
        <v>Wireless Bluetooth Speaker</v>
      </c>
      <c r="J353" s="24">
        <f>Sales[Total_Amount]</f>
        <v>138.4229</v>
      </c>
      <c r="K353" s="21" t="str">
        <f t="shared" si="1"/>
        <v>Sep</v>
      </c>
      <c r="L353" s="21">
        <f t="shared" si="2"/>
        <v>2025</v>
      </c>
      <c r="N353" s="33"/>
      <c r="O353" s="34"/>
    </row>
    <row r="354" ht="22.5" customHeight="1">
      <c r="A354" s="21" t="s">
        <v>2319</v>
      </c>
      <c r="B354" s="21" t="s">
        <v>51</v>
      </c>
      <c r="C354" s="21" t="str">
        <f t="array" ref="C354">XLOOKUP(B354,Customer[Customer_ID],Customer[Name(Cleaned)])</f>
        <v>Melissa Howard</v>
      </c>
      <c r="D354" s="22" t="str">
        <f>VLOOKUP(B354,Customer[#ALL],6)</f>
        <v>Male</v>
      </c>
      <c r="E354" s="23">
        <f>Sales[Order_Date]</f>
        <v>45523</v>
      </c>
      <c r="F354" s="21" t="str">
        <f>Sales[Store_ID]</f>
        <v>STORE9</v>
      </c>
      <c r="G354" s="21" t="str">
        <f t="array" ref="G354">INDEX(Store[Store_Name],MATCH(F354,Store[Store_ID],0))</f>
        <v>Moore, Padilla and Butler</v>
      </c>
      <c r="H354" s="21" t="str">
        <f>Sales[Product_ID]</f>
        <v>PROD0</v>
      </c>
      <c r="I354" s="21" t="str">
        <f>VLOOKUP(H354,Products[],2)</f>
        <v>Brother Laser Printer</v>
      </c>
      <c r="J354" s="24">
        <f>Sales[Total_Amount]</f>
        <v>1774.344</v>
      </c>
      <c r="K354" s="21" t="str">
        <f t="shared" si="1"/>
        <v>Aug</v>
      </c>
      <c r="L354" s="21">
        <f t="shared" si="2"/>
        <v>2024</v>
      </c>
      <c r="N354" s="33"/>
      <c r="O354" s="34"/>
    </row>
    <row r="355" ht="22.5" customHeight="1">
      <c r="A355" s="21" t="s">
        <v>2320</v>
      </c>
      <c r="B355" s="21" t="s">
        <v>1288</v>
      </c>
      <c r="C355" s="21" t="str">
        <f t="array" ref="C355">XLOOKUP(B355,Customer[Customer_ID],Customer[Name(Cleaned)])</f>
        <v>Sarah Smith</v>
      </c>
      <c r="D355" s="22" t="str">
        <f>VLOOKUP(B355,Customer[#ALL],6)</f>
        <v>Female</v>
      </c>
      <c r="E355" s="23">
        <f>Sales[Order_Date]</f>
        <v>45234</v>
      </c>
      <c r="F355" s="21" t="str">
        <f>Sales[Store_ID]</f>
        <v>STORE15</v>
      </c>
      <c r="G355" s="21" t="str">
        <f t="array" ref="G355">INDEX(Store[Store_Name],MATCH(F355,Store[Store_ID],0))</f>
        <v>Shelton PLC</v>
      </c>
      <c r="H355" s="21" t="str">
        <f>Sales[Product_ID]</f>
        <v>PROD71</v>
      </c>
      <c r="I355" s="21" t="str">
        <f>VLOOKUP(H355,Products[],2)</f>
        <v>Hair Repair Oil Treatment</v>
      </c>
      <c r="J355" s="24">
        <f>Sales[Total_Amount]</f>
        <v>1477.5</v>
      </c>
      <c r="K355" s="21" t="str">
        <f t="shared" si="1"/>
        <v>Nov</v>
      </c>
      <c r="L355" s="21">
        <f t="shared" si="2"/>
        <v>2023</v>
      </c>
      <c r="N355" s="33"/>
      <c r="O355" s="34"/>
    </row>
    <row r="356" ht="22.5" customHeight="1">
      <c r="A356" s="21" t="s">
        <v>2321</v>
      </c>
      <c r="B356" s="21" t="s">
        <v>1508</v>
      </c>
      <c r="C356" s="21" t="str">
        <f t="array" ref="C356">XLOOKUP(B356,Customer[Customer_ID],Customer[Name(Cleaned)])</f>
        <v>Sara Ingram</v>
      </c>
      <c r="D356" s="22" t="str">
        <f>VLOOKUP(B356,Customer[#ALL],6)</f>
        <v>Male</v>
      </c>
      <c r="E356" s="23">
        <f>Sales[Order_Date]</f>
        <v>45405</v>
      </c>
      <c r="F356" s="21" t="str">
        <f>Sales[Store_ID]</f>
        <v>STORE10</v>
      </c>
      <c r="G356" s="21" t="str">
        <f t="array" ref="G356">INDEX(Store[Store_Name],MATCH(F356,Store[Store_ID],0))</f>
        <v>Hill, Wagner and Ballard</v>
      </c>
      <c r="H356" s="21" t="str">
        <f>Sales[Product_ID]</f>
        <v>PROD88</v>
      </c>
      <c r="I356" s="21" t="str">
        <f>VLOOKUP(H356,Products[],2)</f>
        <v>Sports Wrist Sweatbands</v>
      </c>
      <c r="J356" s="24">
        <f>Sales[Total_Amount]</f>
        <v>615.7404</v>
      </c>
      <c r="K356" s="21" t="str">
        <f t="shared" si="1"/>
        <v>Apr</v>
      </c>
      <c r="L356" s="21">
        <f t="shared" si="2"/>
        <v>2024</v>
      </c>
      <c r="N356" s="33"/>
      <c r="O356" s="34"/>
    </row>
    <row r="357" ht="22.5" customHeight="1">
      <c r="A357" s="21" t="s">
        <v>2322</v>
      </c>
      <c r="B357" s="21" t="s">
        <v>416</v>
      </c>
      <c r="C357" s="21" t="str">
        <f t="array" ref="C357">XLOOKUP(B357,Customer[Customer_ID],Customer[Name(Cleaned)])</f>
        <v>Colleen Mccarthy</v>
      </c>
      <c r="D357" s="22" t="str">
        <f>VLOOKUP(B357,Customer[#ALL],6)</f>
        <v>Male</v>
      </c>
      <c r="E357" s="23">
        <f>Sales[Order_Date]</f>
        <v>45223</v>
      </c>
      <c r="F357" s="21" t="str">
        <f>Sales[Store_ID]</f>
        <v>STORE2</v>
      </c>
      <c r="G357" s="21" t="str">
        <f t="array" ref="G357">INDEX(Store[Store_Name],MATCH(F357,Store[Store_ID],0))</f>
        <v>Black-Horn</v>
      </c>
      <c r="H357" s="21" t="str">
        <f>Sales[Product_ID]</f>
        <v>PROD64</v>
      </c>
      <c r="I357" s="21" t="str">
        <f>VLOOKUP(H357,Products[],2)</f>
        <v>Matte Lipstick Set</v>
      </c>
      <c r="J357" s="24">
        <f>Sales[Total_Amount]</f>
        <v>2774.6132</v>
      </c>
      <c r="K357" s="21" t="str">
        <f t="shared" si="1"/>
        <v>Oct</v>
      </c>
      <c r="L357" s="21">
        <f t="shared" si="2"/>
        <v>2023</v>
      </c>
      <c r="N357" s="33"/>
      <c r="O357" s="34"/>
    </row>
    <row r="358" ht="22.5" customHeight="1">
      <c r="A358" s="21" t="s">
        <v>2323</v>
      </c>
      <c r="B358" s="21" t="s">
        <v>833</v>
      </c>
      <c r="C358" s="21" t="str">
        <f t="array" ref="C358">XLOOKUP(B358,Customer[Customer_ID],Customer[Name(Cleaned)])</f>
        <v>Kristen Fischer</v>
      </c>
      <c r="D358" s="22" t="str">
        <f>VLOOKUP(B358,Customer[#ALL],6)</f>
        <v>Female</v>
      </c>
      <c r="E358" s="23">
        <f>Sales[Order_Date]</f>
        <v>45838</v>
      </c>
      <c r="F358" s="21" t="str">
        <f>Sales[Store_ID]</f>
        <v>STORE7</v>
      </c>
      <c r="G358" s="21" t="str">
        <f t="array" ref="G358">INDEX(Store[Store_Name],MATCH(F358,Store[Store_ID],0))</f>
        <v>Martinez-Mullins</v>
      </c>
      <c r="H358" s="21" t="str">
        <f>Sales[Product_ID]</f>
        <v>PROD48</v>
      </c>
      <c r="I358" s="21" t="str">
        <f>VLOOKUP(H358,Products[],2)</f>
        <v>Car Dashboard Phone Holder</v>
      </c>
      <c r="J358" s="24">
        <f>Sales[Total_Amount]</f>
        <v>450.524</v>
      </c>
      <c r="K358" s="21" t="str">
        <f t="shared" si="1"/>
        <v>Jun</v>
      </c>
      <c r="L358" s="21">
        <f t="shared" si="2"/>
        <v>2025</v>
      </c>
      <c r="N358" s="33"/>
      <c r="O358" s="34"/>
    </row>
    <row r="359" ht="22.5" customHeight="1">
      <c r="A359" s="21" t="s">
        <v>2324</v>
      </c>
      <c r="B359" s="21" t="s">
        <v>570</v>
      </c>
      <c r="C359" s="21" t="str">
        <f t="array" ref="C359">XLOOKUP(B359,Customer[Customer_ID],Customer[Name(Cleaned)])</f>
        <v>Daniel Contreras</v>
      </c>
      <c r="D359" s="22" t="str">
        <f>VLOOKUP(B359,Customer[#ALL],6)</f>
        <v>Male</v>
      </c>
      <c r="E359" s="23">
        <f>Sales[Order_Date]</f>
        <v>45883</v>
      </c>
      <c r="F359" s="21" t="str">
        <f>Sales[Store_ID]</f>
        <v>STORE8</v>
      </c>
      <c r="G359" s="21" t="str">
        <f t="array" ref="G359">INDEX(Store[Store_Name],MATCH(F359,Store[Store_ID],0))</f>
        <v>Bean, Jones and Park</v>
      </c>
      <c r="H359" s="21" t="str">
        <f>Sales[Product_ID]</f>
        <v>PROD39</v>
      </c>
      <c r="I359" s="21" t="str">
        <f>VLOOKUP(H359,Products[],2)</f>
        <v>Portable Power Bank</v>
      </c>
      <c r="J359" s="24">
        <f>Sales[Total_Amount]</f>
        <v>2549.484</v>
      </c>
      <c r="K359" s="21" t="str">
        <f t="shared" si="1"/>
        <v>Aug</v>
      </c>
      <c r="L359" s="21">
        <f t="shared" si="2"/>
        <v>2025</v>
      </c>
      <c r="N359" s="33"/>
      <c r="O359" s="34"/>
    </row>
    <row r="360" ht="22.5" customHeight="1">
      <c r="A360" s="21" t="s">
        <v>2325</v>
      </c>
      <c r="B360" s="21" t="s">
        <v>558</v>
      </c>
      <c r="C360" s="21" t="str">
        <f t="array" ref="C360">XLOOKUP(B360,Customer[Customer_ID],Customer[Name(Cleaned)])</f>
        <v>Daniel Rivas</v>
      </c>
      <c r="D360" s="22" t="str">
        <f>VLOOKUP(B360,Customer[#ALL],6)</f>
        <v>Male</v>
      </c>
      <c r="E360" s="23">
        <f>Sales[Order_Date]</f>
        <v>45662</v>
      </c>
      <c r="F360" s="21" t="str">
        <f>Sales[Store_ID]</f>
        <v>STORE12</v>
      </c>
      <c r="G360" s="21" t="str">
        <f t="array" ref="G360">INDEX(Store[Store_Name],MATCH(F360,Store[Store_ID],0))</f>
        <v>Thomas, Bridges and Harris</v>
      </c>
      <c r="H360" s="21" t="str">
        <f>Sales[Product_ID]</f>
        <v>PROD48</v>
      </c>
      <c r="I360" s="21" t="str">
        <f>VLOOKUP(H360,Products[],2)</f>
        <v>Car Dashboard Phone Holder</v>
      </c>
      <c r="J360" s="24">
        <f>Sales[Total_Amount]</f>
        <v>3306.1392</v>
      </c>
      <c r="K360" s="21" t="str">
        <f t="shared" si="1"/>
        <v>Jan</v>
      </c>
      <c r="L360" s="21">
        <f t="shared" si="2"/>
        <v>2025</v>
      </c>
      <c r="N360" s="33"/>
      <c r="O360" s="34"/>
    </row>
    <row r="361" ht="22.5" customHeight="1">
      <c r="A361" s="21" t="s">
        <v>2326</v>
      </c>
      <c r="B361" s="21" t="s">
        <v>1390</v>
      </c>
      <c r="C361" s="21" t="str">
        <f t="array" ref="C361">XLOOKUP(B361,Customer[Customer_ID],Customer[Name(Cleaned)])</f>
        <v>Cheryl Carr</v>
      </c>
      <c r="D361" s="22" t="str">
        <f>VLOOKUP(B361,Customer[#ALL],6)</f>
        <v>Female</v>
      </c>
      <c r="E361" s="23">
        <f>Sales[Order_Date]</f>
        <v>45788</v>
      </c>
      <c r="F361" s="21" t="str">
        <f>Sales[Store_ID]</f>
        <v>STORE3</v>
      </c>
      <c r="G361" s="21" t="str">
        <f t="array" ref="G361">INDEX(Store[Store_Name],MATCH(F361,Store[Store_ID],0))</f>
        <v>Johnson-Wright</v>
      </c>
      <c r="H361" s="21" t="str">
        <f>Sales[Product_ID]</f>
        <v>PROD54</v>
      </c>
      <c r="I361" s="21" t="str">
        <f>VLOOKUP(H361,Products[],2)</f>
        <v>Sports Stopwatch Pro</v>
      </c>
      <c r="J361" s="24">
        <f>Sales[Total_Amount]</f>
        <v>1359.5925</v>
      </c>
      <c r="K361" s="21" t="str">
        <f t="shared" si="1"/>
        <v>May</v>
      </c>
      <c r="L361" s="21">
        <f t="shared" si="2"/>
        <v>2025</v>
      </c>
      <c r="N361" s="33"/>
      <c r="O361" s="34"/>
    </row>
    <row r="362" ht="22.5" customHeight="1">
      <c r="A362" s="21" t="s">
        <v>2327</v>
      </c>
      <c r="B362" s="21" t="s">
        <v>984</v>
      </c>
      <c r="C362" s="21" t="str">
        <f t="array" ref="C362">XLOOKUP(B362,Customer[Customer_ID],Customer[Name(Cleaned)])</f>
        <v>Brandy Thompson</v>
      </c>
      <c r="D362" s="22" t="str">
        <f>VLOOKUP(B362,Customer[#ALL],6)</f>
        <v>Male</v>
      </c>
      <c r="E362" s="23">
        <f>Sales[Order_Date]</f>
        <v>45383</v>
      </c>
      <c r="F362" s="21" t="str">
        <f>Sales[Store_ID]</f>
        <v>STORE9</v>
      </c>
      <c r="G362" s="21" t="str">
        <f t="array" ref="G362">INDEX(Store[Store_Name],MATCH(F362,Store[Store_ID],0))</f>
        <v>Moore, Padilla and Butler</v>
      </c>
      <c r="H362" s="21" t="str">
        <f>Sales[Product_ID]</f>
        <v>PROD74</v>
      </c>
      <c r="I362" s="21" t="str">
        <f>VLOOKUP(H362,Products[],2)</f>
        <v>Bluetooth Car Audio System</v>
      </c>
      <c r="J362" s="24">
        <f>Sales[Total_Amount]</f>
        <v>1373.7651</v>
      </c>
      <c r="K362" s="21" t="str">
        <f t="shared" si="1"/>
        <v>Apr</v>
      </c>
      <c r="L362" s="21">
        <f t="shared" si="2"/>
        <v>2024</v>
      </c>
      <c r="N362" s="33"/>
      <c r="O362" s="34"/>
    </row>
    <row r="363" ht="22.5" customHeight="1">
      <c r="A363" s="21" t="s">
        <v>2328</v>
      </c>
      <c r="B363" s="21" t="s">
        <v>975</v>
      </c>
      <c r="C363" s="21" t="str">
        <f t="array" ref="C363">XLOOKUP(B363,Customer[Customer_ID],Customer[Name(Cleaned)])</f>
        <v>Miss Alexandria Li Dvm</v>
      </c>
      <c r="D363" s="22" t="str">
        <f>VLOOKUP(B363,Customer[#ALL],6)</f>
        <v>Female</v>
      </c>
      <c r="E363" s="23">
        <f>Sales[Order_Date]</f>
        <v>45335</v>
      </c>
      <c r="F363" s="21" t="str">
        <f>Sales[Store_ID]</f>
        <v>STORE11</v>
      </c>
      <c r="G363" s="21" t="str">
        <f t="array" ref="G363">INDEX(Store[Store_Name],MATCH(F363,Store[Store_ID],0))</f>
        <v>Aguirre-Keller</v>
      </c>
      <c r="H363" s="21" t="str">
        <f>Sales[Product_ID]</f>
        <v>PROD94</v>
      </c>
      <c r="I363" s="21" t="str">
        <f>VLOOKUP(H363,Products[],2)</f>
        <v>Vitamin E Body Lotion</v>
      </c>
      <c r="J363" s="24">
        <f>Sales[Total_Amount]</f>
        <v>502.6212</v>
      </c>
      <c r="K363" s="21" t="str">
        <f t="shared" si="1"/>
        <v>Feb</v>
      </c>
      <c r="L363" s="21">
        <f t="shared" si="2"/>
        <v>2024</v>
      </c>
      <c r="N363" s="33"/>
      <c r="O363" s="34"/>
    </row>
    <row r="364" ht="22.5" customHeight="1">
      <c r="A364" s="21" t="s">
        <v>2329</v>
      </c>
      <c r="B364" s="21" t="s">
        <v>818</v>
      </c>
      <c r="C364" s="21" t="str">
        <f t="array" ref="C364">XLOOKUP(B364,Customer[Customer_ID],Customer[Name(Cleaned)])</f>
        <v>Tyler Garner</v>
      </c>
      <c r="D364" s="22" t="str">
        <f>VLOOKUP(B364,Customer[#ALL],6)</f>
        <v>Female</v>
      </c>
      <c r="E364" s="23">
        <f>Sales[Order_Date]</f>
        <v>45304</v>
      </c>
      <c r="F364" s="21" t="str">
        <f>Sales[Store_ID]</f>
        <v>STORE1</v>
      </c>
      <c r="G364" s="21" t="str">
        <f t="array" ref="G364">INDEX(Store[Store_Name],MATCH(F364,Store[Store_ID],0))</f>
        <v>Martinez, Adkins and Johnson</v>
      </c>
      <c r="H364" s="21" t="str">
        <f>Sales[Product_ID]</f>
        <v>PROD30</v>
      </c>
      <c r="I364" s="21" t="str">
        <f>VLOOKUP(H364,Products[],2)</f>
        <v>Stainless Steel Cutlery Set</v>
      </c>
      <c r="J364" s="24">
        <f>Sales[Total_Amount]</f>
        <v>1861.988</v>
      </c>
      <c r="K364" s="21" t="str">
        <f t="shared" si="1"/>
        <v>Jan</v>
      </c>
      <c r="L364" s="21">
        <f t="shared" si="2"/>
        <v>2024</v>
      </c>
      <c r="N364" s="33"/>
      <c r="O364" s="34"/>
    </row>
    <row r="365" ht="22.5" customHeight="1">
      <c r="A365" s="21" t="s">
        <v>2330</v>
      </c>
      <c r="B365" s="21" t="s">
        <v>1373</v>
      </c>
      <c r="C365" s="21" t="str">
        <f t="array" ref="C365">XLOOKUP(B365,Customer[Customer_ID],Customer[Name(Cleaned)])</f>
        <v>Monica Flynn</v>
      </c>
      <c r="D365" s="22" t="str">
        <f>VLOOKUP(B365,Customer[#ALL],6)</f>
        <v>Male</v>
      </c>
      <c r="E365" s="23">
        <f>Sales[Order_Date]</f>
        <v>45543</v>
      </c>
      <c r="F365" s="21" t="str">
        <f>Sales[Store_ID]</f>
        <v>STORE17</v>
      </c>
      <c r="G365" s="21" t="str">
        <f t="array" ref="G365">INDEX(Store[Store_Name],MATCH(F365,Store[Store_ID],0))</f>
        <v>Holloway Ltd</v>
      </c>
      <c r="H365" s="21" t="str">
        <f>Sales[Product_ID]</f>
        <v>PROD74</v>
      </c>
      <c r="I365" s="21" t="str">
        <f>VLOOKUP(H365,Products[],2)</f>
        <v>Bluetooth Car Audio System</v>
      </c>
      <c r="J365" s="24">
        <f>Sales[Total_Amount]</f>
        <v>1904.544</v>
      </c>
      <c r="K365" s="21" t="str">
        <f t="shared" si="1"/>
        <v>Sep</v>
      </c>
      <c r="L365" s="21">
        <f t="shared" si="2"/>
        <v>2024</v>
      </c>
      <c r="N365" s="33"/>
      <c r="O365" s="34"/>
    </row>
    <row r="366" ht="22.5" customHeight="1">
      <c r="A366" s="21" t="s">
        <v>2331</v>
      </c>
      <c r="B366" s="21" t="s">
        <v>1110</v>
      </c>
      <c r="C366" s="21" t="str">
        <f t="array" ref="C366">XLOOKUP(B366,Customer[Customer_ID],Customer[Name(Cleaned)])</f>
        <v>Heather Valenzuela</v>
      </c>
      <c r="D366" s="22" t="str">
        <f>VLOOKUP(B366,Customer[#ALL],6)</f>
        <v>Female</v>
      </c>
      <c r="E366" s="23">
        <f>Sales[Order_Date]</f>
        <v>45326</v>
      </c>
      <c r="F366" s="21" t="str">
        <f>Sales[Store_ID]</f>
        <v>STORE17</v>
      </c>
      <c r="G366" s="21" t="str">
        <f t="array" ref="G366">INDEX(Store[Store_Name],MATCH(F366,Store[Store_ID],0))</f>
        <v>Holloway Ltd</v>
      </c>
      <c r="H366" s="21" t="str">
        <f>Sales[Product_ID]</f>
        <v>PROD30</v>
      </c>
      <c r="I366" s="21" t="str">
        <f>VLOOKUP(H366,Products[],2)</f>
        <v>Stainless Steel Cutlery Set</v>
      </c>
      <c r="J366" s="24">
        <f>Sales[Total_Amount]</f>
        <v>273.5226</v>
      </c>
      <c r="K366" s="21" t="str">
        <f t="shared" si="1"/>
        <v>Feb</v>
      </c>
      <c r="L366" s="21">
        <f t="shared" si="2"/>
        <v>2024</v>
      </c>
      <c r="N366" s="33"/>
      <c r="O366" s="34"/>
    </row>
    <row r="367" ht="22.5" customHeight="1">
      <c r="A367" s="21" t="s">
        <v>2332</v>
      </c>
      <c r="B367" s="21" t="s">
        <v>1176</v>
      </c>
      <c r="C367" s="21" t="str">
        <f t="array" ref="C367">XLOOKUP(B367,Customer[Customer_ID],Customer[Name(Cleaned)])</f>
        <v>Michael Garner</v>
      </c>
      <c r="D367" s="22" t="str">
        <f>VLOOKUP(B367,Customer[#ALL],6)</f>
        <v>Male</v>
      </c>
      <c r="E367" s="23">
        <f>Sales[Order_Date]</f>
        <v>45498</v>
      </c>
      <c r="F367" s="21" t="str">
        <f>Sales[Store_ID]</f>
        <v>STORE1</v>
      </c>
      <c r="G367" s="21" t="str">
        <f t="array" ref="G367">INDEX(Store[Store_Name],MATCH(F367,Store[Store_ID],0))</f>
        <v>Martinez, Adkins and Johnson</v>
      </c>
      <c r="H367" s="21" t="str">
        <f>Sales[Product_ID]</f>
        <v>PROD95</v>
      </c>
      <c r="I367" s="21" t="str">
        <f>VLOOKUP(H367,Products[],2)</f>
        <v>Sports Stopwatch Basic</v>
      </c>
      <c r="J367" s="24">
        <f>Sales[Total_Amount]</f>
        <v>95.4082</v>
      </c>
      <c r="K367" s="21" t="str">
        <f t="shared" si="1"/>
        <v>Jul</v>
      </c>
      <c r="L367" s="21">
        <f t="shared" si="2"/>
        <v>2024</v>
      </c>
      <c r="N367" s="33"/>
      <c r="O367" s="34"/>
    </row>
    <row r="368" ht="22.5" customHeight="1">
      <c r="A368" s="21" t="s">
        <v>2333</v>
      </c>
      <c r="B368" s="21" t="s">
        <v>501</v>
      </c>
      <c r="C368" s="21" t="str">
        <f t="array" ref="C368">XLOOKUP(B368,Customer[Customer_ID],Customer[Name(Cleaned)])</f>
        <v>Cameron Simpson</v>
      </c>
      <c r="D368" s="22" t="str">
        <f>VLOOKUP(B368,Customer[#ALL],6)</f>
        <v>Female</v>
      </c>
      <c r="E368" s="23">
        <f>Sales[Order_Date]</f>
        <v>45544</v>
      </c>
      <c r="F368" s="21" t="str">
        <f>Sales[Store_ID]</f>
        <v>STORE15</v>
      </c>
      <c r="G368" s="21" t="str">
        <f t="array" ref="G368">INDEX(Store[Store_Name],MATCH(F368,Store[Store_ID],0))</f>
        <v>Shelton PLC</v>
      </c>
      <c r="H368" s="21" t="str">
        <f>Sales[Product_ID]</f>
        <v>PROD86</v>
      </c>
      <c r="I368" s="21" t="str">
        <f>VLOOKUP(H368,Products[],2)</f>
        <v>Kitchen Cutting Board</v>
      </c>
      <c r="J368" s="24">
        <f>Sales[Total_Amount]</f>
        <v>700.5544</v>
      </c>
      <c r="K368" s="21" t="str">
        <f t="shared" si="1"/>
        <v>Sep</v>
      </c>
      <c r="L368" s="21">
        <f t="shared" si="2"/>
        <v>2024</v>
      </c>
      <c r="N368" s="33"/>
      <c r="O368" s="34"/>
    </row>
    <row r="369" ht="22.5" customHeight="1">
      <c r="A369" s="21" t="s">
        <v>2334</v>
      </c>
      <c r="B369" s="21" t="s">
        <v>1065</v>
      </c>
      <c r="C369" s="21" t="str">
        <f t="array" ref="C369">XLOOKUP(B369,Customer[Customer_ID],Customer[Name(Cleaned)])</f>
        <v>Mr. Christopher Sims</v>
      </c>
      <c r="D369" s="22" t="str">
        <f>VLOOKUP(B369,Customer[#ALL],6)</f>
        <v>Male</v>
      </c>
      <c r="E369" s="23">
        <f>Sales[Order_Date]</f>
        <v>45268</v>
      </c>
      <c r="F369" s="21" t="str">
        <f>Sales[Store_ID]</f>
        <v>STORE8</v>
      </c>
      <c r="G369" s="21" t="str">
        <f t="array" ref="G369">INDEX(Store[Store_Name],MATCH(F369,Store[Store_ID],0))</f>
        <v>Bean, Jones and Park</v>
      </c>
      <c r="H369" s="21" t="str">
        <f>Sales[Product_ID]</f>
        <v>PROD5</v>
      </c>
      <c r="I369" s="21" t="str">
        <f>VLOOKUP(H369,Products[],2)</f>
        <v>Men's Roll-On Perfume</v>
      </c>
      <c r="J369" s="24">
        <f>Sales[Total_Amount]</f>
        <v>257.2401</v>
      </c>
      <c r="K369" s="21" t="str">
        <f t="shared" si="1"/>
        <v>Dec</v>
      </c>
      <c r="L369" s="21">
        <f t="shared" si="2"/>
        <v>2023</v>
      </c>
      <c r="N369" s="33"/>
      <c r="O369" s="34"/>
    </row>
    <row r="370" ht="22.5" customHeight="1">
      <c r="A370" s="21" t="s">
        <v>2335</v>
      </c>
      <c r="B370" s="21" t="s">
        <v>733</v>
      </c>
      <c r="C370" s="21" t="str">
        <f t="array" ref="C370">XLOOKUP(B370,Customer[Customer_ID],Customer[Name(Cleaned)])</f>
        <v>Alejandro Doyle</v>
      </c>
      <c r="D370" s="22" t="str">
        <f>VLOOKUP(B370,Customer[#ALL],6)</f>
        <v>Female</v>
      </c>
      <c r="E370" s="23">
        <f>Sales[Order_Date]</f>
        <v>45824</v>
      </c>
      <c r="F370" s="21" t="str">
        <f>Sales[Store_ID]</f>
        <v>STORE17</v>
      </c>
      <c r="G370" s="21" t="str">
        <f t="array" ref="G370">INDEX(Store[Store_Name],MATCH(F370,Store[Store_ID],0))</f>
        <v>Holloway Ltd</v>
      </c>
      <c r="H370" s="21" t="str">
        <f>Sales[Product_ID]</f>
        <v>PROD76</v>
      </c>
      <c r="I370" s="21" t="str">
        <f>VLOOKUP(H370,Products[],2)</f>
        <v>Wireless Mouse</v>
      </c>
      <c r="J370" s="24">
        <f>Sales[Total_Amount]</f>
        <v>2460.3708</v>
      </c>
      <c r="K370" s="21" t="str">
        <f t="shared" si="1"/>
        <v>Jun</v>
      </c>
      <c r="L370" s="21">
        <f t="shared" si="2"/>
        <v>2025</v>
      </c>
      <c r="N370" s="33"/>
      <c r="O370" s="34"/>
    </row>
    <row r="371" ht="22.5" customHeight="1">
      <c r="A371" s="21" t="s">
        <v>2336</v>
      </c>
      <c r="B371" s="21" t="s">
        <v>1050</v>
      </c>
      <c r="C371" s="21" t="str">
        <f t="array" ref="C371">XLOOKUP(B371,Customer[Customer_ID],Customer[Name(Cleaned)])</f>
        <v>Victor Mcintosh</v>
      </c>
      <c r="D371" s="22" t="str">
        <f>VLOOKUP(B371,Customer[#ALL],6)</f>
        <v>Male</v>
      </c>
      <c r="E371" s="23">
        <f>Sales[Order_Date]</f>
        <v>45910</v>
      </c>
      <c r="F371" s="21" t="str">
        <f>Sales[Store_ID]</f>
        <v>STORE4</v>
      </c>
      <c r="G371" s="21" t="str">
        <f t="array" ref="G371">INDEX(Store[Store_Name],MATCH(F371,Store[Store_ID],0))</f>
        <v>Alexander Group</v>
      </c>
      <c r="H371" s="21" t="str">
        <f>Sales[Product_ID]</f>
        <v>PROD57</v>
      </c>
      <c r="I371" s="21" t="str">
        <f>VLOOKUP(H371,Products[],2)</f>
        <v>Foam Roller</v>
      </c>
      <c r="J371" s="24">
        <f>Sales[Total_Amount]</f>
        <v>496.9734</v>
      </c>
      <c r="K371" s="21" t="str">
        <f t="shared" si="1"/>
        <v>Sep</v>
      </c>
      <c r="L371" s="21">
        <f t="shared" si="2"/>
        <v>2025</v>
      </c>
      <c r="N371" s="33"/>
      <c r="O371" s="34"/>
    </row>
    <row r="372" ht="22.5" customHeight="1">
      <c r="A372" s="21" t="s">
        <v>2337</v>
      </c>
      <c r="B372" s="21" t="s">
        <v>1405</v>
      </c>
      <c r="C372" s="21" t="str">
        <f t="array" ref="C372">XLOOKUP(B372,Customer[Customer_ID],Customer[Name(Cleaned)])</f>
        <v>William Cortez</v>
      </c>
      <c r="D372" s="22" t="str">
        <f>VLOOKUP(B372,Customer[#ALL],6)</f>
        <v>Female</v>
      </c>
      <c r="E372" s="23">
        <f>Sales[Order_Date]</f>
        <v>45261</v>
      </c>
      <c r="F372" s="21" t="str">
        <f>Sales[Store_ID]</f>
        <v>STORE2</v>
      </c>
      <c r="G372" s="21" t="str">
        <f t="array" ref="G372">INDEX(Store[Store_Name],MATCH(F372,Store[Store_ID],0))</f>
        <v>Black-Horn</v>
      </c>
      <c r="H372" s="21" t="str">
        <f>Sales[Product_ID]</f>
        <v>PROD62</v>
      </c>
      <c r="I372" s="21" t="str">
        <f>VLOOKUP(H372,Products[],2)</f>
        <v>Laptop Cooling Pad</v>
      </c>
      <c r="J372" s="24">
        <f>Sales[Total_Amount]</f>
        <v>142.5252</v>
      </c>
      <c r="K372" s="21" t="str">
        <f t="shared" si="1"/>
        <v>Dec</v>
      </c>
      <c r="L372" s="21">
        <f t="shared" si="2"/>
        <v>2023</v>
      </c>
      <c r="N372" s="33"/>
      <c r="O372" s="34"/>
    </row>
    <row r="373" ht="22.5" customHeight="1">
      <c r="A373" s="21" t="s">
        <v>2338</v>
      </c>
      <c r="B373" s="21" t="s">
        <v>35</v>
      </c>
      <c r="C373" s="21" t="str">
        <f t="array" ref="C373">XLOOKUP(B373,Customer[Customer_ID],Customer[Name(Cleaned)])</f>
        <v>Caroline Collins</v>
      </c>
      <c r="D373" s="22" t="str">
        <f>VLOOKUP(B373,Customer[#ALL],6)</f>
        <v>Male</v>
      </c>
      <c r="E373" s="23">
        <f>Sales[Order_Date]</f>
        <v>45233</v>
      </c>
      <c r="F373" s="21" t="str">
        <f>Sales[Store_ID]</f>
        <v>STORE18</v>
      </c>
      <c r="G373" s="21" t="str">
        <f t="array" ref="G373">INDEX(Store[Store_Name],MATCH(F373,Store[Store_ID],0))</f>
        <v>Guerrero-Schmitt</v>
      </c>
      <c r="H373" s="21" t="str">
        <f>Sales[Product_ID]</f>
        <v>PROD92</v>
      </c>
      <c r="I373" s="21" t="str">
        <f>VLOOKUP(H373,Products[],2)</f>
        <v>Microwave Oven</v>
      </c>
      <c r="J373" s="24">
        <f>Sales[Total_Amount]</f>
        <v>287.388</v>
      </c>
      <c r="K373" s="21" t="str">
        <f t="shared" si="1"/>
        <v>Nov</v>
      </c>
      <c r="L373" s="21">
        <f t="shared" si="2"/>
        <v>2023</v>
      </c>
      <c r="N373" s="33"/>
      <c r="O373" s="34"/>
    </row>
    <row r="374" ht="22.5" customHeight="1">
      <c r="A374" s="21" t="s">
        <v>2339</v>
      </c>
      <c r="B374" s="21" t="s">
        <v>222</v>
      </c>
      <c r="C374" s="21" t="str">
        <f t="array" ref="C374">XLOOKUP(B374,Customer[Customer_ID],Customer[Name(Cleaned)])</f>
        <v>Jay Patel</v>
      </c>
      <c r="D374" s="22" t="str">
        <f>VLOOKUP(B374,Customer[#ALL],6)</f>
        <v>Male</v>
      </c>
      <c r="E374" s="23">
        <f>Sales[Order_Date]</f>
        <v>45673</v>
      </c>
      <c r="F374" s="21" t="str">
        <f>Sales[Store_ID]</f>
        <v>STORE11</v>
      </c>
      <c r="G374" s="21" t="str">
        <f t="array" ref="G374">INDEX(Store[Store_Name],MATCH(F374,Store[Store_ID],0))</f>
        <v>Aguirre-Keller</v>
      </c>
      <c r="H374" s="21" t="str">
        <f>Sales[Product_ID]</f>
        <v>PROD98</v>
      </c>
      <c r="I374" s="21" t="str">
        <f>VLOOKUP(H374,Products[],2)</f>
        <v>Portable Bluetooth Speaker</v>
      </c>
      <c r="J374" s="24">
        <f>Sales[Total_Amount]</f>
        <v>2760.544</v>
      </c>
      <c r="K374" s="21" t="str">
        <f t="shared" si="1"/>
        <v>Jan</v>
      </c>
      <c r="L374" s="21">
        <f t="shared" si="2"/>
        <v>2025</v>
      </c>
      <c r="N374" s="33"/>
      <c r="O374" s="34"/>
    </row>
    <row r="375" ht="22.5" customHeight="1">
      <c r="A375" s="21" t="s">
        <v>2340</v>
      </c>
      <c r="B375" s="21" t="s">
        <v>1390</v>
      </c>
      <c r="C375" s="21" t="str">
        <f t="array" ref="C375">XLOOKUP(B375,Customer[Customer_ID],Customer[Name(Cleaned)])</f>
        <v>Cheryl Carr</v>
      </c>
      <c r="D375" s="22" t="str">
        <f>VLOOKUP(B375,Customer[#ALL],6)</f>
        <v>Female</v>
      </c>
      <c r="E375" s="23">
        <f>Sales[Order_Date]</f>
        <v>45565</v>
      </c>
      <c r="F375" s="21" t="str">
        <f>Sales[Store_ID]</f>
        <v>STORE6</v>
      </c>
      <c r="G375" s="21" t="str">
        <f t="array" ref="G375">INDEX(Store[Store_Name],MATCH(F375,Store[Store_ID],0))</f>
        <v>Benson-Elliott</v>
      </c>
      <c r="H375" s="21" t="str">
        <f>Sales[Product_ID]</f>
        <v>PROD17</v>
      </c>
      <c r="I375" s="21" t="str">
        <f>VLOOKUP(H375,Products[],2)</f>
        <v>Soccer Training Cone Set</v>
      </c>
      <c r="J375" s="24">
        <f>Sales[Total_Amount]</f>
        <v>54.4896</v>
      </c>
      <c r="K375" s="21" t="str">
        <f t="shared" si="1"/>
        <v>Sep</v>
      </c>
      <c r="L375" s="21">
        <f t="shared" si="2"/>
        <v>2024</v>
      </c>
      <c r="N375" s="33"/>
      <c r="O375" s="34"/>
    </row>
    <row r="376" ht="22.5" customHeight="1">
      <c r="A376" s="21" t="s">
        <v>2341</v>
      </c>
      <c r="B376" s="21" t="s">
        <v>196</v>
      </c>
      <c r="C376" s="21" t="str">
        <f t="array" ref="C376">XLOOKUP(B376,Customer[Customer_ID],Customer[Name(Cleaned)])</f>
        <v>Timothy Weaver</v>
      </c>
      <c r="D376" s="22" t="str">
        <f>VLOOKUP(B376,Customer[#ALL],6)</f>
        <v>Male</v>
      </c>
      <c r="E376" s="23">
        <f>Sales[Order_Date]</f>
        <v>45646</v>
      </c>
      <c r="F376" s="21" t="str">
        <f>Sales[Store_ID]</f>
        <v>STORE0</v>
      </c>
      <c r="G376" s="21" t="str">
        <f t="array" ref="G376">INDEX(Store[Store_Name],MATCH(F376,Store[Store_ID],0))</f>
        <v>Rivera-Warner</v>
      </c>
      <c r="H376" s="21" t="str">
        <f>Sales[Product_ID]</f>
        <v>PROD45</v>
      </c>
      <c r="I376" s="21" t="str">
        <f>VLOOKUP(H376,Products[],2)</f>
        <v>High-Grip Football</v>
      </c>
      <c r="J376" s="24">
        <f>Sales[Total_Amount]</f>
        <v>1448.752</v>
      </c>
      <c r="K376" s="21" t="str">
        <f t="shared" si="1"/>
        <v>Dec</v>
      </c>
      <c r="L376" s="21">
        <f t="shared" si="2"/>
        <v>2024</v>
      </c>
      <c r="N376" s="33"/>
      <c r="O376" s="34"/>
    </row>
    <row r="377" ht="22.5" customHeight="1">
      <c r="A377" s="21" t="s">
        <v>2342</v>
      </c>
      <c r="B377" s="21" t="s">
        <v>1438</v>
      </c>
      <c r="C377" s="21" t="str">
        <f t="array" ref="C377">XLOOKUP(B377,Customer[Customer_ID],Customer[Name(Cleaned)])</f>
        <v>Paul Cox</v>
      </c>
      <c r="D377" s="22" t="str">
        <f>VLOOKUP(B377,Customer[#ALL],6)</f>
        <v>Male</v>
      </c>
      <c r="E377" s="23">
        <f>Sales[Order_Date]</f>
        <v>45539</v>
      </c>
      <c r="F377" s="21" t="str">
        <f>Sales[Store_ID]</f>
        <v>STORE13</v>
      </c>
      <c r="G377" s="21" t="str">
        <f t="array" ref="G377">INDEX(Store[Store_Name],MATCH(F377,Store[Store_ID],0))</f>
        <v>Gardner, Humphrey and Contreras</v>
      </c>
      <c r="H377" s="21" t="str">
        <f>Sales[Product_ID]</f>
        <v>PROD63</v>
      </c>
      <c r="I377" s="21" t="str">
        <f>VLOOKUP(H377,Products[],2)</f>
        <v>Organic Sunscreen Lotion</v>
      </c>
      <c r="J377" s="24">
        <f>Sales[Total_Amount]</f>
        <v>469.0008</v>
      </c>
      <c r="K377" s="21" t="str">
        <f t="shared" si="1"/>
        <v>Sep</v>
      </c>
      <c r="L377" s="21">
        <f t="shared" si="2"/>
        <v>2024</v>
      </c>
      <c r="N377" s="33"/>
      <c r="O377" s="34"/>
    </row>
    <row r="378" ht="22.5" customHeight="1">
      <c r="A378" s="21" t="s">
        <v>2343</v>
      </c>
      <c r="B378" s="21" t="s">
        <v>1230</v>
      </c>
      <c r="C378" s="21" t="str">
        <f t="array" ref="C378">XLOOKUP(B378,Customer[Customer_ID],Customer[Name(Cleaned)])</f>
        <v>Cynthia Lopez</v>
      </c>
      <c r="D378" s="22" t="str">
        <f>VLOOKUP(B378,Customer[#ALL],6)</f>
        <v>Female</v>
      </c>
      <c r="E378" s="23">
        <f>Sales[Order_Date]</f>
        <v>45936</v>
      </c>
      <c r="F378" s="21" t="str">
        <f>Sales[Store_ID]</f>
        <v>STORE0</v>
      </c>
      <c r="G378" s="21" t="str">
        <f t="array" ref="G378">INDEX(Store[Store_Name],MATCH(F378,Store[Store_ID],0))</f>
        <v>Rivera-Warner</v>
      </c>
      <c r="H378" s="21" t="str">
        <f>Sales[Product_ID]</f>
        <v>PROD75</v>
      </c>
      <c r="I378" s="21" t="str">
        <f>VLOOKUP(H378,Products[],2)</f>
        <v>Women's Ankle Boots</v>
      </c>
      <c r="J378" s="24">
        <f>Sales[Total_Amount]</f>
        <v>1741.35</v>
      </c>
      <c r="K378" s="21" t="str">
        <f t="shared" si="1"/>
        <v>Oct</v>
      </c>
      <c r="L378" s="21">
        <f t="shared" si="2"/>
        <v>2025</v>
      </c>
      <c r="N378" s="33"/>
      <c r="O378" s="34"/>
    </row>
    <row r="379" ht="22.5" customHeight="1">
      <c r="A379" s="21" t="s">
        <v>2344</v>
      </c>
      <c r="B379" s="21" t="s">
        <v>374</v>
      </c>
      <c r="C379" s="21" t="str">
        <f t="array" ref="C379">XLOOKUP(B379,Customer[Customer_ID],Customer[Name(Cleaned)])</f>
        <v>Steven Stein</v>
      </c>
      <c r="D379" s="22" t="str">
        <f>VLOOKUP(B379,Customer[#ALL],6)</f>
        <v>Female</v>
      </c>
      <c r="E379" s="23">
        <f>Sales[Order_Date]</f>
        <v>45854</v>
      </c>
      <c r="F379" s="21" t="str">
        <f>Sales[Store_ID]</f>
        <v>STORE17</v>
      </c>
      <c r="G379" s="21" t="str">
        <f t="array" ref="G379">INDEX(Store[Store_Name],MATCH(F379,Store[Store_ID],0))</f>
        <v>Holloway Ltd</v>
      </c>
      <c r="H379" s="21" t="str">
        <f>Sales[Product_ID]</f>
        <v>PROD4</v>
      </c>
      <c r="I379" s="21" t="str">
        <f>VLOOKUP(H379,Products[],2)</f>
        <v>Portable Power Bank</v>
      </c>
      <c r="J379" s="24">
        <f>Sales[Total_Amount]</f>
        <v>1482.1808</v>
      </c>
      <c r="K379" s="21" t="str">
        <f t="shared" si="1"/>
        <v>Jul</v>
      </c>
      <c r="L379" s="21">
        <f t="shared" si="2"/>
        <v>2025</v>
      </c>
      <c r="N379" s="33"/>
      <c r="O379" s="34"/>
    </row>
    <row r="380" ht="22.5" customHeight="1">
      <c r="A380" s="21" t="s">
        <v>2345</v>
      </c>
      <c r="B380" s="21" t="s">
        <v>337</v>
      </c>
      <c r="C380" s="21" t="str">
        <f t="array" ref="C380">XLOOKUP(B380,Customer[Customer_ID],Customer[Name(Cleaned)])</f>
        <v>Donna Gregory</v>
      </c>
      <c r="D380" s="22" t="str">
        <f>VLOOKUP(B380,Customer[#ALL],6)</f>
        <v>Male</v>
      </c>
      <c r="E380" s="23">
        <f>Sales[Order_Date]</f>
        <v>45936</v>
      </c>
      <c r="F380" s="21" t="str">
        <f>Sales[Store_ID]</f>
        <v>STORE18</v>
      </c>
      <c r="G380" s="21" t="str">
        <f t="array" ref="G380">INDEX(Store[Store_Name],MATCH(F380,Store[Store_ID],0))</f>
        <v>Guerrero-Schmitt</v>
      </c>
      <c r="H380" s="21" t="str">
        <f>Sales[Product_ID]</f>
        <v>PROD40</v>
      </c>
      <c r="I380" s="21" t="str">
        <f>VLOOKUP(H380,Products[],2)</f>
        <v>Noise-Canceling Headphones</v>
      </c>
      <c r="J380" s="24">
        <f>Sales[Total_Amount]</f>
        <v>634.1784</v>
      </c>
      <c r="K380" s="21" t="str">
        <f t="shared" si="1"/>
        <v>Oct</v>
      </c>
      <c r="L380" s="21">
        <f t="shared" si="2"/>
        <v>2025</v>
      </c>
      <c r="N380" s="33"/>
      <c r="O380" s="34"/>
    </row>
    <row r="381" ht="22.5" customHeight="1">
      <c r="A381" s="21" t="s">
        <v>2346</v>
      </c>
      <c r="B381" s="21" t="s">
        <v>1215</v>
      </c>
      <c r="C381" s="21" t="str">
        <f t="array" ref="C381">XLOOKUP(B381,Customer[Customer_ID],Customer[Name(Cleaned)])</f>
        <v>Andrew Mason</v>
      </c>
      <c r="D381" s="22" t="str">
        <f>VLOOKUP(B381,Customer[#ALL],6)</f>
        <v>Male</v>
      </c>
      <c r="E381" s="23">
        <f>Sales[Order_Date]</f>
        <v>45921</v>
      </c>
      <c r="F381" s="21" t="str">
        <f>Sales[Store_ID]</f>
        <v>STORE2</v>
      </c>
      <c r="G381" s="21" t="str">
        <f t="array" ref="G381">INDEX(Store[Store_Name],MATCH(F381,Store[Store_ID],0))</f>
        <v>Black-Horn</v>
      </c>
      <c r="H381" s="21" t="str">
        <f>Sales[Product_ID]</f>
        <v>PROD80</v>
      </c>
      <c r="I381" s="21" t="str">
        <f>VLOOKUP(H381,Products[],2)</f>
        <v>Wall-Mounted Spice Rack</v>
      </c>
      <c r="J381" s="24">
        <f>Sales[Total_Amount]</f>
        <v>3034.2824</v>
      </c>
      <c r="K381" s="21" t="str">
        <f t="shared" si="1"/>
        <v>Sep</v>
      </c>
      <c r="L381" s="21">
        <f t="shared" si="2"/>
        <v>2025</v>
      </c>
      <c r="N381" s="33"/>
      <c r="O381" s="34"/>
    </row>
    <row r="382" ht="22.5" customHeight="1">
      <c r="A382" s="21" t="s">
        <v>2347</v>
      </c>
      <c r="B382" s="21" t="s">
        <v>669</v>
      </c>
      <c r="C382" s="21" t="str">
        <f t="array" ref="C382">XLOOKUP(B382,Customer[Customer_ID],Customer[Name(Cleaned)])</f>
        <v>Mary Boyd</v>
      </c>
      <c r="D382" s="22" t="str">
        <f>VLOOKUP(B382,Customer[#ALL],6)</f>
        <v>Male</v>
      </c>
      <c r="E382" s="23">
        <f>Sales[Order_Date]</f>
        <v>45827</v>
      </c>
      <c r="F382" s="21" t="str">
        <f>Sales[Store_ID]</f>
        <v>STORE15</v>
      </c>
      <c r="G382" s="21" t="str">
        <f t="array" ref="G382">INDEX(Store[Store_Name],MATCH(F382,Store[Store_ID],0))</f>
        <v>Shelton PLC</v>
      </c>
      <c r="H382" s="21" t="str">
        <f>Sales[Product_ID]</f>
        <v>PROD87</v>
      </c>
      <c r="I382" s="21" t="str">
        <f>VLOOKUP(H382,Products[],2)</f>
        <v>LED Bedside Lamp</v>
      </c>
      <c r="J382" s="24">
        <f>Sales[Total_Amount]</f>
        <v>273.0888</v>
      </c>
      <c r="K382" s="21" t="str">
        <f t="shared" si="1"/>
        <v>Jun</v>
      </c>
      <c r="L382" s="21">
        <f t="shared" si="2"/>
        <v>2025</v>
      </c>
      <c r="N382" s="33"/>
      <c r="O382" s="34"/>
    </row>
    <row r="383" ht="22.5" customHeight="1">
      <c r="A383" s="21" t="s">
        <v>2348</v>
      </c>
      <c r="B383" s="21" t="s">
        <v>1376</v>
      </c>
      <c r="C383" s="21" t="str">
        <f t="array" ref="C383">XLOOKUP(B383,Customer[Customer_ID],Customer[Name(Cleaned)])</f>
        <v>John Compton</v>
      </c>
      <c r="D383" s="22" t="str">
        <f>VLOOKUP(B383,Customer[#ALL],6)</f>
        <v>Female</v>
      </c>
      <c r="E383" s="23">
        <f>Sales[Order_Date]</f>
        <v>45855</v>
      </c>
      <c r="F383" s="21" t="str">
        <f>Sales[Store_ID]</f>
        <v>STORE1</v>
      </c>
      <c r="G383" s="21" t="str">
        <f t="array" ref="G383">INDEX(Store[Store_Name],MATCH(F383,Store[Store_ID],0))</f>
        <v>Martinez, Adkins and Johnson</v>
      </c>
      <c r="H383" s="21" t="str">
        <f>Sales[Product_ID]</f>
        <v>PROD20</v>
      </c>
      <c r="I383" s="21" t="str">
        <f>VLOOKUP(H383,Products[],2)</f>
        <v>Outdoor Sports Water Bottle</v>
      </c>
      <c r="J383" s="24">
        <f>Sales[Total_Amount]</f>
        <v>1867.9206</v>
      </c>
      <c r="K383" s="21" t="str">
        <f t="shared" si="1"/>
        <v>Jul</v>
      </c>
      <c r="L383" s="21">
        <f t="shared" si="2"/>
        <v>2025</v>
      </c>
      <c r="N383" s="33"/>
      <c r="O383" s="34"/>
    </row>
    <row r="384" ht="22.5" customHeight="1">
      <c r="A384" s="21" t="s">
        <v>2349</v>
      </c>
      <c r="B384" s="21" t="s">
        <v>1387</v>
      </c>
      <c r="C384" s="21" t="str">
        <f t="array" ref="C384">XLOOKUP(B384,Customer[Customer_ID],Customer[Name(Cleaned)])</f>
        <v>Adam Castro</v>
      </c>
      <c r="D384" s="22" t="str">
        <f>VLOOKUP(B384,Customer[#ALL],6)</f>
        <v>Female</v>
      </c>
      <c r="E384" s="23">
        <f>Sales[Order_Date]</f>
        <v>45837</v>
      </c>
      <c r="F384" s="21" t="str">
        <f>Sales[Store_ID]</f>
        <v>STORE7</v>
      </c>
      <c r="G384" s="21" t="str">
        <f t="array" ref="G384">INDEX(Store[Store_Name],MATCH(F384,Store[Store_ID],0))</f>
        <v>Martinez-Mullins</v>
      </c>
      <c r="H384" s="21" t="str">
        <f>Sales[Product_ID]</f>
        <v>PROD93</v>
      </c>
      <c r="I384" s="21" t="str">
        <f>VLOOKUP(H384,Products[],2)</f>
        <v>USB-C Laptop Charger</v>
      </c>
      <c r="J384" s="24">
        <f>Sales[Total_Amount]</f>
        <v>2839.6248</v>
      </c>
      <c r="K384" s="21" t="str">
        <f t="shared" si="1"/>
        <v>Jun</v>
      </c>
      <c r="L384" s="21">
        <f t="shared" si="2"/>
        <v>2025</v>
      </c>
      <c r="N384" s="33"/>
      <c r="O384" s="34"/>
    </row>
    <row r="385" ht="22.5" customHeight="1">
      <c r="A385" s="21" t="s">
        <v>2350</v>
      </c>
      <c r="B385" s="21" t="s">
        <v>1146</v>
      </c>
      <c r="C385" s="21" t="str">
        <f t="array" ref="C385">XLOOKUP(B385,Customer[Customer_ID],Customer[Name(Cleaned)])</f>
        <v>Natalie Johnson</v>
      </c>
      <c r="D385" s="22" t="str">
        <f>VLOOKUP(B385,Customer[#ALL],6)</f>
        <v>Female</v>
      </c>
      <c r="E385" s="23">
        <f>Sales[Order_Date]</f>
        <v>45738</v>
      </c>
      <c r="F385" s="21" t="str">
        <f>Sales[Store_ID]</f>
        <v>STORE3</v>
      </c>
      <c r="G385" s="21" t="str">
        <f t="array" ref="G385">INDEX(Store[Store_Name],MATCH(F385,Store[Store_ID],0))</f>
        <v>Johnson-Wright</v>
      </c>
      <c r="H385" s="21" t="str">
        <f>Sales[Product_ID]</f>
        <v>PROD50</v>
      </c>
      <c r="I385" s="21" t="str">
        <f>VLOOKUP(H385,Products[],2)</f>
        <v>Boxing Hand Wraps</v>
      </c>
      <c r="J385" s="24">
        <f>Sales[Total_Amount]</f>
        <v>1602.7068</v>
      </c>
      <c r="K385" s="21" t="str">
        <f t="shared" si="1"/>
        <v>Mar</v>
      </c>
      <c r="L385" s="21">
        <f t="shared" si="2"/>
        <v>2025</v>
      </c>
      <c r="N385" s="33"/>
      <c r="O385" s="34"/>
    </row>
    <row r="386" ht="22.5" customHeight="1">
      <c r="A386" s="21" t="s">
        <v>2351</v>
      </c>
      <c r="B386" s="21" t="s">
        <v>1279</v>
      </c>
      <c r="C386" s="21" t="str">
        <f t="array" ref="C386">XLOOKUP(B386,Customer[Customer_ID],Customer[Name(Cleaned)])</f>
        <v>David Lozano</v>
      </c>
      <c r="D386" s="22" t="str">
        <f>VLOOKUP(B386,Customer[#ALL],6)</f>
        <v>Male</v>
      </c>
      <c r="E386" s="23">
        <f>Sales[Order_Date]</f>
        <v>45323</v>
      </c>
      <c r="F386" s="21" t="str">
        <f>Sales[Store_ID]</f>
        <v>STORE1</v>
      </c>
      <c r="G386" s="21" t="str">
        <f t="array" ref="G386">INDEX(Store[Store_Name],MATCH(F386,Store[Store_ID],0))</f>
        <v>Martinez, Adkins and Johnson</v>
      </c>
      <c r="H386" s="21" t="str">
        <f>Sales[Product_ID]</f>
        <v>PROD97</v>
      </c>
      <c r="I386" s="21" t="str">
        <f>VLOOKUP(H386,Products[],2)</f>
        <v>Cricket Bat</v>
      </c>
      <c r="J386" s="24">
        <f>Sales[Total_Amount]</f>
        <v>2281.14</v>
      </c>
      <c r="K386" s="21" t="str">
        <f t="shared" si="1"/>
        <v>Feb</v>
      </c>
      <c r="L386" s="21">
        <f t="shared" si="2"/>
        <v>2024</v>
      </c>
      <c r="N386" s="33"/>
      <c r="O386" s="34"/>
    </row>
    <row r="387" ht="22.5" customHeight="1">
      <c r="A387" s="21" t="s">
        <v>2352</v>
      </c>
      <c r="B387" s="21" t="s">
        <v>957</v>
      </c>
      <c r="C387" s="21" t="str">
        <f t="array" ref="C387">XLOOKUP(B387,Customer[Customer_ID],Customer[Name(Cleaned)])</f>
        <v>Tracy Stephens</v>
      </c>
      <c r="D387" s="22" t="str">
        <f>VLOOKUP(B387,Customer[#ALL],6)</f>
        <v>Female</v>
      </c>
      <c r="E387" s="23">
        <f>Sales[Order_Date]</f>
        <v>45362</v>
      </c>
      <c r="F387" s="21" t="str">
        <f>Sales[Store_ID]</f>
        <v>STORE6</v>
      </c>
      <c r="G387" s="21" t="str">
        <f t="array" ref="G387">INDEX(Store[Store_Name],MATCH(F387,Store[Store_ID],0))</f>
        <v>Benson-Elliott</v>
      </c>
      <c r="H387" s="21" t="str">
        <f>Sales[Product_ID]</f>
        <v>PROD97</v>
      </c>
      <c r="I387" s="21" t="str">
        <f>VLOOKUP(H387,Products[],2)</f>
        <v>Cricket Bat</v>
      </c>
      <c r="J387" s="24">
        <f>Sales[Total_Amount]</f>
        <v>1451.6961</v>
      </c>
      <c r="K387" s="21" t="str">
        <f t="shared" si="1"/>
        <v>Mar</v>
      </c>
      <c r="L387" s="21">
        <f t="shared" si="2"/>
        <v>2024</v>
      </c>
      <c r="N387" s="33"/>
      <c r="O387" s="34"/>
    </row>
    <row r="388" ht="22.5" customHeight="1">
      <c r="A388" s="21" t="s">
        <v>2353</v>
      </c>
      <c r="B388" s="21" t="s">
        <v>168</v>
      </c>
      <c r="C388" s="21" t="str">
        <f t="array" ref="C388">XLOOKUP(B388,Customer[Customer_ID],Customer[Name(Cleaned)])</f>
        <v>James Gibbs</v>
      </c>
      <c r="D388" s="22" t="str">
        <f>VLOOKUP(B388,Customer[#ALL],6)</f>
        <v>Female</v>
      </c>
      <c r="E388" s="23">
        <f>Sales[Order_Date]</f>
        <v>45544</v>
      </c>
      <c r="F388" s="21" t="str">
        <f>Sales[Store_ID]</f>
        <v>STORE16</v>
      </c>
      <c r="G388" s="21" t="str">
        <f t="array" ref="G388">INDEX(Store[Store_Name],MATCH(F388,Store[Store_ID],0))</f>
        <v>Frederick-Wright</v>
      </c>
      <c r="H388" s="21" t="str">
        <f>Sales[Product_ID]</f>
        <v>PROD63</v>
      </c>
      <c r="I388" s="21" t="str">
        <f>VLOOKUP(H388,Products[],2)</f>
        <v>Organic Sunscreen Lotion</v>
      </c>
      <c r="J388" s="24">
        <f>Sales[Total_Amount]</f>
        <v>1792.1181</v>
      </c>
      <c r="K388" s="21" t="str">
        <f t="shared" si="1"/>
        <v>Sep</v>
      </c>
      <c r="L388" s="21">
        <f t="shared" si="2"/>
        <v>2024</v>
      </c>
      <c r="N388" s="33"/>
      <c r="O388" s="34"/>
    </row>
    <row r="389" ht="22.5" customHeight="1">
      <c r="A389" s="21" t="s">
        <v>2354</v>
      </c>
      <c r="B389" s="21" t="s">
        <v>848</v>
      </c>
      <c r="C389" s="21" t="str">
        <f t="array" ref="C389">XLOOKUP(B389,Customer[Customer_ID],Customer[Name(Cleaned)])</f>
        <v>Carol Bishop</v>
      </c>
      <c r="D389" s="22" t="str">
        <f>VLOOKUP(B389,Customer[#ALL],6)</f>
        <v>Male</v>
      </c>
      <c r="E389" s="23">
        <f>Sales[Order_Date]</f>
        <v>45249</v>
      </c>
      <c r="F389" s="21" t="str">
        <f>Sales[Store_ID]</f>
        <v>STORE9</v>
      </c>
      <c r="G389" s="21" t="str">
        <f t="array" ref="G389">INDEX(Store[Store_Name],MATCH(F389,Store[Store_ID],0))</f>
        <v>Moore, Padilla and Butler</v>
      </c>
      <c r="H389" s="21" t="str">
        <f>Sales[Product_ID]</f>
        <v>PROD48</v>
      </c>
      <c r="I389" s="21" t="str">
        <f>VLOOKUP(H389,Products[],2)</f>
        <v>Car Dashboard Phone Holder</v>
      </c>
      <c r="J389" s="24">
        <f>Sales[Total_Amount]</f>
        <v>954.765</v>
      </c>
      <c r="K389" s="21" t="str">
        <f t="shared" si="1"/>
        <v>Nov</v>
      </c>
      <c r="L389" s="21">
        <f t="shared" si="2"/>
        <v>2023</v>
      </c>
      <c r="N389" s="33"/>
      <c r="O389" s="34"/>
    </row>
    <row r="390" ht="22.5" customHeight="1">
      <c r="A390" s="21" t="s">
        <v>2355</v>
      </c>
      <c r="B390" s="21" t="s">
        <v>337</v>
      </c>
      <c r="C390" s="21" t="str">
        <f t="array" ref="C390">XLOOKUP(B390,Customer[Customer_ID],Customer[Name(Cleaned)])</f>
        <v>Donna Gregory</v>
      </c>
      <c r="D390" s="22" t="str">
        <f>VLOOKUP(B390,Customer[#ALL],6)</f>
        <v>Male</v>
      </c>
      <c r="E390" s="23">
        <f>Sales[Order_Date]</f>
        <v>45659</v>
      </c>
      <c r="F390" s="21" t="str">
        <f>Sales[Store_ID]</f>
        <v>STORE8</v>
      </c>
      <c r="G390" s="21" t="str">
        <f t="array" ref="G390">INDEX(Store[Store_Name],MATCH(F390,Store[Store_ID],0))</f>
        <v>Bean, Jones and Park</v>
      </c>
      <c r="H390" s="21" t="str">
        <f>Sales[Product_ID]</f>
        <v>PROD45</v>
      </c>
      <c r="I390" s="21" t="str">
        <f>VLOOKUP(H390,Products[],2)</f>
        <v>High-Grip Football</v>
      </c>
      <c r="J390" s="24">
        <f>Sales[Total_Amount]</f>
        <v>1142.4972</v>
      </c>
      <c r="K390" s="21" t="str">
        <f t="shared" si="1"/>
        <v>Jan</v>
      </c>
      <c r="L390" s="21">
        <f t="shared" si="2"/>
        <v>2025</v>
      </c>
      <c r="N390" s="33"/>
      <c r="O390" s="34"/>
    </row>
    <row r="391" ht="22.5" customHeight="1">
      <c r="A391" s="21" t="s">
        <v>2356</v>
      </c>
      <c r="B391" s="21" t="s">
        <v>558</v>
      </c>
      <c r="C391" s="21" t="str">
        <f t="array" ref="C391">XLOOKUP(B391,Customer[Customer_ID],Customer[Name(Cleaned)])</f>
        <v>Daniel Rivas</v>
      </c>
      <c r="D391" s="22" t="str">
        <f>VLOOKUP(B391,Customer[#ALL],6)</f>
        <v>Male</v>
      </c>
      <c r="E391" s="23">
        <f>Sales[Order_Date]</f>
        <v>45927</v>
      </c>
      <c r="F391" s="21" t="str">
        <f>Sales[Store_ID]</f>
        <v>STORE16</v>
      </c>
      <c r="G391" s="21" t="str">
        <f t="array" ref="G391">INDEX(Store[Store_Name],MATCH(F391,Store[Store_ID],0))</f>
        <v>Frederick-Wright</v>
      </c>
      <c r="H391" s="21" t="str">
        <f>Sales[Product_ID]</f>
        <v>PROD54</v>
      </c>
      <c r="I391" s="21" t="str">
        <f>VLOOKUP(H391,Products[],2)</f>
        <v>Sports Stopwatch Pro</v>
      </c>
      <c r="J391" s="24">
        <f>Sales[Total_Amount]</f>
        <v>396.2304</v>
      </c>
      <c r="K391" s="21" t="str">
        <f t="shared" si="1"/>
        <v>Sep</v>
      </c>
      <c r="L391" s="21">
        <f t="shared" si="2"/>
        <v>2025</v>
      </c>
      <c r="N391" s="33"/>
      <c r="O391" s="34"/>
    </row>
    <row r="392" ht="22.5" customHeight="1">
      <c r="A392" s="21" t="s">
        <v>2357</v>
      </c>
      <c r="B392" s="21" t="s">
        <v>249</v>
      </c>
      <c r="C392" s="21" t="str">
        <f t="array" ref="C392">XLOOKUP(B392,Customer[Customer_ID],Customer[Name(Cleaned)])</f>
        <v>Michael Thomas</v>
      </c>
      <c r="D392" s="22" t="str">
        <f>VLOOKUP(B392,Customer[#ALL],6)</f>
        <v>Male</v>
      </c>
      <c r="E392" s="23">
        <f>Sales[Order_Date]</f>
        <v>45373</v>
      </c>
      <c r="F392" s="21" t="str">
        <f>Sales[Store_ID]</f>
        <v>STORE13</v>
      </c>
      <c r="G392" s="21" t="str">
        <f t="array" ref="G392">INDEX(Store[Store_Name],MATCH(F392,Store[Store_ID],0))</f>
        <v>Gardner, Humphrey and Contreras</v>
      </c>
      <c r="H392" s="21" t="str">
        <f>Sales[Product_ID]</f>
        <v>PROD11</v>
      </c>
      <c r="I392" s="21" t="str">
        <f>VLOOKUP(H392,Products[],2)</f>
        <v>Men's Graphic T-Shirt</v>
      </c>
      <c r="J392" s="24">
        <f>Sales[Total_Amount]</f>
        <v>3019.2288</v>
      </c>
      <c r="K392" s="21" t="str">
        <f t="shared" si="1"/>
        <v>Mar</v>
      </c>
      <c r="L392" s="21">
        <f t="shared" si="2"/>
        <v>2024</v>
      </c>
      <c r="N392" s="33"/>
      <c r="O392" s="34"/>
    </row>
    <row r="393" ht="22.5" customHeight="1">
      <c r="A393" s="21" t="s">
        <v>2358</v>
      </c>
      <c r="B393" s="21" t="s">
        <v>1341</v>
      </c>
      <c r="C393" s="21" t="str">
        <f t="array" ref="C393">XLOOKUP(B393,Customer[Customer_ID],Customer[Name(Cleaned)])</f>
        <v>Jose Stewart</v>
      </c>
      <c r="D393" s="22" t="str">
        <f>VLOOKUP(B393,Customer[#ALL],6)</f>
        <v>Male</v>
      </c>
      <c r="E393" s="23">
        <f>Sales[Order_Date]</f>
        <v>45544</v>
      </c>
      <c r="F393" s="21" t="str">
        <f>Sales[Store_ID]</f>
        <v>STORE5</v>
      </c>
      <c r="G393" s="21" t="str">
        <f t="array" ref="G393">INDEX(Store[Store_Name],MATCH(F393,Store[Store_ID],0))</f>
        <v>Gray Ltd</v>
      </c>
      <c r="H393" s="21" t="str">
        <f>Sales[Product_ID]</f>
        <v>PROD53</v>
      </c>
      <c r="I393" s="21" t="str">
        <f>VLOOKUP(H393,Products[],2)</f>
        <v>Men's Track Pants</v>
      </c>
      <c r="J393" s="24">
        <f>Sales[Total_Amount]</f>
        <v>1349.0568</v>
      </c>
      <c r="K393" s="21" t="str">
        <f t="shared" si="1"/>
        <v>Sep</v>
      </c>
      <c r="L393" s="21">
        <f t="shared" si="2"/>
        <v>2024</v>
      </c>
      <c r="N393" s="33"/>
      <c r="O393" s="34"/>
    </row>
    <row r="394" ht="22.5" customHeight="1">
      <c r="A394" s="21" t="s">
        <v>2359</v>
      </c>
      <c r="B394" s="21" t="s">
        <v>1233</v>
      </c>
      <c r="C394" s="21" t="str">
        <f t="array" ref="C394">XLOOKUP(B394,Customer[Customer_ID],Customer[Name(Cleaned)])</f>
        <v>Daniel Bell</v>
      </c>
      <c r="D394" s="22" t="str">
        <f>VLOOKUP(B394,Customer[#ALL],6)</f>
        <v>Female</v>
      </c>
      <c r="E394" s="23">
        <f>Sales[Order_Date]</f>
        <v>45529</v>
      </c>
      <c r="F394" s="21" t="str">
        <f>Sales[Store_ID]</f>
        <v>STORE2</v>
      </c>
      <c r="G394" s="21" t="str">
        <f t="array" ref="G394">INDEX(Store[Store_Name],MATCH(F394,Store[Store_ID],0))</f>
        <v>Black-Horn</v>
      </c>
      <c r="H394" s="21" t="str">
        <f>Sales[Product_ID]</f>
        <v>PROD23</v>
      </c>
      <c r="I394" s="21" t="str">
        <f>VLOOKUP(H394,Products[],2)</f>
        <v>Men's Formal Shirt</v>
      </c>
      <c r="J394" s="24">
        <f>Sales[Total_Amount]</f>
        <v>342.9225</v>
      </c>
      <c r="K394" s="21" t="str">
        <f t="shared" si="1"/>
        <v>Aug</v>
      </c>
      <c r="L394" s="21">
        <f t="shared" si="2"/>
        <v>2024</v>
      </c>
      <c r="N394" s="33"/>
      <c r="O394" s="34"/>
    </row>
    <row r="395" ht="22.5" customHeight="1">
      <c r="A395" s="21" t="s">
        <v>2360</v>
      </c>
      <c r="B395" s="21" t="s">
        <v>736</v>
      </c>
      <c r="C395" s="21" t="str">
        <f t="array" ref="C395">XLOOKUP(B395,Customer[Customer_ID],Customer[Name(Cleaned)])</f>
        <v>Robert Harris</v>
      </c>
      <c r="D395" s="22" t="str">
        <f>VLOOKUP(B395,Customer[#ALL],6)</f>
        <v>Female</v>
      </c>
      <c r="E395" s="23">
        <f>Sales[Order_Date]</f>
        <v>45872</v>
      </c>
      <c r="F395" s="21" t="str">
        <f>Sales[Store_ID]</f>
        <v>STORE14</v>
      </c>
      <c r="G395" s="21" t="str">
        <f t="array" ref="G395">INDEX(Store[Store_Name],MATCH(F395,Store[Store_ID],0))</f>
        <v>Mcdonald Inc</v>
      </c>
      <c r="H395" s="21" t="str">
        <f>Sales[Product_ID]</f>
        <v>PROD92</v>
      </c>
      <c r="I395" s="21" t="str">
        <f>VLOOKUP(H395,Products[],2)</f>
        <v>Microwave Oven</v>
      </c>
      <c r="J395" s="24">
        <f>Sales[Total_Amount]</f>
        <v>2100.7728</v>
      </c>
      <c r="K395" s="21" t="str">
        <f t="shared" si="1"/>
        <v>Aug</v>
      </c>
      <c r="L395" s="21">
        <f t="shared" si="2"/>
        <v>2025</v>
      </c>
      <c r="N395" s="33"/>
      <c r="O395" s="34"/>
    </row>
    <row r="396" ht="22.5" customHeight="1">
      <c r="A396" s="21" t="s">
        <v>2361</v>
      </c>
      <c r="B396" s="21" t="s">
        <v>1453</v>
      </c>
      <c r="C396" s="21" t="str">
        <f t="array" ref="C396">XLOOKUP(B396,Customer[Customer_ID],Customer[Name(Cleaned)])</f>
        <v>Cynthia Parrish</v>
      </c>
      <c r="D396" s="22" t="str">
        <f>VLOOKUP(B396,Customer[#ALL],6)</f>
        <v>Female</v>
      </c>
      <c r="E396" s="23">
        <f>Sales[Order_Date]</f>
        <v>45267</v>
      </c>
      <c r="F396" s="21" t="str">
        <f>Sales[Store_ID]</f>
        <v>STORE11</v>
      </c>
      <c r="G396" s="21" t="str">
        <f t="array" ref="G396">INDEX(Store[Store_Name],MATCH(F396,Store[Store_ID],0))</f>
        <v>Aguirre-Keller</v>
      </c>
      <c r="H396" s="21" t="str">
        <f>Sales[Product_ID]</f>
        <v>PROD69</v>
      </c>
      <c r="I396" s="21" t="str">
        <f>VLOOKUP(H396,Products[],2)</f>
        <v>Men's Sports Shorts</v>
      </c>
      <c r="J396" s="24">
        <f>Sales[Total_Amount]</f>
        <v>523.776</v>
      </c>
      <c r="K396" s="21" t="str">
        <f t="shared" si="1"/>
        <v>Dec</v>
      </c>
      <c r="L396" s="21">
        <f t="shared" si="2"/>
        <v>2023</v>
      </c>
      <c r="N396" s="33"/>
      <c r="O396" s="34"/>
    </row>
    <row r="397" ht="22.5" customHeight="1">
      <c r="A397" s="21" t="s">
        <v>2362</v>
      </c>
      <c r="B397" s="21" t="s">
        <v>1262</v>
      </c>
      <c r="C397" s="21" t="str">
        <f t="array" ref="C397">XLOOKUP(B397,Customer[Customer_ID],Customer[Name(Cleaned)])</f>
        <v>Mark Rogers</v>
      </c>
      <c r="D397" s="22" t="str">
        <f>VLOOKUP(B397,Customer[#ALL],6)</f>
        <v>Male</v>
      </c>
      <c r="E397" s="23">
        <f>Sales[Order_Date]</f>
        <v>45894</v>
      </c>
      <c r="F397" s="21" t="str">
        <f>Sales[Store_ID]</f>
        <v>STORE15</v>
      </c>
      <c r="G397" s="21" t="str">
        <f t="array" ref="G397">INDEX(Store[Store_Name],MATCH(F397,Store[Store_ID],0))</f>
        <v>Shelton PLC</v>
      </c>
      <c r="H397" s="21" t="str">
        <f>Sales[Product_ID]</f>
        <v>PROD94</v>
      </c>
      <c r="I397" s="21" t="str">
        <f>VLOOKUP(H397,Products[],2)</f>
        <v>Vitamin E Body Lotion</v>
      </c>
      <c r="J397" s="24">
        <f>Sales[Total_Amount]</f>
        <v>372.0299</v>
      </c>
      <c r="K397" s="21" t="str">
        <f t="shared" si="1"/>
        <v>Aug</v>
      </c>
      <c r="L397" s="21">
        <f t="shared" si="2"/>
        <v>2025</v>
      </c>
      <c r="N397" s="33"/>
      <c r="O397" s="34"/>
    </row>
    <row r="398" ht="22.5" customHeight="1">
      <c r="A398" s="21" t="s">
        <v>2363</v>
      </c>
      <c r="B398" s="21" t="s">
        <v>30</v>
      </c>
      <c r="C398" s="21" t="str">
        <f t="array" ref="C398">XLOOKUP(B398,Customer[Customer_ID],Customer[Name(Cleaned)])</f>
        <v>Jeremy Harris</v>
      </c>
      <c r="D398" s="22" t="str">
        <f>VLOOKUP(B398,Customer[#ALL],6)</f>
        <v>Male</v>
      </c>
      <c r="E398" s="23">
        <f>Sales[Order_Date]</f>
        <v>45331</v>
      </c>
      <c r="F398" s="21" t="str">
        <f>Sales[Store_ID]</f>
        <v>STORE3</v>
      </c>
      <c r="G398" s="21" t="str">
        <f t="array" ref="G398">INDEX(Store[Store_Name],MATCH(F398,Store[Store_ID],0))</f>
        <v>Johnson-Wright</v>
      </c>
      <c r="H398" s="21" t="str">
        <f>Sales[Product_ID]</f>
        <v>PROD97</v>
      </c>
      <c r="I398" s="21" t="str">
        <f>VLOOKUP(H398,Products[],2)</f>
        <v>Cricket Bat</v>
      </c>
      <c r="J398" s="24">
        <f>Sales[Total_Amount]</f>
        <v>1311.4192</v>
      </c>
      <c r="K398" s="21" t="str">
        <f t="shared" si="1"/>
        <v>Feb</v>
      </c>
      <c r="L398" s="21">
        <f t="shared" si="2"/>
        <v>2024</v>
      </c>
      <c r="N398" s="33"/>
      <c r="O398" s="34"/>
    </row>
    <row r="399" ht="22.5" customHeight="1">
      <c r="A399" s="21" t="s">
        <v>2364</v>
      </c>
      <c r="B399" s="21" t="s">
        <v>300</v>
      </c>
      <c r="C399" s="21" t="str">
        <f t="array" ref="C399">XLOOKUP(B399,Customer[Customer_ID],Customer[Name(Cleaned)])</f>
        <v>Jennifer Garcia</v>
      </c>
      <c r="D399" s="22" t="str">
        <f>VLOOKUP(B399,Customer[#ALL],6)</f>
        <v>Male</v>
      </c>
      <c r="E399" s="23">
        <f>Sales[Order_Date]</f>
        <v>45910</v>
      </c>
      <c r="F399" s="21" t="str">
        <f>Sales[Store_ID]</f>
        <v>STORE15</v>
      </c>
      <c r="G399" s="21" t="str">
        <f t="array" ref="G399">INDEX(Store[Store_Name],MATCH(F399,Store[Store_ID],0))</f>
        <v>Shelton PLC</v>
      </c>
      <c r="H399" s="21" t="str">
        <f>Sales[Product_ID]</f>
        <v>PROD89</v>
      </c>
      <c r="I399" s="21" t="str">
        <f>VLOOKUP(H399,Products[],2)</f>
        <v>Face Foundation Kit</v>
      </c>
      <c r="J399" s="24">
        <f>Sales[Total_Amount]</f>
        <v>2487.381</v>
      </c>
      <c r="K399" s="21" t="str">
        <f t="shared" si="1"/>
        <v>Sep</v>
      </c>
      <c r="L399" s="21">
        <f t="shared" si="2"/>
        <v>2025</v>
      </c>
      <c r="N399" s="33"/>
      <c r="O399" s="34"/>
    </row>
    <row r="400" ht="22.5" customHeight="1">
      <c r="A400" s="21" t="s">
        <v>2365</v>
      </c>
      <c r="B400" s="21" t="s">
        <v>652</v>
      </c>
      <c r="C400" s="21" t="str">
        <f t="array" ref="C400">XLOOKUP(B400,Customer[Customer_ID],Customer[Name(Cleaned)])</f>
        <v>Anthony Garcia</v>
      </c>
      <c r="D400" s="22" t="str">
        <f>VLOOKUP(B400,Customer[#ALL],6)</f>
        <v>Female</v>
      </c>
      <c r="E400" s="23">
        <f>Sales[Order_Date]</f>
        <v>45564</v>
      </c>
      <c r="F400" s="21" t="str">
        <f>Sales[Store_ID]</f>
        <v>STORE8</v>
      </c>
      <c r="G400" s="21" t="str">
        <f t="array" ref="G400">INDEX(Store[Store_Name],MATCH(F400,Store[Store_ID],0))</f>
        <v>Bean, Jones and Park</v>
      </c>
      <c r="H400" s="21" t="str">
        <f>Sales[Product_ID]</f>
        <v>PROD79</v>
      </c>
      <c r="I400" s="21" t="str">
        <f>VLOOKUP(H400,Products[],2)</f>
        <v>Decorative Lamp Shade</v>
      </c>
      <c r="J400" s="24">
        <f>Sales[Total_Amount]</f>
        <v>373.6656</v>
      </c>
      <c r="K400" s="21" t="str">
        <f t="shared" si="1"/>
        <v>Sep</v>
      </c>
      <c r="L400" s="21">
        <f t="shared" si="2"/>
        <v>2024</v>
      </c>
      <c r="N400" s="33"/>
      <c r="O400" s="34"/>
    </row>
    <row r="401" ht="22.5" customHeight="1">
      <c r="A401" s="21" t="s">
        <v>2366</v>
      </c>
      <c r="B401" s="21" t="s">
        <v>176</v>
      </c>
      <c r="C401" s="21" t="str">
        <f t="array" ref="C401">XLOOKUP(B401,Customer[Customer_ID],Customer[Name(Cleaned)])</f>
        <v>Joseph Snow</v>
      </c>
      <c r="D401" s="22" t="str">
        <f>VLOOKUP(B401,Customer[#ALL],6)</f>
        <v>Female</v>
      </c>
      <c r="E401" s="23">
        <f>Sales[Order_Date]</f>
        <v>45461</v>
      </c>
      <c r="F401" s="21" t="str">
        <f>Sales[Store_ID]</f>
        <v>STORE4</v>
      </c>
      <c r="G401" s="21" t="str">
        <f t="array" ref="G401">INDEX(Store[Store_Name],MATCH(F401,Store[Store_ID],0))</f>
        <v>Alexander Group</v>
      </c>
      <c r="H401" s="21" t="str">
        <f>Sales[Product_ID]</f>
        <v>PROD15</v>
      </c>
      <c r="I401" s="21" t="str">
        <f>VLOOKUP(H401,Products[],2)</f>
        <v>4K Home Projector</v>
      </c>
      <c r="J401" s="24">
        <f>Sales[Total_Amount]</f>
        <v>192.885</v>
      </c>
      <c r="K401" s="21" t="str">
        <f t="shared" si="1"/>
        <v>Jun</v>
      </c>
      <c r="L401" s="21">
        <f t="shared" si="2"/>
        <v>2024</v>
      </c>
      <c r="N401" s="33"/>
      <c r="O401" s="34"/>
    </row>
    <row r="402" ht="22.5" customHeight="1">
      <c r="A402" s="21" t="s">
        <v>2367</v>
      </c>
      <c r="B402" s="21" t="s">
        <v>434</v>
      </c>
      <c r="C402" s="21" t="str">
        <f t="array" ref="C402">XLOOKUP(B402,Customer[Customer_ID],Customer[Name(Cleaned)])</f>
        <v>Erin Hopkins</v>
      </c>
      <c r="D402" s="22" t="str">
        <f>VLOOKUP(B402,Customer[#ALL],6)</f>
        <v>Female</v>
      </c>
      <c r="E402" s="23">
        <f>Sales[Order_Date]</f>
        <v>45258</v>
      </c>
      <c r="F402" s="21" t="str">
        <f>Sales[Store_ID]</f>
        <v>STORE6</v>
      </c>
      <c r="G402" s="21" t="str">
        <f t="array" ref="G402">INDEX(Store[Store_Name],MATCH(F402,Store[Store_ID],0))</f>
        <v>Benson-Elliott</v>
      </c>
      <c r="H402" s="21" t="str">
        <f>Sales[Product_ID]</f>
        <v>PROD14</v>
      </c>
      <c r="I402" s="21" t="str">
        <f>VLOOKUP(H402,Products[],2)</f>
        <v>Decorative Wall Mirror</v>
      </c>
      <c r="J402" s="24">
        <f>Sales[Total_Amount]</f>
        <v>1171.2978</v>
      </c>
      <c r="K402" s="21" t="str">
        <f t="shared" si="1"/>
        <v>Nov</v>
      </c>
      <c r="L402" s="21">
        <f t="shared" si="2"/>
        <v>2023</v>
      </c>
      <c r="N402" s="33"/>
      <c r="O402" s="34"/>
    </row>
    <row r="403" ht="22.5" customHeight="1">
      <c r="A403" s="21" t="s">
        <v>2368</v>
      </c>
      <c r="B403" s="21" t="s">
        <v>66</v>
      </c>
      <c r="C403" s="21" t="str">
        <f t="array" ref="C403">XLOOKUP(B403,Customer[Customer_ID],Customer[Name(Cleaned)])</f>
        <v>Kenneth Lambert</v>
      </c>
      <c r="D403" s="22" t="str">
        <f>VLOOKUP(B403,Customer[#ALL],6)</f>
        <v>Male</v>
      </c>
      <c r="E403" s="23">
        <f>Sales[Order_Date]</f>
        <v>45228</v>
      </c>
      <c r="F403" s="21" t="str">
        <f>Sales[Store_ID]</f>
        <v>STORE6</v>
      </c>
      <c r="G403" s="21" t="str">
        <f t="array" ref="G403">INDEX(Store[Store_Name],MATCH(F403,Store[Store_ID],0))</f>
        <v>Benson-Elliott</v>
      </c>
      <c r="H403" s="21" t="str">
        <f>Sales[Product_ID]</f>
        <v>PROD33</v>
      </c>
      <c r="I403" s="21" t="str">
        <f>VLOOKUP(H403,Products[],2)</f>
        <v>Modern Wall Clock</v>
      </c>
      <c r="J403" s="24">
        <f>Sales[Total_Amount]</f>
        <v>255.888</v>
      </c>
      <c r="K403" s="21" t="str">
        <f t="shared" si="1"/>
        <v>Oct</v>
      </c>
      <c r="L403" s="21">
        <f t="shared" si="2"/>
        <v>2023</v>
      </c>
      <c r="N403" s="33"/>
      <c r="O403" s="34"/>
    </row>
    <row r="404" ht="22.5" customHeight="1">
      <c r="A404" s="21" t="s">
        <v>2369</v>
      </c>
      <c r="B404" s="21" t="s">
        <v>1110</v>
      </c>
      <c r="C404" s="21" t="str">
        <f t="array" ref="C404">XLOOKUP(B404,Customer[Customer_ID],Customer[Name(Cleaned)])</f>
        <v>Heather Valenzuela</v>
      </c>
      <c r="D404" s="22" t="str">
        <f>VLOOKUP(B404,Customer[#ALL],6)</f>
        <v>Female</v>
      </c>
      <c r="E404" s="23">
        <f>Sales[Order_Date]</f>
        <v>45751</v>
      </c>
      <c r="F404" s="21" t="str">
        <f>Sales[Store_ID]</f>
        <v>STORE9</v>
      </c>
      <c r="G404" s="21" t="str">
        <f t="array" ref="G404">INDEX(Store[Store_Name],MATCH(F404,Store[Store_ID],0))</f>
        <v>Moore, Padilla and Butler</v>
      </c>
      <c r="H404" s="21" t="str">
        <f>Sales[Product_ID]</f>
        <v>PROD71</v>
      </c>
      <c r="I404" s="21" t="str">
        <f>VLOOKUP(H404,Products[],2)</f>
        <v>Hair Repair Oil Treatment</v>
      </c>
      <c r="J404" s="24">
        <f>Sales[Total_Amount]</f>
        <v>2471.6376</v>
      </c>
      <c r="K404" s="21" t="str">
        <f t="shared" si="1"/>
        <v>Apr</v>
      </c>
      <c r="L404" s="21">
        <f t="shared" si="2"/>
        <v>2025</v>
      </c>
      <c r="N404" s="33"/>
      <c r="O404" s="34"/>
    </row>
    <row r="405" ht="22.5" customHeight="1">
      <c r="A405" s="21" t="s">
        <v>2370</v>
      </c>
      <c r="B405" s="21" t="s">
        <v>66</v>
      </c>
      <c r="C405" s="21" t="str">
        <f t="array" ref="C405">XLOOKUP(B405,Customer[Customer_ID],Customer[Name(Cleaned)])</f>
        <v>Kenneth Lambert</v>
      </c>
      <c r="D405" s="22" t="str">
        <f>VLOOKUP(B405,Customer[#ALL],6)</f>
        <v>Male</v>
      </c>
      <c r="E405" s="23">
        <f>Sales[Order_Date]</f>
        <v>45858</v>
      </c>
      <c r="F405" s="21" t="str">
        <f>Sales[Store_ID]</f>
        <v>STORE18</v>
      </c>
      <c r="G405" s="21" t="str">
        <f t="array" ref="G405">INDEX(Store[Store_Name],MATCH(F405,Store[Store_ID],0))</f>
        <v>Guerrero-Schmitt</v>
      </c>
      <c r="H405" s="21" t="str">
        <f>Sales[Product_ID]</f>
        <v>PROD45</v>
      </c>
      <c r="I405" s="21" t="str">
        <f>VLOOKUP(H405,Products[],2)</f>
        <v>High-Grip Football</v>
      </c>
      <c r="J405" s="24">
        <f>Sales[Total_Amount]</f>
        <v>377.1098</v>
      </c>
      <c r="K405" s="21" t="str">
        <f t="shared" si="1"/>
        <v>Jul</v>
      </c>
      <c r="L405" s="21">
        <f t="shared" si="2"/>
        <v>2025</v>
      </c>
      <c r="N405" s="33"/>
      <c r="O405" s="34"/>
    </row>
    <row r="406" ht="22.5" customHeight="1">
      <c r="A406" s="21" t="s">
        <v>2371</v>
      </c>
      <c r="B406" s="21" t="s">
        <v>631</v>
      </c>
      <c r="C406" s="21" t="str">
        <f t="array" ref="C406">XLOOKUP(B406,Customer[Customer_ID],Customer[Name(Cleaned)])</f>
        <v>Kimberly Brooks</v>
      </c>
      <c r="D406" s="22" t="str">
        <f>VLOOKUP(B406,Customer[#ALL],6)</f>
        <v>Female</v>
      </c>
      <c r="E406" s="23">
        <f>Sales[Order_Date]</f>
        <v>45532</v>
      </c>
      <c r="F406" s="21" t="str">
        <f>Sales[Store_ID]</f>
        <v>STORE19</v>
      </c>
      <c r="G406" s="21" t="str">
        <f t="array" ref="G406">INDEX(Store[Store_Name],MATCH(F406,Store[Store_ID],0))</f>
        <v>Mann-Austin</v>
      </c>
      <c r="H406" s="21" t="str">
        <f>Sales[Product_ID]</f>
        <v>PROD33</v>
      </c>
      <c r="I406" s="21" t="str">
        <f>VLOOKUP(H406,Products[],2)</f>
        <v>Modern Wall Clock</v>
      </c>
      <c r="J406" s="24">
        <f>Sales[Total_Amount]</f>
        <v>2585.8644</v>
      </c>
      <c r="K406" s="21" t="str">
        <f t="shared" si="1"/>
        <v>Aug</v>
      </c>
      <c r="L406" s="21">
        <f t="shared" si="2"/>
        <v>2024</v>
      </c>
      <c r="N406" s="33"/>
      <c r="O406" s="34"/>
    </row>
    <row r="407" ht="22.5" customHeight="1">
      <c r="A407" s="21" t="s">
        <v>2372</v>
      </c>
      <c r="B407" s="21" t="s">
        <v>1268</v>
      </c>
      <c r="C407" s="21" t="str">
        <f t="array" ref="C407">XLOOKUP(B407,Customer[Customer_ID],Customer[Name(Cleaned)])</f>
        <v>Cassandra Perez</v>
      </c>
      <c r="D407" s="22" t="str">
        <f>VLOOKUP(B407,Customer[#ALL],6)</f>
        <v>Female</v>
      </c>
      <c r="E407" s="23">
        <f>Sales[Order_Date]</f>
        <v>45454</v>
      </c>
      <c r="F407" s="21" t="str">
        <f>Sales[Store_ID]</f>
        <v>STORE15</v>
      </c>
      <c r="G407" s="21" t="str">
        <f t="array" ref="G407">INDEX(Store[Store_Name],MATCH(F407,Store[Store_ID],0))</f>
        <v>Shelton PLC</v>
      </c>
      <c r="H407" s="21" t="str">
        <f>Sales[Product_ID]</f>
        <v>PROD54</v>
      </c>
      <c r="I407" s="21" t="str">
        <f>VLOOKUP(H407,Products[],2)</f>
        <v>Sports Stopwatch Pro</v>
      </c>
      <c r="J407" s="24">
        <f>Sales[Total_Amount]</f>
        <v>2367.15</v>
      </c>
      <c r="K407" s="21" t="str">
        <f t="shared" si="1"/>
        <v>Jun</v>
      </c>
      <c r="L407" s="21">
        <f t="shared" si="2"/>
        <v>2024</v>
      </c>
      <c r="N407" s="33"/>
      <c r="O407" s="34"/>
    </row>
    <row r="408" ht="22.5" customHeight="1">
      <c r="A408" s="21" t="s">
        <v>2373</v>
      </c>
      <c r="B408" s="21" t="s">
        <v>528</v>
      </c>
      <c r="C408" s="21" t="str">
        <f t="array" ref="C408">XLOOKUP(B408,Customer[Customer_ID],Customer[Name(Cleaned)])</f>
        <v>Julie Hale</v>
      </c>
      <c r="D408" s="22" t="str">
        <f>VLOOKUP(B408,Customer[#ALL],6)</f>
        <v>Male</v>
      </c>
      <c r="E408" s="23">
        <f>Sales[Order_Date]</f>
        <v>45244</v>
      </c>
      <c r="F408" s="21" t="str">
        <f>Sales[Store_ID]</f>
        <v>STORE0</v>
      </c>
      <c r="G408" s="21" t="str">
        <f t="array" ref="G408">INDEX(Store[Store_Name],MATCH(F408,Store[Store_ID],0))</f>
        <v>Rivera-Warner</v>
      </c>
      <c r="H408" s="21" t="str">
        <f>Sales[Product_ID]</f>
        <v>PROD66</v>
      </c>
      <c r="I408" s="21" t="str">
        <f>VLOOKUP(H408,Products[],2)</f>
        <v>Women's Hair Dryer Brush</v>
      </c>
      <c r="J408" s="24">
        <f>Sales[Total_Amount]</f>
        <v>570.52</v>
      </c>
      <c r="K408" s="21" t="str">
        <f t="shared" si="1"/>
        <v>Nov</v>
      </c>
      <c r="L408" s="21">
        <f t="shared" si="2"/>
        <v>2023</v>
      </c>
      <c r="N408" s="33"/>
      <c r="O408" s="34"/>
    </row>
    <row r="409" ht="22.5" customHeight="1">
      <c r="A409" s="21" t="s">
        <v>2374</v>
      </c>
      <c r="B409" s="21" t="s">
        <v>604</v>
      </c>
      <c r="C409" s="21" t="str">
        <f t="array" ref="C409">XLOOKUP(B409,Customer[Customer_ID],Customer[Name(Cleaned)])</f>
        <v>Nicholas Bradshaw</v>
      </c>
      <c r="D409" s="22" t="str">
        <f>VLOOKUP(B409,Customer[#ALL],6)</f>
        <v>Male</v>
      </c>
      <c r="E409" s="23">
        <f>Sales[Order_Date]</f>
        <v>45322</v>
      </c>
      <c r="F409" s="21" t="str">
        <f>Sales[Store_ID]</f>
        <v>STORE16</v>
      </c>
      <c r="G409" s="21" t="str">
        <f t="array" ref="G409">INDEX(Store[Store_Name],MATCH(F409,Store[Store_ID],0))</f>
        <v>Frederick-Wright</v>
      </c>
      <c r="H409" s="21" t="str">
        <f>Sales[Product_ID]</f>
        <v>PROD27</v>
      </c>
      <c r="I409" s="21" t="str">
        <f>VLOOKUP(H409,Products[],2)</f>
        <v>Decorative Floor Vase</v>
      </c>
      <c r="J409" s="24">
        <f>Sales[Total_Amount]</f>
        <v>969.6648</v>
      </c>
      <c r="K409" s="21" t="str">
        <f t="shared" si="1"/>
        <v>Jan</v>
      </c>
      <c r="L409" s="21">
        <f t="shared" si="2"/>
        <v>2024</v>
      </c>
      <c r="N409" s="33"/>
      <c r="O409" s="34"/>
    </row>
    <row r="410" ht="22.5" customHeight="1">
      <c r="A410" s="21" t="s">
        <v>2375</v>
      </c>
      <c r="B410" s="21" t="s">
        <v>222</v>
      </c>
      <c r="C410" s="21" t="str">
        <f t="array" ref="C410">XLOOKUP(B410,Customer[Customer_ID],Customer[Name(Cleaned)])</f>
        <v>Jay Patel</v>
      </c>
      <c r="D410" s="22" t="str">
        <f>VLOOKUP(B410,Customer[#ALL],6)</f>
        <v>Male</v>
      </c>
      <c r="E410" s="23">
        <f>Sales[Order_Date]</f>
        <v>45757</v>
      </c>
      <c r="F410" s="21" t="str">
        <f>Sales[Store_ID]</f>
        <v>STORE17</v>
      </c>
      <c r="G410" s="21" t="str">
        <f t="array" ref="G410">INDEX(Store[Store_Name],MATCH(F410,Store[Store_ID],0))</f>
        <v>Holloway Ltd</v>
      </c>
      <c r="H410" s="21" t="str">
        <f>Sales[Product_ID]</f>
        <v>PROD68</v>
      </c>
      <c r="I410" s="21" t="str">
        <f>VLOOKUP(H410,Products[],2)</f>
        <v>Wooden Nightstand</v>
      </c>
      <c r="J410" s="24">
        <f>Sales[Total_Amount]</f>
        <v>848.8244</v>
      </c>
      <c r="K410" s="21" t="str">
        <f t="shared" si="1"/>
        <v>Apr</v>
      </c>
      <c r="L410" s="21">
        <f t="shared" si="2"/>
        <v>2025</v>
      </c>
      <c r="N410" s="33"/>
      <c r="O410" s="34"/>
    </row>
    <row r="411" ht="22.5" customHeight="1">
      <c r="A411" s="21" t="s">
        <v>2376</v>
      </c>
      <c r="B411" s="21" t="s">
        <v>453</v>
      </c>
      <c r="C411" s="21" t="str">
        <f t="array" ref="C411">XLOOKUP(B411,Customer[Customer_ID],Customer[Name(Cleaned)])</f>
        <v>Jessica Mitchell</v>
      </c>
      <c r="D411" s="22" t="str">
        <f>VLOOKUP(B411,Customer[#ALL],6)</f>
        <v>Male</v>
      </c>
      <c r="E411" s="23">
        <f>Sales[Order_Date]</f>
        <v>45397</v>
      </c>
      <c r="F411" s="21" t="str">
        <f>Sales[Store_ID]</f>
        <v>STORE16</v>
      </c>
      <c r="G411" s="21" t="str">
        <f t="array" ref="G411">INDEX(Store[Store_Name],MATCH(F411,Store[Store_ID],0))</f>
        <v>Frederick-Wright</v>
      </c>
      <c r="H411" s="21" t="str">
        <f>Sales[Product_ID]</f>
        <v>PROD27</v>
      </c>
      <c r="I411" s="21" t="str">
        <f>VLOOKUP(H411,Products[],2)</f>
        <v>Decorative Floor Vase</v>
      </c>
      <c r="J411" s="24">
        <f>Sales[Total_Amount]</f>
        <v>487.188</v>
      </c>
      <c r="K411" s="21" t="str">
        <f t="shared" si="1"/>
        <v>Apr</v>
      </c>
      <c r="L411" s="21">
        <f t="shared" si="2"/>
        <v>2024</v>
      </c>
      <c r="N411" s="33"/>
      <c r="O411" s="34"/>
    </row>
    <row r="412" ht="22.5" customHeight="1">
      <c r="A412" s="21" t="s">
        <v>2377</v>
      </c>
      <c r="B412" s="21" t="s">
        <v>960</v>
      </c>
      <c r="C412" s="21" t="str">
        <f t="array" ref="C412">XLOOKUP(B412,Customer[Customer_ID],Customer[Name(Cleaned)])</f>
        <v>Stephanie Jacobs</v>
      </c>
      <c r="D412" s="22" t="str">
        <f>VLOOKUP(B412,Customer[#ALL],6)</f>
        <v>Male</v>
      </c>
      <c r="E412" s="23">
        <f>Sales[Order_Date]</f>
        <v>45914</v>
      </c>
      <c r="F412" s="21" t="str">
        <f>Sales[Store_ID]</f>
        <v>STORE17</v>
      </c>
      <c r="G412" s="21" t="str">
        <f t="array" ref="G412">INDEX(Store[Store_Name],MATCH(F412,Store[Store_ID],0))</f>
        <v>Holloway Ltd</v>
      </c>
      <c r="H412" s="21" t="str">
        <f>Sales[Product_ID]</f>
        <v>PROD23</v>
      </c>
      <c r="I412" s="21" t="str">
        <f>VLOOKUP(H412,Products[],2)</f>
        <v>Men's Formal Shirt</v>
      </c>
      <c r="J412" s="24">
        <f>Sales[Total_Amount]</f>
        <v>896.04</v>
      </c>
      <c r="K412" s="21" t="str">
        <f t="shared" si="1"/>
        <v>Sep</v>
      </c>
      <c r="L412" s="21">
        <f t="shared" si="2"/>
        <v>2025</v>
      </c>
      <c r="N412" s="33"/>
      <c r="O412" s="34"/>
    </row>
    <row r="413" ht="22.5" customHeight="1">
      <c r="A413" s="21" t="s">
        <v>2378</v>
      </c>
      <c r="B413" s="21" t="s">
        <v>152</v>
      </c>
      <c r="C413" s="21" t="str">
        <f t="array" ref="C413">XLOOKUP(B413,Customer[Customer_ID],Customer[Name(Cleaned)])</f>
        <v>Thomas Phillips</v>
      </c>
      <c r="D413" s="22" t="str">
        <f>VLOOKUP(B413,Customer[#ALL],6)</f>
        <v>Male</v>
      </c>
      <c r="E413" s="23">
        <f>Sales[Order_Date]</f>
        <v>45432</v>
      </c>
      <c r="F413" s="21" t="str">
        <f>Sales[Store_ID]</f>
        <v>STORE11</v>
      </c>
      <c r="G413" s="21" t="str">
        <f t="array" ref="G413">INDEX(Store[Store_Name],MATCH(F413,Store[Store_ID],0))</f>
        <v>Aguirre-Keller</v>
      </c>
      <c r="H413" s="21" t="str">
        <f>Sales[Product_ID]</f>
        <v>PROD59</v>
      </c>
      <c r="I413" s="21" t="str">
        <f>VLOOKUP(H413,Products[],2)</f>
        <v>Men's Hair Styling Gel</v>
      </c>
      <c r="J413" s="24">
        <f>Sales[Total_Amount]</f>
        <v>46.2168</v>
      </c>
      <c r="K413" s="21" t="str">
        <f t="shared" si="1"/>
        <v>May</v>
      </c>
      <c r="L413" s="21">
        <f t="shared" si="2"/>
        <v>2024</v>
      </c>
      <c r="N413" s="33"/>
      <c r="O413" s="34"/>
    </row>
    <row r="414" ht="22.5" customHeight="1">
      <c r="A414" s="21" t="s">
        <v>2379</v>
      </c>
      <c r="B414" s="21" t="s">
        <v>39</v>
      </c>
      <c r="C414" s="21" t="str">
        <f t="array" ref="C414">XLOOKUP(B414,Customer[Customer_ID],Customer[Name(Cleaned)])</f>
        <v>Christine Vaughn</v>
      </c>
      <c r="D414" s="22" t="str">
        <f>VLOOKUP(B414,Customer[#ALL],6)</f>
        <v>Female</v>
      </c>
      <c r="E414" s="23">
        <f>Sales[Order_Date]</f>
        <v>45798</v>
      </c>
      <c r="F414" s="21" t="str">
        <f>Sales[Store_ID]</f>
        <v>STORE7</v>
      </c>
      <c r="G414" s="21" t="str">
        <f t="array" ref="G414">INDEX(Store[Store_Name],MATCH(F414,Store[Store_ID],0))</f>
        <v>Martinez-Mullins</v>
      </c>
      <c r="H414" s="21" t="str">
        <f>Sales[Product_ID]</f>
        <v>PROD35</v>
      </c>
      <c r="I414" s="21" t="str">
        <f>VLOOKUP(H414,Products[],2)</f>
        <v>Bedroom Table Lamp</v>
      </c>
      <c r="J414" s="24">
        <f>Sales[Total_Amount]</f>
        <v>586.7172</v>
      </c>
      <c r="K414" s="21" t="str">
        <f t="shared" si="1"/>
        <v>May</v>
      </c>
      <c r="L414" s="21">
        <f t="shared" si="2"/>
        <v>2025</v>
      </c>
      <c r="N414" s="33"/>
      <c r="O414" s="34"/>
    </row>
    <row r="415" ht="22.5" customHeight="1">
      <c r="A415" s="21" t="s">
        <v>2380</v>
      </c>
      <c r="B415" s="21" t="s">
        <v>1474</v>
      </c>
      <c r="C415" s="21" t="str">
        <f t="array" ref="C415">XLOOKUP(B415,Customer[Customer_ID],Customer[Name(Cleaned)])</f>
        <v>Laura Mathews</v>
      </c>
      <c r="D415" s="22" t="str">
        <f>VLOOKUP(B415,Customer[#ALL],6)</f>
        <v>Female</v>
      </c>
      <c r="E415" s="23">
        <f>Sales[Order_Date]</f>
        <v>45392</v>
      </c>
      <c r="F415" s="21" t="str">
        <f>Sales[Store_ID]</f>
        <v>STORE6</v>
      </c>
      <c r="G415" s="21" t="str">
        <f t="array" ref="G415">INDEX(Store[Store_Name],MATCH(F415,Store[Store_ID],0))</f>
        <v>Benson-Elliott</v>
      </c>
      <c r="H415" s="21" t="str">
        <f>Sales[Product_ID]</f>
        <v>PROD50</v>
      </c>
      <c r="I415" s="21" t="str">
        <f>VLOOKUP(H415,Products[],2)</f>
        <v>Boxing Hand Wraps</v>
      </c>
      <c r="J415" s="24">
        <f>Sales[Total_Amount]</f>
        <v>201.597</v>
      </c>
      <c r="K415" s="21" t="str">
        <f t="shared" si="1"/>
        <v>Apr</v>
      </c>
      <c r="L415" s="21">
        <f t="shared" si="2"/>
        <v>2024</v>
      </c>
      <c r="N415" s="33"/>
      <c r="O415" s="34"/>
    </row>
    <row r="416" ht="22.5" customHeight="1">
      <c r="A416" s="21" t="s">
        <v>2381</v>
      </c>
      <c r="B416" s="21" t="s">
        <v>425</v>
      </c>
      <c r="C416" s="21" t="str">
        <f t="array" ref="C416">XLOOKUP(B416,Customer[Customer_ID],Customer[Name(Cleaned)])</f>
        <v>Jacob Hopkins</v>
      </c>
      <c r="D416" s="22" t="str">
        <f>VLOOKUP(B416,Customer[#ALL],6)</f>
        <v>Male</v>
      </c>
      <c r="E416" s="23">
        <f>Sales[Order_Date]</f>
        <v>45396</v>
      </c>
      <c r="F416" s="21" t="str">
        <f>Sales[Store_ID]</f>
        <v>STORE13</v>
      </c>
      <c r="G416" s="21" t="str">
        <f t="array" ref="G416">INDEX(Store[Store_Name],MATCH(F416,Store[Store_ID],0))</f>
        <v>Gardner, Humphrey and Contreras</v>
      </c>
      <c r="H416" s="21" t="str">
        <f>Sales[Product_ID]</f>
        <v>PROD18</v>
      </c>
      <c r="I416" s="21" t="str">
        <f>VLOOKUP(H416,Products[],2)</f>
        <v>Women's Denim Jeans</v>
      </c>
      <c r="J416" s="24">
        <f>Sales[Total_Amount]</f>
        <v>2033.9406</v>
      </c>
      <c r="K416" s="21" t="str">
        <f t="shared" si="1"/>
        <v>Apr</v>
      </c>
      <c r="L416" s="21">
        <f t="shared" si="2"/>
        <v>2024</v>
      </c>
      <c r="N416" s="33"/>
      <c r="O416" s="34"/>
    </row>
    <row r="417" ht="22.5" customHeight="1">
      <c r="A417" s="21" t="s">
        <v>2382</v>
      </c>
      <c r="B417" s="21" t="s">
        <v>129</v>
      </c>
      <c r="C417" s="21" t="str">
        <f t="array" ref="C417">XLOOKUP(B417,Customer[Customer_ID],Customer[Name(Cleaned)])</f>
        <v>David Arnold</v>
      </c>
      <c r="D417" s="22" t="str">
        <f>VLOOKUP(B417,Customer[#ALL],6)</f>
        <v>Male</v>
      </c>
      <c r="E417" s="23">
        <f>Sales[Order_Date]</f>
        <v>45235</v>
      </c>
      <c r="F417" s="21" t="str">
        <f>Sales[Store_ID]</f>
        <v>STORE5</v>
      </c>
      <c r="G417" s="21" t="str">
        <f t="array" ref="G417">INDEX(Store[Store_Name],MATCH(F417,Store[Store_ID],0))</f>
        <v>Gray Ltd</v>
      </c>
      <c r="H417" s="21" t="str">
        <f>Sales[Product_ID]</f>
        <v>PROD84</v>
      </c>
      <c r="I417" s="21" t="str">
        <f>VLOOKUP(H417,Products[],2)</f>
        <v>Wooden Bookshelf</v>
      </c>
      <c r="J417" s="24">
        <f>Sales[Total_Amount]</f>
        <v>2576.2302</v>
      </c>
      <c r="K417" s="21" t="str">
        <f t="shared" si="1"/>
        <v>Nov</v>
      </c>
      <c r="L417" s="21">
        <f t="shared" si="2"/>
        <v>2023</v>
      </c>
      <c r="N417" s="33"/>
      <c r="O417" s="34"/>
    </row>
    <row r="418" ht="22.5" customHeight="1">
      <c r="A418" s="21" t="s">
        <v>2383</v>
      </c>
      <c r="B418" s="21" t="s">
        <v>1441</v>
      </c>
      <c r="C418" s="21" t="str">
        <f t="array" ref="C418">XLOOKUP(B418,Customer[Customer_ID],Customer[Name(Cleaned)])</f>
        <v>Beth Martin</v>
      </c>
      <c r="D418" s="22" t="str">
        <f>VLOOKUP(B418,Customer[#ALL],6)</f>
        <v>Male</v>
      </c>
      <c r="E418" s="23">
        <f>Sales[Order_Date]</f>
        <v>45499</v>
      </c>
      <c r="F418" s="21" t="str">
        <f>Sales[Store_ID]</f>
        <v>STORE9</v>
      </c>
      <c r="G418" s="21" t="str">
        <f t="array" ref="G418">INDEX(Store[Store_Name],MATCH(F418,Store[Store_ID],0))</f>
        <v>Moore, Padilla and Butler</v>
      </c>
      <c r="H418" s="21" t="str">
        <f>Sales[Product_ID]</f>
        <v>PROD4</v>
      </c>
      <c r="I418" s="21" t="str">
        <f>VLOOKUP(H418,Products[],2)</f>
        <v>Portable Power Bank</v>
      </c>
      <c r="J418" s="24">
        <f>Sales[Total_Amount]</f>
        <v>736.668</v>
      </c>
      <c r="K418" s="21" t="str">
        <f t="shared" si="1"/>
        <v>Jul</v>
      </c>
      <c r="L418" s="21">
        <f t="shared" si="2"/>
        <v>2024</v>
      </c>
      <c r="N418" s="33"/>
      <c r="O418" s="34"/>
    </row>
    <row r="419" ht="22.5" customHeight="1">
      <c r="A419" s="21" t="s">
        <v>2384</v>
      </c>
      <c r="B419" s="21" t="s">
        <v>827</v>
      </c>
      <c r="C419" s="21" t="str">
        <f t="array" ref="C419">XLOOKUP(B419,Customer[Customer_ID],Customer[Name(Cleaned)])</f>
        <v>Linda Kline</v>
      </c>
      <c r="D419" s="22" t="str">
        <f>VLOOKUP(B419,Customer[#ALL],6)</f>
        <v>Female</v>
      </c>
      <c r="E419" s="23">
        <f>Sales[Order_Date]</f>
        <v>45272</v>
      </c>
      <c r="F419" s="21" t="str">
        <f>Sales[Store_ID]</f>
        <v>STORE7</v>
      </c>
      <c r="G419" s="21" t="str">
        <f t="array" ref="G419">INDEX(Store[Store_Name],MATCH(F419,Store[Store_ID],0))</f>
        <v>Martinez-Mullins</v>
      </c>
      <c r="H419" s="21" t="str">
        <f>Sales[Product_ID]</f>
        <v>PROD23</v>
      </c>
      <c r="I419" s="21" t="str">
        <f>VLOOKUP(H419,Products[],2)</f>
        <v>Men's Formal Shirt</v>
      </c>
      <c r="J419" s="24">
        <f>Sales[Total_Amount]</f>
        <v>1022.2128</v>
      </c>
      <c r="K419" s="21" t="str">
        <f t="shared" si="1"/>
        <v>Dec</v>
      </c>
      <c r="L419" s="21">
        <f t="shared" si="2"/>
        <v>2023</v>
      </c>
      <c r="N419" s="33"/>
      <c r="O419" s="34"/>
    </row>
    <row r="420" ht="22.5" customHeight="1">
      <c r="A420" s="21" t="s">
        <v>2385</v>
      </c>
      <c r="B420" s="21" t="s">
        <v>702</v>
      </c>
      <c r="C420" s="21" t="str">
        <f t="array" ref="C420">XLOOKUP(B420,Customer[Customer_ID],Customer[Name(Cleaned)])</f>
        <v>Blake Harrison</v>
      </c>
      <c r="D420" s="22" t="str">
        <f>VLOOKUP(B420,Customer[#ALL],6)</f>
        <v>Male</v>
      </c>
      <c r="E420" s="23">
        <f>Sales[Order_Date]</f>
        <v>45785</v>
      </c>
      <c r="F420" s="21" t="str">
        <f>Sales[Store_ID]</f>
        <v>STORE19</v>
      </c>
      <c r="G420" s="21" t="str">
        <f t="array" ref="G420">INDEX(Store[Store_Name],MATCH(F420,Store[Store_ID],0))</f>
        <v>Mann-Austin</v>
      </c>
      <c r="H420" s="21" t="str">
        <f>Sales[Product_ID]</f>
        <v>PROD42</v>
      </c>
      <c r="I420" s="21" t="str">
        <f>VLOOKUP(H420,Products[],2)</f>
        <v>Smart Home WiFi Camera</v>
      </c>
      <c r="J420" s="24">
        <f>Sales[Total_Amount]</f>
        <v>547.7472</v>
      </c>
      <c r="K420" s="21" t="str">
        <f t="shared" si="1"/>
        <v>May</v>
      </c>
      <c r="L420" s="21">
        <f t="shared" si="2"/>
        <v>2025</v>
      </c>
      <c r="N420" s="33"/>
      <c r="O420" s="34"/>
    </row>
    <row r="421" ht="22.5" customHeight="1">
      <c r="A421" s="21" t="s">
        <v>2386</v>
      </c>
      <c r="B421" s="21" t="s">
        <v>800</v>
      </c>
      <c r="C421" s="21" t="str">
        <f t="array" ref="C421">XLOOKUP(B421,Customer[Customer_ID],Customer[Name(Cleaned)])</f>
        <v>Laura Soto</v>
      </c>
      <c r="D421" s="22" t="str">
        <f>VLOOKUP(B421,Customer[#ALL],6)</f>
        <v>Male</v>
      </c>
      <c r="E421" s="23">
        <f>Sales[Order_Date]</f>
        <v>45534</v>
      </c>
      <c r="F421" s="21" t="str">
        <f>Sales[Store_ID]</f>
        <v>STORE14</v>
      </c>
      <c r="G421" s="21" t="str">
        <f t="array" ref="G421">INDEX(Store[Store_Name],MATCH(F421,Store[Store_ID],0))</f>
        <v>Mcdonald Inc</v>
      </c>
      <c r="H421" s="21" t="str">
        <f>Sales[Product_ID]</f>
        <v>PROD68</v>
      </c>
      <c r="I421" s="21" t="str">
        <f>VLOOKUP(H421,Products[],2)</f>
        <v>Wooden Nightstand</v>
      </c>
      <c r="J421" s="24">
        <f>Sales[Total_Amount]</f>
        <v>813.0472</v>
      </c>
      <c r="K421" s="21" t="str">
        <f t="shared" si="1"/>
        <v>Aug</v>
      </c>
      <c r="L421" s="21">
        <f t="shared" si="2"/>
        <v>2024</v>
      </c>
      <c r="N421" s="33"/>
      <c r="O421" s="34"/>
    </row>
    <row r="422" ht="22.5" customHeight="1">
      <c r="A422" s="21" t="s">
        <v>2387</v>
      </c>
      <c r="B422" s="21" t="s">
        <v>582</v>
      </c>
      <c r="C422" s="21" t="str">
        <f t="array" ref="C422">XLOOKUP(B422,Customer[Customer_ID],Customer[Name(Cleaned)])</f>
        <v>Thomas Rhodes</v>
      </c>
      <c r="D422" s="22" t="str">
        <f>VLOOKUP(B422,Customer[#ALL],6)</f>
        <v>Male</v>
      </c>
      <c r="E422" s="23">
        <f>Sales[Order_Date]</f>
        <v>45803</v>
      </c>
      <c r="F422" s="21" t="str">
        <f>Sales[Store_ID]</f>
        <v>STORE6</v>
      </c>
      <c r="G422" s="21" t="str">
        <f t="array" ref="G422">INDEX(Store[Store_Name],MATCH(F422,Store[Store_ID],0))</f>
        <v>Benson-Elliott</v>
      </c>
      <c r="H422" s="21" t="str">
        <f>Sales[Product_ID]</f>
        <v>PROD11</v>
      </c>
      <c r="I422" s="21" t="str">
        <f>VLOOKUP(H422,Products[],2)</f>
        <v>Men's Graphic T-Shirt</v>
      </c>
      <c r="J422" s="24">
        <f>Sales[Total_Amount]</f>
        <v>48.1015</v>
      </c>
      <c r="K422" s="21" t="str">
        <f t="shared" si="1"/>
        <v>May</v>
      </c>
      <c r="L422" s="21">
        <f t="shared" si="2"/>
        <v>2025</v>
      </c>
      <c r="N422" s="33"/>
      <c r="O422" s="34"/>
    </row>
    <row r="423" ht="22.5" customHeight="1">
      <c r="A423" s="21" t="s">
        <v>2388</v>
      </c>
      <c r="B423" s="21" t="s">
        <v>1276</v>
      </c>
      <c r="C423" s="21" t="str">
        <f t="array" ref="C423">XLOOKUP(B423,Customer[Customer_ID],Customer[Name(Cleaned)])</f>
        <v>Eric Wolfe</v>
      </c>
      <c r="D423" s="22" t="str">
        <f>VLOOKUP(B423,Customer[#ALL],6)</f>
        <v>Male</v>
      </c>
      <c r="E423" s="23">
        <f>Sales[Order_Date]</f>
        <v>45667</v>
      </c>
      <c r="F423" s="21" t="str">
        <f>Sales[Store_ID]</f>
        <v>STORE4</v>
      </c>
      <c r="G423" s="21" t="str">
        <f t="array" ref="G423">INDEX(Store[Store_Name],MATCH(F423,Store[Store_ID],0))</f>
        <v>Alexander Group</v>
      </c>
      <c r="H423" s="21" t="str">
        <f>Sales[Product_ID]</f>
        <v>PROD39</v>
      </c>
      <c r="I423" s="21" t="str">
        <f>VLOOKUP(H423,Products[],2)</f>
        <v>Portable Power Bank</v>
      </c>
      <c r="J423" s="24">
        <f>Sales[Total_Amount]</f>
        <v>2906.568</v>
      </c>
      <c r="K423" s="21" t="str">
        <f t="shared" si="1"/>
        <v>Jan</v>
      </c>
      <c r="L423" s="21">
        <f t="shared" si="2"/>
        <v>2025</v>
      </c>
      <c r="N423" s="33"/>
      <c r="O423" s="34"/>
    </row>
    <row r="424" ht="22.5" customHeight="1">
      <c r="A424" s="21" t="s">
        <v>2389</v>
      </c>
      <c r="B424" s="21" t="s">
        <v>246</v>
      </c>
      <c r="C424" s="21" t="str">
        <f t="array" ref="C424">XLOOKUP(B424,Customer[Customer_ID],Customer[Name(Cleaned)])</f>
        <v>Mr. Mason Butler</v>
      </c>
      <c r="D424" s="22" t="str">
        <f>VLOOKUP(B424,Customer[#ALL],6)</f>
        <v>Female</v>
      </c>
      <c r="E424" s="23">
        <f>Sales[Order_Date]</f>
        <v>45656</v>
      </c>
      <c r="F424" s="21" t="str">
        <f>Sales[Store_ID]</f>
        <v>STORE12</v>
      </c>
      <c r="G424" s="21" t="str">
        <f t="array" ref="G424">INDEX(Store[Store_Name],MATCH(F424,Store[Store_ID],0))</f>
        <v>Thomas, Bridges and Harris</v>
      </c>
      <c r="H424" s="21" t="str">
        <f>Sales[Product_ID]</f>
        <v>PROD47</v>
      </c>
      <c r="I424" s="21" t="str">
        <f>VLOOKUP(H424,Products[],2)</f>
        <v>Makeup Brush Set</v>
      </c>
      <c r="J424" s="24">
        <f>Sales[Total_Amount]</f>
        <v>898.8216</v>
      </c>
      <c r="K424" s="21" t="str">
        <f t="shared" si="1"/>
        <v>Dec</v>
      </c>
      <c r="L424" s="21">
        <f t="shared" si="2"/>
        <v>2024</v>
      </c>
      <c r="N424" s="33"/>
      <c r="O424" s="34"/>
    </row>
    <row r="425" ht="22.5" customHeight="1">
      <c r="A425" s="21" t="s">
        <v>2390</v>
      </c>
      <c r="B425" s="21" t="s">
        <v>1197</v>
      </c>
      <c r="C425" s="21" t="str">
        <f t="array" ref="C425">XLOOKUP(B425,Customer[Customer_ID],Customer[Name(Cleaned)])</f>
        <v>Frank Stewart</v>
      </c>
      <c r="D425" s="22" t="str">
        <f>VLOOKUP(B425,Customer[#ALL],6)</f>
        <v>Male</v>
      </c>
      <c r="E425" s="23">
        <f>Sales[Order_Date]</f>
        <v>45869</v>
      </c>
      <c r="F425" s="21" t="str">
        <f>Sales[Store_ID]</f>
        <v>STORE17</v>
      </c>
      <c r="G425" s="21" t="str">
        <f t="array" ref="G425">INDEX(Store[Store_Name],MATCH(F425,Store[Store_ID],0))</f>
        <v>Holloway Ltd</v>
      </c>
      <c r="H425" s="21" t="str">
        <f>Sales[Product_ID]</f>
        <v>PROD48</v>
      </c>
      <c r="I425" s="21" t="str">
        <f>VLOOKUP(H425,Products[],2)</f>
        <v>Car Dashboard Phone Holder</v>
      </c>
      <c r="J425" s="24">
        <f>Sales[Total_Amount]</f>
        <v>311.4328</v>
      </c>
      <c r="K425" s="21" t="str">
        <f t="shared" si="1"/>
        <v>Jul</v>
      </c>
      <c r="L425" s="21">
        <f t="shared" si="2"/>
        <v>2025</v>
      </c>
      <c r="N425" s="33"/>
      <c r="O425" s="34"/>
    </row>
    <row r="426" ht="22.5" customHeight="1">
      <c r="A426" s="21" t="s">
        <v>2391</v>
      </c>
      <c r="B426" s="21" t="s">
        <v>601</v>
      </c>
      <c r="C426" s="21" t="str">
        <f t="array" ref="C426">XLOOKUP(B426,Customer[Customer_ID],Customer[Name(Cleaned)])</f>
        <v>Michelle Myers</v>
      </c>
      <c r="D426" s="22" t="str">
        <f>VLOOKUP(B426,Customer[#ALL],6)</f>
        <v>Male</v>
      </c>
      <c r="E426" s="23">
        <f>Sales[Order_Date]</f>
        <v>45589</v>
      </c>
      <c r="F426" s="21" t="str">
        <f>Sales[Store_ID]</f>
        <v>STORE10</v>
      </c>
      <c r="G426" s="21" t="str">
        <f t="array" ref="G426">INDEX(Store[Store_Name],MATCH(F426,Store[Store_ID],0))</f>
        <v>Hill, Wagner and Ballard</v>
      </c>
      <c r="H426" s="21" t="str">
        <f>Sales[Product_ID]</f>
        <v>PROD97</v>
      </c>
      <c r="I426" s="21" t="str">
        <f>VLOOKUP(H426,Products[],2)</f>
        <v>Cricket Bat</v>
      </c>
      <c r="J426" s="24">
        <f>Sales[Total_Amount]</f>
        <v>641.736</v>
      </c>
      <c r="K426" s="21" t="str">
        <f t="shared" si="1"/>
        <v>Oct</v>
      </c>
      <c r="L426" s="21">
        <f t="shared" si="2"/>
        <v>2024</v>
      </c>
      <c r="N426" s="33"/>
      <c r="O426" s="34"/>
    </row>
    <row r="427" ht="22.5" customHeight="1">
      <c r="A427" s="21" t="s">
        <v>2392</v>
      </c>
      <c r="B427" s="21" t="s">
        <v>333</v>
      </c>
      <c r="C427" s="21" t="str">
        <f t="array" ref="C427">XLOOKUP(B427,Customer[Customer_ID],Customer[Name(Cleaned)])</f>
        <v>Oscar Moon</v>
      </c>
      <c r="D427" s="22" t="str">
        <f>VLOOKUP(B427,Customer[#ALL],6)</f>
        <v>Male</v>
      </c>
      <c r="E427" s="23">
        <f>Sales[Order_Date]</f>
        <v>45549</v>
      </c>
      <c r="F427" s="21" t="str">
        <f>Sales[Store_ID]</f>
        <v>STORE14</v>
      </c>
      <c r="G427" s="21" t="str">
        <f t="array" ref="G427">INDEX(Store[Store_Name],MATCH(F427,Store[Store_ID],0))</f>
        <v>Mcdonald Inc</v>
      </c>
      <c r="H427" s="21" t="str">
        <f>Sales[Product_ID]</f>
        <v>PROD65</v>
      </c>
      <c r="I427" s="21" t="str">
        <f>VLOOKUP(H427,Products[],2)</f>
        <v>Adjustable Dumbbells 20kg</v>
      </c>
      <c r="J427" s="24">
        <f>Sales[Total_Amount]</f>
        <v>1005.3944</v>
      </c>
      <c r="K427" s="21" t="str">
        <f t="shared" si="1"/>
        <v>Sep</v>
      </c>
      <c r="L427" s="21">
        <f t="shared" si="2"/>
        <v>2024</v>
      </c>
      <c r="N427" s="33"/>
      <c r="O427" s="34"/>
    </row>
    <row r="428" ht="22.5" customHeight="1">
      <c r="A428" s="21" t="s">
        <v>2393</v>
      </c>
      <c r="B428" s="21" t="s">
        <v>219</v>
      </c>
      <c r="C428" s="21" t="str">
        <f t="array" ref="C428">XLOOKUP(B428,Customer[Customer_ID],Customer[Name(Cleaned)])</f>
        <v>Christopher Sutton</v>
      </c>
      <c r="D428" s="22" t="str">
        <f>VLOOKUP(B428,Customer[#ALL],6)</f>
        <v>Male</v>
      </c>
      <c r="E428" s="23">
        <f>Sales[Order_Date]</f>
        <v>45409</v>
      </c>
      <c r="F428" s="21" t="str">
        <f>Sales[Store_ID]</f>
        <v>STORE12</v>
      </c>
      <c r="G428" s="21" t="str">
        <f t="array" ref="G428">INDEX(Store[Store_Name],MATCH(F428,Store[Store_ID],0))</f>
        <v>Thomas, Bridges and Harris</v>
      </c>
      <c r="H428" s="21" t="str">
        <f>Sales[Product_ID]</f>
        <v>PROD18</v>
      </c>
      <c r="I428" s="21" t="str">
        <f>VLOOKUP(H428,Products[],2)</f>
        <v>Women's Denim Jeans</v>
      </c>
      <c r="J428" s="24">
        <f>Sales[Total_Amount]</f>
        <v>1512.2268</v>
      </c>
      <c r="K428" s="21" t="str">
        <f t="shared" si="1"/>
        <v>Apr</v>
      </c>
      <c r="L428" s="21">
        <f t="shared" si="2"/>
        <v>2024</v>
      </c>
      <c r="N428" s="33"/>
      <c r="O428" s="34"/>
    </row>
    <row r="429" ht="22.5" customHeight="1">
      <c r="A429" s="21" t="s">
        <v>2394</v>
      </c>
      <c r="B429" s="21" t="s">
        <v>1326</v>
      </c>
      <c r="C429" s="21" t="str">
        <f t="array" ref="C429">XLOOKUP(B429,Customer[Customer_ID],Customer[Name(Cleaned)])</f>
        <v>Brittany Edwards Dds</v>
      </c>
      <c r="D429" s="22" t="str">
        <f>VLOOKUP(B429,Customer[#ALL],6)</f>
        <v>Male</v>
      </c>
      <c r="E429" s="23">
        <f>Sales[Order_Date]</f>
        <v>45374</v>
      </c>
      <c r="F429" s="21" t="str">
        <f>Sales[Store_ID]</f>
        <v>STORE16</v>
      </c>
      <c r="G429" s="21" t="str">
        <f t="array" ref="G429">INDEX(Store[Store_Name],MATCH(F429,Store[Store_ID],0))</f>
        <v>Frederick-Wright</v>
      </c>
      <c r="H429" s="21" t="str">
        <f>Sales[Product_ID]</f>
        <v>PROD10</v>
      </c>
      <c r="I429" s="21" t="str">
        <f>VLOOKUP(H429,Products[],2)</f>
        <v>Men's Graphic T-Shirt</v>
      </c>
      <c r="J429" s="24">
        <f>Sales[Total_Amount]</f>
        <v>1176.4536</v>
      </c>
      <c r="K429" s="21" t="str">
        <f t="shared" si="1"/>
        <v>Mar</v>
      </c>
      <c r="L429" s="21">
        <f t="shared" si="2"/>
        <v>2024</v>
      </c>
      <c r="N429" s="33"/>
      <c r="O429" s="34"/>
    </row>
    <row r="430" ht="22.5" customHeight="1">
      <c r="A430" s="21" t="s">
        <v>2395</v>
      </c>
      <c r="B430" s="21" t="s">
        <v>1098</v>
      </c>
      <c r="C430" s="21" t="str">
        <f t="array" ref="C430">XLOOKUP(B430,Customer[Customer_ID],Customer[Name(Cleaned)])</f>
        <v>Daniel Nelson</v>
      </c>
      <c r="D430" s="22" t="str">
        <f>VLOOKUP(B430,Customer[#ALL],6)</f>
        <v>Female</v>
      </c>
      <c r="E430" s="23">
        <f>Sales[Order_Date]</f>
        <v>45282</v>
      </c>
      <c r="F430" s="21" t="str">
        <f>Sales[Store_ID]</f>
        <v>STORE17</v>
      </c>
      <c r="G430" s="21" t="str">
        <f t="array" ref="G430">INDEX(Store[Store_Name],MATCH(F430,Store[Store_ID],0))</f>
        <v>Holloway Ltd</v>
      </c>
      <c r="H430" s="21" t="str">
        <f>Sales[Product_ID]</f>
        <v>PROD82</v>
      </c>
      <c r="I430" s="21" t="str">
        <f>VLOOKUP(H430,Products[],2)</f>
        <v>Fitness Resistance Bands</v>
      </c>
      <c r="J430" s="24">
        <f>Sales[Total_Amount]</f>
        <v>291.5822</v>
      </c>
      <c r="K430" s="21" t="str">
        <f t="shared" si="1"/>
        <v>Dec</v>
      </c>
      <c r="L430" s="21">
        <f t="shared" si="2"/>
        <v>2023</v>
      </c>
      <c r="N430" s="33"/>
      <c r="O430" s="34"/>
    </row>
    <row r="431" ht="22.5" customHeight="1">
      <c r="A431" s="21" t="s">
        <v>2396</v>
      </c>
      <c r="B431" s="21" t="s">
        <v>135</v>
      </c>
      <c r="C431" s="21" t="str">
        <f t="array" ref="C431">XLOOKUP(B431,Customer[Customer_ID],Customer[Name(Cleaned)])</f>
        <v>Sarah Vance</v>
      </c>
      <c r="D431" s="22" t="str">
        <f>VLOOKUP(B431,Customer[#ALL],6)</f>
        <v>Female</v>
      </c>
      <c r="E431" s="23">
        <f>Sales[Order_Date]</f>
        <v>45742</v>
      </c>
      <c r="F431" s="21" t="str">
        <f>Sales[Store_ID]</f>
        <v>STORE11</v>
      </c>
      <c r="G431" s="21" t="str">
        <f t="array" ref="G431">INDEX(Store[Store_Name],MATCH(F431,Store[Store_ID],0))</f>
        <v>Aguirre-Keller</v>
      </c>
      <c r="H431" s="21" t="str">
        <f>Sales[Product_ID]</f>
        <v>PROD47</v>
      </c>
      <c r="I431" s="21" t="str">
        <f>VLOOKUP(H431,Products[],2)</f>
        <v>Makeup Brush Set</v>
      </c>
      <c r="J431" s="24">
        <f>Sales[Total_Amount]</f>
        <v>513.8136</v>
      </c>
      <c r="K431" s="21" t="str">
        <f t="shared" si="1"/>
        <v>Mar</v>
      </c>
      <c r="L431" s="21">
        <f t="shared" si="2"/>
        <v>2025</v>
      </c>
      <c r="N431" s="33"/>
      <c r="O431" s="34"/>
    </row>
    <row r="432" ht="22.5" customHeight="1">
      <c r="A432" s="21" t="s">
        <v>2397</v>
      </c>
      <c r="B432" s="21" t="s">
        <v>747</v>
      </c>
      <c r="C432" s="21" t="str">
        <f t="array" ref="C432">XLOOKUP(B432,Customer[Customer_ID],Customer[Name(Cleaned)])</f>
        <v>Gregory Pham</v>
      </c>
      <c r="D432" s="22" t="str">
        <f>VLOOKUP(B432,Customer[#ALL],6)</f>
        <v>Male</v>
      </c>
      <c r="E432" s="23">
        <f>Sales[Order_Date]</f>
        <v>45447</v>
      </c>
      <c r="F432" s="21" t="str">
        <f>Sales[Store_ID]</f>
        <v>STORE7</v>
      </c>
      <c r="G432" s="21" t="str">
        <f t="array" ref="G432">INDEX(Store[Store_Name],MATCH(F432,Store[Store_ID],0))</f>
        <v>Martinez-Mullins</v>
      </c>
      <c r="H432" s="21" t="str">
        <f>Sales[Product_ID]</f>
        <v>PROD93</v>
      </c>
      <c r="I432" s="21" t="str">
        <f>VLOOKUP(H432,Products[],2)</f>
        <v>USB-C Laptop Charger</v>
      </c>
      <c r="J432" s="24">
        <f>Sales[Total_Amount]</f>
        <v>359.504</v>
      </c>
      <c r="K432" s="21" t="str">
        <f t="shared" si="1"/>
        <v>Jun</v>
      </c>
      <c r="L432" s="21">
        <f t="shared" si="2"/>
        <v>2024</v>
      </c>
      <c r="N432" s="33"/>
      <c r="O432" s="34"/>
    </row>
    <row r="433" ht="22.5" customHeight="1">
      <c r="A433" s="21" t="s">
        <v>2398</v>
      </c>
      <c r="B433" s="21" t="s">
        <v>1416</v>
      </c>
      <c r="C433" s="21" t="str">
        <f t="array" ref="C433">XLOOKUP(B433,Customer[Customer_ID],Customer[Name(Cleaned)])</f>
        <v>April Phillips</v>
      </c>
      <c r="D433" s="22" t="str">
        <f>VLOOKUP(B433,Customer[#ALL],6)</f>
        <v>Male</v>
      </c>
      <c r="E433" s="23">
        <f>Sales[Order_Date]</f>
        <v>45733</v>
      </c>
      <c r="F433" s="21" t="str">
        <f>Sales[Store_ID]</f>
        <v>STORE14</v>
      </c>
      <c r="G433" s="21" t="str">
        <f t="array" ref="G433">INDEX(Store[Store_Name],MATCH(F433,Store[Store_ID],0))</f>
        <v>Mcdonald Inc</v>
      </c>
      <c r="H433" s="21" t="str">
        <f>Sales[Product_ID]</f>
        <v>PROD20</v>
      </c>
      <c r="I433" s="21" t="str">
        <f>VLOOKUP(H433,Products[],2)</f>
        <v>Outdoor Sports Water Bottle</v>
      </c>
      <c r="J433" s="24">
        <f>Sales[Total_Amount]</f>
        <v>1392.2716</v>
      </c>
      <c r="K433" s="21" t="str">
        <f t="shared" si="1"/>
        <v>Mar</v>
      </c>
      <c r="L433" s="21">
        <f t="shared" si="2"/>
        <v>2025</v>
      </c>
      <c r="N433" s="33"/>
      <c r="O433" s="34"/>
    </row>
    <row r="434" ht="22.5" customHeight="1">
      <c r="A434" s="21" t="s">
        <v>2399</v>
      </c>
      <c r="B434" s="21" t="s">
        <v>492</v>
      </c>
      <c r="C434" s="21" t="str">
        <f t="array" ref="C434">XLOOKUP(B434,Customer[Customer_ID],Customer[Name(Cleaned)])</f>
        <v>Maria Ramirez</v>
      </c>
      <c r="D434" s="22" t="str">
        <f>VLOOKUP(B434,Customer[#ALL],6)</f>
        <v>Female</v>
      </c>
      <c r="E434" s="23">
        <f>Sales[Order_Date]</f>
        <v>45373</v>
      </c>
      <c r="F434" s="21" t="str">
        <f>Sales[Store_ID]</f>
        <v>STORE3</v>
      </c>
      <c r="G434" s="21" t="str">
        <f t="array" ref="G434">INDEX(Store[Store_Name],MATCH(F434,Store[Store_ID],0))</f>
        <v>Johnson-Wright</v>
      </c>
      <c r="H434" s="21" t="str">
        <f>Sales[Product_ID]</f>
        <v>PROD11</v>
      </c>
      <c r="I434" s="21" t="str">
        <f>VLOOKUP(H434,Products[],2)</f>
        <v>Men's Graphic T-Shirt</v>
      </c>
      <c r="J434" s="24">
        <f>Sales[Total_Amount]</f>
        <v>577.8234</v>
      </c>
      <c r="K434" s="21" t="str">
        <f t="shared" si="1"/>
        <v>Mar</v>
      </c>
      <c r="L434" s="21">
        <f t="shared" si="2"/>
        <v>2024</v>
      </c>
      <c r="N434" s="33"/>
      <c r="O434" s="34"/>
    </row>
    <row r="435" ht="22.5" customHeight="1">
      <c r="A435" s="21" t="s">
        <v>2400</v>
      </c>
      <c r="B435" s="21" t="s">
        <v>96</v>
      </c>
      <c r="C435" s="21" t="str">
        <f t="array" ref="C435">XLOOKUP(B435,Customer[Customer_ID],Customer[Name(Cleaned)])</f>
        <v>Bridget Allen</v>
      </c>
      <c r="D435" s="22" t="str">
        <f>VLOOKUP(B435,Customer[#ALL],6)</f>
        <v>Female</v>
      </c>
      <c r="E435" s="23">
        <f>Sales[Order_Date]</f>
        <v>45655</v>
      </c>
      <c r="F435" s="21" t="str">
        <f>Sales[Store_ID]</f>
        <v>STORE19</v>
      </c>
      <c r="G435" s="21" t="str">
        <f t="array" ref="G435">INDEX(Store[Store_Name],MATCH(F435,Store[Store_ID],0))</f>
        <v>Mann-Austin</v>
      </c>
      <c r="H435" s="21" t="str">
        <f>Sales[Product_ID]</f>
        <v>PROD98</v>
      </c>
      <c r="I435" s="21" t="str">
        <f>VLOOKUP(H435,Products[],2)</f>
        <v>Portable Bluetooth Speaker</v>
      </c>
      <c r="J435" s="24">
        <f>Sales[Total_Amount]</f>
        <v>103.8609</v>
      </c>
      <c r="K435" s="21" t="str">
        <f t="shared" si="1"/>
        <v>Dec</v>
      </c>
      <c r="L435" s="21">
        <f t="shared" si="2"/>
        <v>2024</v>
      </c>
      <c r="N435" s="33"/>
      <c r="O435" s="34"/>
    </row>
    <row r="436" ht="22.5" customHeight="1">
      <c r="A436" s="21" t="s">
        <v>2401</v>
      </c>
      <c r="B436" s="21" t="s">
        <v>975</v>
      </c>
      <c r="C436" s="21" t="str">
        <f t="array" ref="C436">XLOOKUP(B436,Customer[Customer_ID],Customer[Name(Cleaned)])</f>
        <v>Miss Alexandria Li Dvm</v>
      </c>
      <c r="D436" s="22" t="str">
        <f>VLOOKUP(B436,Customer[#ALL],6)</f>
        <v>Female</v>
      </c>
      <c r="E436" s="23">
        <f>Sales[Order_Date]</f>
        <v>45868</v>
      </c>
      <c r="F436" s="21" t="str">
        <f>Sales[Store_ID]</f>
        <v>STORE16</v>
      </c>
      <c r="G436" s="21" t="str">
        <f t="array" ref="G436">INDEX(Store[Store_Name],MATCH(F436,Store[Store_ID],0))</f>
        <v>Frederick-Wright</v>
      </c>
      <c r="H436" s="21" t="str">
        <f>Sales[Product_ID]</f>
        <v>PROD42</v>
      </c>
      <c r="I436" s="21" t="str">
        <f>VLOOKUP(H436,Products[],2)</f>
        <v>Smart Home WiFi Camera</v>
      </c>
      <c r="J436" s="24">
        <f>Sales[Total_Amount]</f>
        <v>457.737</v>
      </c>
      <c r="K436" s="21" t="str">
        <f t="shared" si="1"/>
        <v>Jul</v>
      </c>
      <c r="L436" s="21">
        <f t="shared" si="2"/>
        <v>2025</v>
      </c>
      <c r="N436" s="33"/>
      <c r="O436" s="34"/>
    </row>
    <row r="437" ht="22.5" customHeight="1">
      <c r="A437" s="21" t="s">
        <v>2402</v>
      </c>
      <c r="B437" s="21" t="s">
        <v>1074</v>
      </c>
      <c r="C437" s="21" t="str">
        <f t="array" ref="C437">XLOOKUP(B437,Customer[Customer_ID],Customer[Name(Cleaned)])</f>
        <v>Carol Lewis</v>
      </c>
      <c r="D437" s="22" t="str">
        <f>VLOOKUP(B437,Customer[#ALL],6)</f>
        <v>Male</v>
      </c>
      <c r="E437" s="23">
        <f>Sales[Order_Date]</f>
        <v>45756</v>
      </c>
      <c r="F437" s="21" t="str">
        <f>Sales[Store_ID]</f>
        <v>STORE14</v>
      </c>
      <c r="G437" s="21" t="str">
        <f t="array" ref="G437">INDEX(Store[Store_Name],MATCH(F437,Store[Store_ID],0))</f>
        <v>Mcdonald Inc</v>
      </c>
      <c r="H437" s="21" t="str">
        <f>Sales[Product_ID]</f>
        <v>PROD71</v>
      </c>
      <c r="I437" s="21" t="str">
        <f>VLOOKUP(H437,Products[],2)</f>
        <v>Hair Repair Oil Treatment</v>
      </c>
      <c r="J437" s="24">
        <f>Sales[Total_Amount]</f>
        <v>2147.55</v>
      </c>
      <c r="K437" s="21" t="str">
        <f t="shared" si="1"/>
        <v>Apr</v>
      </c>
      <c r="L437" s="21">
        <f t="shared" si="2"/>
        <v>2025</v>
      </c>
      <c r="N437" s="33"/>
      <c r="O437" s="34"/>
    </row>
    <row r="438" ht="22.5" customHeight="1">
      <c r="A438" s="21" t="s">
        <v>2403</v>
      </c>
      <c r="B438" s="21" t="s">
        <v>1152</v>
      </c>
      <c r="C438" s="21" t="str">
        <f t="array" ref="C438">XLOOKUP(B438,Customer[Customer_ID],Customer[Name(Cleaned)])</f>
        <v>Elizabeth Smith</v>
      </c>
      <c r="D438" s="22" t="str">
        <f>VLOOKUP(B438,Customer[#ALL],6)</f>
        <v>Female</v>
      </c>
      <c r="E438" s="23">
        <f>Sales[Order_Date]</f>
        <v>45338</v>
      </c>
      <c r="F438" s="21" t="str">
        <f>Sales[Store_ID]</f>
        <v>STORE3</v>
      </c>
      <c r="G438" s="21" t="str">
        <f t="array" ref="G438">INDEX(Store[Store_Name],MATCH(F438,Store[Store_ID],0))</f>
        <v>Johnson-Wright</v>
      </c>
      <c r="H438" s="21" t="str">
        <f>Sales[Product_ID]</f>
        <v>PROD66</v>
      </c>
      <c r="I438" s="21" t="str">
        <f>VLOOKUP(H438,Products[],2)</f>
        <v>Women's Hair Dryer Brush</v>
      </c>
      <c r="J438" s="24">
        <f>Sales[Total_Amount]</f>
        <v>758.3812</v>
      </c>
      <c r="K438" s="21" t="str">
        <f t="shared" si="1"/>
        <v>Feb</v>
      </c>
      <c r="L438" s="21">
        <f t="shared" si="2"/>
        <v>2024</v>
      </c>
      <c r="N438" s="33"/>
      <c r="O438" s="34"/>
    </row>
    <row r="439" ht="22.5" customHeight="1">
      <c r="A439" s="21" t="s">
        <v>2404</v>
      </c>
      <c r="B439" s="21" t="s">
        <v>690</v>
      </c>
      <c r="C439" s="21" t="str">
        <f t="array" ref="C439">XLOOKUP(B439,Customer[Customer_ID],Customer[Name(Cleaned)])</f>
        <v>John Perez</v>
      </c>
      <c r="D439" s="22" t="str">
        <f>VLOOKUP(B439,Customer[#ALL],6)</f>
        <v>Female</v>
      </c>
      <c r="E439" s="23">
        <f>Sales[Order_Date]</f>
        <v>45349</v>
      </c>
      <c r="F439" s="21" t="str">
        <f>Sales[Store_ID]</f>
        <v>STORE14</v>
      </c>
      <c r="G439" s="21" t="str">
        <f t="array" ref="G439">INDEX(Store[Store_Name],MATCH(F439,Store[Store_ID],0))</f>
        <v>Mcdonald Inc</v>
      </c>
      <c r="H439" s="21" t="str">
        <f>Sales[Product_ID]</f>
        <v>PROD89</v>
      </c>
      <c r="I439" s="21" t="str">
        <f>VLOOKUP(H439,Products[],2)</f>
        <v>Face Foundation Kit</v>
      </c>
      <c r="J439" s="24">
        <f>Sales[Total_Amount]</f>
        <v>127.2171</v>
      </c>
      <c r="K439" s="21" t="str">
        <f t="shared" si="1"/>
        <v>Feb</v>
      </c>
      <c r="L439" s="21">
        <f t="shared" si="2"/>
        <v>2024</v>
      </c>
      <c r="N439" s="33"/>
      <c r="O439" s="34"/>
    </row>
    <row r="440" ht="22.5" customHeight="1">
      <c r="A440" s="21" t="s">
        <v>2405</v>
      </c>
      <c r="B440" s="21" t="s">
        <v>410</v>
      </c>
      <c r="C440" s="21" t="str">
        <f t="array" ref="C440">XLOOKUP(B440,Customer[Customer_ID],Customer[Name(Cleaned)])</f>
        <v>Tyler Conrad</v>
      </c>
      <c r="D440" s="22" t="str">
        <f>VLOOKUP(B440,Customer[#ALL],6)</f>
        <v>Male</v>
      </c>
      <c r="E440" s="23">
        <f>Sales[Order_Date]</f>
        <v>45368</v>
      </c>
      <c r="F440" s="21" t="str">
        <f>Sales[Store_ID]</f>
        <v>STORE7</v>
      </c>
      <c r="G440" s="21" t="str">
        <f t="array" ref="G440">INDEX(Store[Store_Name],MATCH(F440,Store[Store_ID],0))</f>
        <v>Martinez-Mullins</v>
      </c>
      <c r="H440" s="21" t="str">
        <f>Sales[Product_ID]</f>
        <v>PROD49</v>
      </c>
      <c r="I440" s="21" t="str">
        <f>VLOOKUP(H440,Products[],2)</f>
        <v>Men's Roll-On Perfume</v>
      </c>
      <c r="J440" s="24">
        <f>Sales[Total_Amount]</f>
        <v>2110.1256</v>
      </c>
      <c r="K440" s="21" t="str">
        <f t="shared" si="1"/>
        <v>Mar</v>
      </c>
      <c r="L440" s="21">
        <f t="shared" si="2"/>
        <v>2024</v>
      </c>
      <c r="N440" s="33"/>
      <c r="O440" s="34"/>
    </row>
    <row r="441" ht="22.5" customHeight="1">
      <c r="A441" s="21" t="s">
        <v>2406</v>
      </c>
      <c r="B441" s="21" t="s">
        <v>1344</v>
      </c>
      <c r="C441" s="21" t="str">
        <f t="array" ref="C441">XLOOKUP(B441,Customer[Customer_ID],Customer[Name(Cleaned)])</f>
        <v>Samuel Mullins</v>
      </c>
      <c r="D441" s="22" t="str">
        <f>VLOOKUP(B441,Customer[#ALL],6)</f>
        <v>Male</v>
      </c>
      <c r="E441" s="23">
        <f>Sales[Order_Date]</f>
        <v>45243</v>
      </c>
      <c r="F441" s="21" t="str">
        <f>Sales[Store_ID]</f>
        <v>STORE2</v>
      </c>
      <c r="G441" s="21" t="str">
        <f t="array" ref="G441">INDEX(Store[Store_Name],MATCH(F441,Store[Store_ID],0))</f>
        <v>Black-Horn</v>
      </c>
      <c r="H441" s="21" t="str">
        <f>Sales[Product_ID]</f>
        <v>PROD2</v>
      </c>
      <c r="I441" s="21" t="str">
        <f>VLOOKUP(H441,Products[],2)</f>
        <v>Knee Support Brace</v>
      </c>
      <c r="J441" s="24">
        <f>Sales[Total_Amount]</f>
        <v>449.0395</v>
      </c>
      <c r="K441" s="21" t="str">
        <f t="shared" si="1"/>
        <v>Nov</v>
      </c>
      <c r="L441" s="21">
        <f t="shared" si="2"/>
        <v>2023</v>
      </c>
      <c r="N441" s="33"/>
      <c r="O441" s="34"/>
    </row>
    <row r="442" ht="22.5" customHeight="1">
      <c r="A442" s="21" t="s">
        <v>2407</v>
      </c>
      <c r="B442" s="21" t="s">
        <v>761</v>
      </c>
      <c r="C442" s="21" t="str">
        <f t="array" ref="C442">XLOOKUP(B442,Customer[Customer_ID],Customer[Name(Cleaned)])</f>
        <v>Christy Hill</v>
      </c>
      <c r="D442" s="22" t="str">
        <f>VLOOKUP(B442,Customer[#ALL],6)</f>
        <v>Male</v>
      </c>
      <c r="E442" s="23">
        <f>Sales[Order_Date]</f>
        <v>45577</v>
      </c>
      <c r="F442" s="21" t="str">
        <f>Sales[Store_ID]</f>
        <v>STORE2</v>
      </c>
      <c r="G442" s="21" t="str">
        <f t="array" ref="G442">INDEX(Store[Store_Name],MATCH(F442,Store[Store_ID],0))</f>
        <v>Black-Horn</v>
      </c>
      <c r="H442" s="21" t="str">
        <f>Sales[Product_ID]</f>
        <v>PROD62</v>
      </c>
      <c r="I442" s="21" t="str">
        <f>VLOOKUP(H442,Products[],2)</f>
        <v>Laptop Cooling Pad</v>
      </c>
      <c r="J442" s="24">
        <f>Sales[Total_Amount]</f>
        <v>384.1104</v>
      </c>
      <c r="K442" s="21" t="str">
        <f t="shared" si="1"/>
        <v>Oct</v>
      </c>
      <c r="L442" s="21">
        <f t="shared" si="2"/>
        <v>2024</v>
      </c>
      <c r="N442" s="33"/>
      <c r="O442" s="34"/>
    </row>
    <row r="443" ht="22.5" customHeight="1">
      <c r="A443" s="21" t="s">
        <v>2408</v>
      </c>
      <c r="B443" s="21" t="s">
        <v>899</v>
      </c>
      <c r="C443" s="21" t="str">
        <f t="array" ref="C443">XLOOKUP(B443,Customer[Customer_ID],Customer[Name(Cleaned)])</f>
        <v>Stephen Fowler</v>
      </c>
      <c r="D443" s="22" t="str">
        <f>VLOOKUP(B443,Customer[#ALL],6)</f>
        <v>Male</v>
      </c>
      <c r="E443" s="23">
        <f>Sales[Order_Date]</f>
        <v>45343</v>
      </c>
      <c r="F443" s="21" t="str">
        <f>Sales[Store_ID]</f>
        <v>STORE11</v>
      </c>
      <c r="G443" s="21" t="str">
        <f t="array" ref="G443">INDEX(Store[Store_Name],MATCH(F443,Store[Store_ID],0))</f>
        <v>Aguirre-Keller</v>
      </c>
      <c r="H443" s="21" t="str">
        <f>Sales[Product_ID]</f>
        <v>PROD90</v>
      </c>
      <c r="I443" s="21" t="str">
        <f>VLOOKUP(H443,Products[],2)</f>
        <v>Gaming Mouse Pad XL</v>
      </c>
      <c r="J443" s="24">
        <f>Sales[Total_Amount]</f>
        <v>372.285</v>
      </c>
      <c r="K443" s="21" t="str">
        <f t="shared" si="1"/>
        <v>Feb</v>
      </c>
      <c r="L443" s="21">
        <f t="shared" si="2"/>
        <v>2024</v>
      </c>
      <c r="N443" s="33"/>
      <c r="O443" s="34"/>
    </row>
    <row r="444" ht="22.5" customHeight="1">
      <c r="A444" s="21" t="s">
        <v>2409</v>
      </c>
      <c r="B444" s="21" t="s">
        <v>1480</v>
      </c>
      <c r="C444" s="21" t="str">
        <f t="array" ref="C444">XLOOKUP(B444,Customer[Customer_ID],Customer[Name(Cleaned)])</f>
        <v>Barbara Berry</v>
      </c>
      <c r="D444" s="22" t="str">
        <f>VLOOKUP(B444,Customer[#ALL],6)</f>
        <v>Male</v>
      </c>
      <c r="E444" s="23">
        <f>Sales[Order_Date]</f>
        <v>45744</v>
      </c>
      <c r="F444" s="21" t="str">
        <f>Sales[Store_ID]</f>
        <v>STORE9</v>
      </c>
      <c r="G444" s="21" t="str">
        <f t="array" ref="G444">INDEX(Store[Store_Name],MATCH(F444,Store[Store_ID],0))</f>
        <v>Moore, Padilla and Butler</v>
      </c>
      <c r="H444" s="21" t="str">
        <f>Sales[Product_ID]</f>
        <v>PROD89</v>
      </c>
      <c r="I444" s="21" t="str">
        <f>VLOOKUP(H444,Products[],2)</f>
        <v>Face Foundation Kit</v>
      </c>
      <c r="J444" s="24">
        <f>Sales[Total_Amount]</f>
        <v>241.034</v>
      </c>
      <c r="K444" s="21" t="str">
        <f t="shared" si="1"/>
        <v>Mar</v>
      </c>
      <c r="L444" s="21">
        <f t="shared" si="2"/>
        <v>2025</v>
      </c>
      <c r="N444" s="33"/>
      <c r="O444" s="34"/>
    </row>
    <row r="445" ht="22.5" customHeight="1">
      <c r="A445" s="21" t="s">
        <v>2410</v>
      </c>
      <c r="B445" s="21" t="s">
        <v>1140</v>
      </c>
      <c r="C445" s="21" t="str">
        <f t="array" ref="C445">XLOOKUP(B445,Customer[Customer_ID],Customer[Name(Cleaned)])</f>
        <v>Melanie Lam</v>
      </c>
      <c r="D445" s="22" t="str">
        <f>VLOOKUP(B445,Customer[#ALL],6)</f>
        <v>Female</v>
      </c>
      <c r="E445" s="23">
        <f>Sales[Order_Date]</f>
        <v>45873</v>
      </c>
      <c r="F445" s="21" t="str">
        <f>Sales[Store_ID]</f>
        <v>STORE1</v>
      </c>
      <c r="G445" s="21" t="str">
        <f t="array" ref="G445">INDEX(Store[Store_Name],MATCH(F445,Store[Store_ID],0))</f>
        <v>Martinez, Adkins and Johnson</v>
      </c>
      <c r="H445" s="21" t="str">
        <f>Sales[Product_ID]</f>
        <v>PROD88</v>
      </c>
      <c r="I445" s="21" t="str">
        <f>VLOOKUP(H445,Products[],2)</f>
        <v>Sports Wrist Sweatbands</v>
      </c>
      <c r="J445" s="24">
        <f>Sales[Total_Amount]</f>
        <v>1832.379</v>
      </c>
      <c r="K445" s="21" t="str">
        <f t="shared" si="1"/>
        <v>Aug</v>
      </c>
      <c r="L445" s="21">
        <f t="shared" si="2"/>
        <v>2025</v>
      </c>
      <c r="N445" s="33"/>
      <c r="O445" s="34"/>
    </row>
    <row r="446" ht="22.5" customHeight="1">
      <c r="A446" s="21" t="s">
        <v>2411</v>
      </c>
      <c r="B446" s="21" t="s">
        <v>466</v>
      </c>
      <c r="C446" s="21" t="str">
        <f t="array" ref="C446">XLOOKUP(B446,Customer[Customer_ID],Customer[Name(Cleaned)])</f>
        <v>Hayley Pope</v>
      </c>
      <c r="D446" s="22" t="str">
        <f>VLOOKUP(B446,Customer[#ALL],6)</f>
        <v>Male</v>
      </c>
      <c r="E446" s="23">
        <f>Sales[Order_Date]</f>
        <v>45601</v>
      </c>
      <c r="F446" s="21" t="str">
        <f>Sales[Store_ID]</f>
        <v>STORE10</v>
      </c>
      <c r="G446" s="21" t="str">
        <f t="array" ref="G446">INDEX(Store[Store_Name],MATCH(F446,Store[Store_ID],0))</f>
        <v>Hill, Wagner and Ballard</v>
      </c>
      <c r="H446" s="21" t="str">
        <f>Sales[Product_ID]</f>
        <v>PROD57</v>
      </c>
      <c r="I446" s="21" t="str">
        <f>VLOOKUP(H446,Products[],2)</f>
        <v>Foam Roller</v>
      </c>
      <c r="J446" s="24">
        <f>Sales[Total_Amount]</f>
        <v>1813.0716</v>
      </c>
      <c r="K446" s="21" t="str">
        <f t="shared" si="1"/>
        <v>Nov</v>
      </c>
      <c r="L446" s="21">
        <f t="shared" si="2"/>
        <v>2024</v>
      </c>
      <c r="N446" s="33"/>
      <c r="O446" s="34"/>
    </row>
    <row r="447" ht="22.5" customHeight="1">
      <c r="A447" s="21" t="s">
        <v>2412</v>
      </c>
      <c r="B447" s="21" t="s">
        <v>407</v>
      </c>
      <c r="C447" s="21" t="str">
        <f t="array" ref="C447">XLOOKUP(B447,Customer[Customer_ID],Customer[Name(Cleaned)])</f>
        <v>Ryan Hernandez</v>
      </c>
      <c r="D447" s="22" t="str">
        <f>VLOOKUP(B447,Customer[#ALL],6)</f>
        <v>Female</v>
      </c>
      <c r="E447" s="23">
        <f>Sales[Order_Date]</f>
        <v>45458</v>
      </c>
      <c r="F447" s="21" t="str">
        <f>Sales[Store_ID]</f>
        <v>STORE18</v>
      </c>
      <c r="G447" s="21" t="str">
        <f t="array" ref="G447">INDEX(Store[Store_Name],MATCH(F447,Store[Store_ID],0))</f>
        <v>Guerrero-Schmitt</v>
      </c>
      <c r="H447" s="21" t="str">
        <f>Sales[Product_ID]</f>
        <v>PROD29</v>
      </c>
      <c r="I447" s="21" t="str">
        <f>VLOOKUP(H447,Products[],2)</f>
        <v>Fabric Sofa Throw Blanket</v>
      </c>
      <c r="J447" s="24">
        <f>Sales[Total_Amount]</f>
        <v>538.5634</v>
      </c>
      <c r="K447" s="21" t="str">
        <f t="shared" si="1"/>
        <v>Jun</v>
      </c>
      <c r="L447" s="21">
        <f t="shared" si="2"/>
        <v>2024</v>
      </c>
      <c r="N447" s="33"/>
      <c r="O447" s="34"/>
    </row>
    <row r="448" ht="22.5" customHeight="1">
      <c r="A448" s="21" t="s">
        <v>2413</v>
      </c>
      <c r="B448" s="21" t="s">
        <v>1107</v>
      </c>
      <c r="C448" s="21" t="str">
        <f t="array" ref="C448">XLOOKUP(B448,Customer[Customer_ID],Customer[Name(Cleaned)])</f>
        <v>Sherry Cabrera</v>
      </c>
      <c r="D448" s="22" t="str">
        <f>VLOOKUP(B448,Customer[#ALL],6)</f>
        <v>Female</v>
      </c>
      <c r="E448" s="23">
        <f>Sales[Order_Date]</f>
        <v>45829</v>
      </c>
      <c r="F448" s="21" t="str">
        <f>Sales[Store_ID]</f>
        <v>STORE15</v>
      </c>
      <c r="G448" s="21" t="str">
        <f t="array" ref="G448">INDEX(Store[Store_Name],MATCH(F448,Store[Store_ID],0))</f>
        <v>Shelton PLC</v>
      </c>
      <c r="H448" s="21" t="str">
        <f>Sales[Product_ID]</f>
        <v>PROD24</v>
      </c>
      <c r="I448" s="21" t="str">
        <f>VLOOKUP(H448,Products[],2)</f>
        <v>Foldable Camping Chair</v>
      </c>
      <c r="J448" s="24">
        <f>Sales[Total_Amount]</f>
        <v>1145.8548</v>
      </c>
      <c r="K448" s="21" t="str">
        <f t="shared" si="1"/>
        <v>Jun</v>
      </c>
      <c r="L448" s="21">
        <f t="shared" si="2"/>
        <v>2025</v>
      </c>
      <c r="N448" s="33"/>
      <c r="O448" s="34"/>
    </row>
    <row r="449" ht="22.5" customHeight="1">
      <c r="A449" s="21" t="s">
        <v>2414</v>
      </c>
      <c r="B449" s="21" t="s">
        <v>579</v>
      </c>
      <c r="C449" s="21" t="str">
        <f t="array" ref="C449">XLOOKUP(B449,Customer[Customer_ID],Customer[Name(Cleaned)])</f>
        <v>Amy Wilson</v>
      </c>
      <c r="D449" s="22" t="str">
        <f>VLOOKUP(B449,Customer[#ALL],6)</f>
        <v>Male</v>
      </c>
      <c r="E449" s="23">
        <f>Sales[Order_Date]</f>
        <v>45255</v>
      </c>
      <c r="F449" s="21" t="str">
        <f>Sales[Store_ID]</f>
        <v>STORE5</v>
      </c>
      <c r="G449" s="21" t="str">
        <f t="array" ref="G449">INDEX(Store[Store_Name],MATCH(F449,Store[Store_ID],0))</f>
        <v>Gray Ltd</v>
      </c>
      <c r="H449" s="21" t="str">
        <f>Sales[Product_ID]</f>
        <v>PROD90</v>
      </c>
      <c r="I449" s="21" t="str">
        <f>VLOOKUP(H449,Products[],2)</f>
        <v>Gaming Mouse Pad XL</v>
      </c>
      <c r="J449" s="24">
        <f>Sales[Total_Amount]</f>
        <v>948.123</v>
      </c>
      <c r="K449" s="21" t="str">
        <f t="shared" si="1"/>
        <v>Nov</v>
      </c>
      <c r="L449" s="21">
        <f t="shared" si="2"/>
        <v>2023</v>
      </c>
      <c r="N449" s="33"/>
      <c r="O449" s="34"/>
    </row>
    <row r="450" ht="22.5" customHeight="1">
      <c r="A450" s="21" t="s">
        <v>2415</v>
      </c>
      <c r="B450" s="21" t="s">
        <v>1441</v>
      </c>
      <c r="C450" s="21" t="str">
        <f t="array" ref="C450">XLOOKUP(B450,Customer[Customer_ID],Customer[Name(Cleaned)])</f>
        <v>Beth Martin</v>
      </c>
      <c r="D450" s="22" t="str">
        <f>VLOOKUP(B450,Customer[#ALL],6)</f>
        <v>Male</v>
      </c>
      <c r="E450" s="23">
        <f>Sales[Order_Date]</f>
        <v>45649</v>
      </c>
      <c r="F450" s="21" t="str">
        <f>Sales[Store_ID]</f>
        <v>STORE15</v>
      </c>
      <c r="G450" s="21" t="str">
        <f t="array" ref="G450">INDEX(Store[Store_Name],MATCH(F450,Store[Store_ID],0))</f>
        <v>Shelton PLC</v>
      </c>
      <c r="H450" s="21" t="str">
        <f>Sales[Product_ID]</f>
        <v>PROD80</v>
      </c>
      <c r="I450" s="21" t="str">
        <f>VLOOKUP(H450,Products[],2)</f>
        <v>Wall-Mounted Spice Rack</v>
      </c>
      <c r="J450" s="24">
        <f>Sales[Total_Amount]</f>
        <v>2163.7056</v>
      </c>
      <c r="K450" s="21" t="str">
        <f t="shared" si="1"/>
        <v>Dec</v>
      </c>
      <c r="L450" s="21">
        <f t="shared" si="2"/>
        <v>2024</v>
      </c>
      <c r="N450" s="33"/>
      <c r="O450" s="34"/>
    </row>
    <row r="451" ht="22.5" customHeight="1">
      <c r="A451" s="21" t="s">
        <v>2416</v>
      </c>
      <c r="B451" s="21" t="s">
        <v>794</v>
      </c>
      <c r="C451" s="21" t="str">
        <f t="array" ref="C451">XLOOKUP(B451,Customer[Customer_ID],Customer[Name(Cleaned)])</f>
        <v>Brian Hammond</v>
      </c>
      <c r="D451" s="22" t="str">
        <f>VLOOKUP(B451,Customer[#ALL],6)</f>
        <v>Male</v>
      </c>
      <c r="E451" s="23">
        <f>Sales[Order_Date]</f>
        <v>45653</v>
      </c>
      <c r="F451" s="21" t="str">
        <f>Sales[Store_ID]</f>
        <v>STORE9</v>
      </c>
      <c r="G451" s="21" t="str">
        <f t="array" ref="G451">INDEX(Store[Store_Name],MATCH(F451,Store[Store_ID],0))</f>
        <v>Moore, Padilla and Butler</v>
      </c>
      <c r="H451" s="21" t="str">
        <f>Sales[Product_ID]</f>
        <v>PROD24</v>
      </c>
      <c r="I451" s="21" t="str">
        <f>VLOOKUP(H451,Products[],2)</f>
        <v>Foldable Camping Chair</v>
      </c>
      <c r="J451" s="24">
        <f>Sales[Total_Amount]</f>
        <v>794.457</v>
      </c>
      <c r="K451" s="21" t="str">
        <f t="shared" si="1"/>
        <v>Dec</v>
      </c>
      <c r="L451" s="21">
        <f t="shared" si="2"/>
        <v>2024</v>
      </c>
      <c r="N451" s="33"/>
      <c r="O451" s="34"/>
    </row>
    <row r="452" ht="22.5" customHeight="1">
      <c r="A452" s="21" t="s">
        <v>2417</v>
      </c>
      <c r="B452" s="21" t="s">
        <v>1038</v>
      </c>
      <c r="C452" s="21" t="str">
        <f t="array" ref="C452">XLOOKUP(B452,Customer[Customer_ID],Customer[Name(Cleaned)])</f>
        <v>Andrew Smith</v>
      </c>
      <c r="D452" s="22" t="str">
        <f>VLOOKUP(B452,Customer[#ALL],6)</f>
        <v>Female</v>
      </c>
      <c r="E452" s="23">
        <f>Sales[Order_Date]</f>
        <v>45378</v>
      </c>
      <c r="F452" s="21" t="str">
        <f>Sales[Store_ID]</f>
        <v>STORE19</v>
      </c>
      <c r="G452" s="21" t="str">
        <f t="array" ref="G452">INDEX(Store[Store_Name],MATCH(F452,Store[Store_ID],0))</f>
        <v>Mann-Austin</v>
      </c>
      <c r="H452" s="21" t="str">
        <f>Sales[Product_ID]</f>
        <v>PROD91</v>
      </c>
      <c r="I452" s="21" t="str">
        <f>VLOOKUP(H452,Products[],2)</f>
        <v>Women's High Heels</v>
      </c>
      <c r="J452" s="24">
        <f>Sales[Total_Amount]</f>
        <v>888.0444</v>
      </c>
      <c r="K452" s="21" t="str">
        <f t="shared" si="1"/>
        <v>Mar</v>
      </c>
      <c r="L452" s="21">
        <f t="shared" si="2"/>
        <v>2024</v>
      </c>
      <c r="N452" s="33"/>
      <c r="O452" s="34"/>
    </row>
    <row r="453" ht="22.5" customHeight="1">
      <c r="A453" s="21" t="s">
        <v>2418</v>
      </c>
      <c r="B453" s="21" t="s">
        <v>537</v>
      </c>
      <c r="C453" s="21" t="str">
        <f t="array" ref="C453">XLOOKUP(B453,Customer[Customer_ID],Customer[Name(Cleaned)])</f>
        <v>Paul Zamora</v>
      </c>
      <c r="D453" s="22" t="str">
        <f>VLOOKUP(B453,Customer[#ALL],6)</f>
        <v>Female</v>
      </c>
      <c r="E453" s="23">
        <f>Sales[Order_Date]</f>
        <v>45638</v>
      </c>
      <c r="F453" s="21" t="str">
        <f>Sales[Store_ID]</f>
        <v>STORE5</v>
      </c>
      <c r="G453" s="21" t="str">
        <f t="array" ref="G453">INDEX(Store[Store_Name],MATCH(F453,Store[Store_ID],0))</f>
        <v>Gray Ltd</v>
      </c>
      <c r="H453" s="21" t="str">
        <f>Sales[Product_ID]</f>
        <v>PROD54</v>
      </c>
      <c r="I453" s="21" t="str">
        <f>VLOOKUP(H453,Products[],2)</f>
        <v>Sports Stopwatch Pro</v>
      </c>
      <c r="J453" s="24">
        <f>Sales[Total_Amount]</f>
        <v>1169.6238</v>
      </c>
      <c r="K453" s="21" t="str">
        <f t="shared" si="1"/>
        <v>Dec</v>
      </c>
      <c r="L453" s="21">
        <f t="shared" si="2"/>
        <v>2024</v>
      </c>
      <c r="N453" s="33"/>
      <c r="O453" s="34"/>
    </row>
    <row r="454" ht="22.5" customHeight="1">
      <c r="A454" s="21" t="s">
        <v>2419</v>
      </c>
      <c r="B454" s="21" t="s">
        <v>591</v>
      </c>
      <c r="C454" s="21" t="str">
        <f t="array" ref="C454">XLOOKUP(B454,Customer[Customer_ID],Customer[Name(Cleaned)])</f>
        <v>Michelle Rogers</v>
      </c>
      <c r="D454" s="22" t="str">
        <f>VLOOKUP(B454,Customer[#ALL],6)</f>
        <v>Female</v>
      </c>
      <c r="E454" s="23">
        <f>Sales[Order_Date]</f>
        <v>45277</v>
      </c>
      <c r="F454" s="21" t="str">
        <f>Sales[Store_ID]</f>
        <v>STORE9</v>
      </c>
      <c r="G454" s="21" t="str">
        <f t="array" ref="G454">INDEX(Store[Store_Name],MATCH(F454,Store[Store_ID],0))</f>
        <v>Moore, Padilla and Butler</v>
      </c>
      <c r="H454" s="21" t="str">
        <f>Sales[Product_ID]</f>
        <v>PROD81</v>
      </c>
      <c r="I454" s="21" t="str">
        <f>VLOOKUP(H454,Products[],2)</f>
        <v>Badminton Racket Set</v>
      </c>
      <c r="J454" s="24">
        <f>Sales[Total_Amount]</f>
        <v>269.8719</v>
      </c>
      <c r="K454" s="21" t="str">
        <f t="shared" si="1"/>
        <v>Dec</v>
      </c>
      <c r="L454" s="21">
        <f t="shared" si="2"/>
        <v>2023</v>
      </c>
      <c r="N454" s="33"/>
      <c r="O454" s="34"/>
    </row>
    <row r="455" ht="22.5" customHeight="1">
      <c r="A455" s="21" t="s">
        <v>2420</v>
      </c>
      <c r="B455" s="21" t="s">
        <v>1314</v>
      </c>
      <c r="C455" s="21" t="str">
        <f t="array" ref="C455">XLOOKUP(B455,Customer[Customer_ID],Customer[Name(Cleaned)])</f>
        <v>Luke Parks</v>
      </c>
      <c r="D455" s="22" t="str">
        <f>VLOOKUP(B455,Customer[#ALL],6)</f>
        <v>Male</v>
      </c>
      <c r="E455" s="23">
        <f>Sales[Order_Date]</f>
        <v>45351</v>
      </c>
      <c r="F455" s="21" t="str">
        <f>Sales[Store_ID]</f>
        <v>STORE7</v>
      </c>
      <c r="G455" s="21" t="str">
        <f t="array" ref="G455">INDEX(Store[Store_Name],MATCH(F455,Store[Store_ID],0))</f>
        <v>Martinez-Mullins</v>
      </c>
      <c r="H455" s="21" t="str">
        <f>Sales[Product_ID]</f>
        <v>PROD72</v>
      </c>
      <c r="I455" s="21" t="str">
        <f>VLOOKUP(H455,Products[],2)</f>
        <v>Professional Jump Rope</v>
      </c>
      <c r="J455" s="24">
        <f>Sales[Total_Amount]</f>
        <v>925.1896</v>
      </c>
      <c r="K455" s="21" t="str">
        <f t="shared" si="1"/>
        <v>Feb</v>
      </c>
      <c r="L455" s="21">
        <f t="shared" si="2"/>
        <v>2024</v>
      </c>
      <c r="N455" s="33"/>
      <c r="O455" s="34"/>
    </row>
    <row r="456" ht="22.5" customHeight="1">
      <c r="A456" s="21" t="s">
        <v>2421</v>
      </c>
      <c r="B456" s="21" t="s">
        <v>534</v>
      </c>
      <c r="C456" s="21" t="str">
        <f t="array" ref="C456">XLOOKUP(B456,Customer[Customer_ID],Customer[Name(Cleaned)])</f>
        <v>Maria Sanchez</v>
      </c>
      <c r="D456" s="22" t="str">
        <f>VLOOKUP(B456,Customer[#ALL],6)</f>
        <v>Female</v>
      </c>
      <c r="E456" s="23">
        <f>Sales[Order_Date]</f>
        <v>45290</v>
      </c>
      <c r="F456" s="21" t="str">
        <f>Sales[Store_ID]</f>
        <v>STORE6</v>
      </c>
      <c r="G456" s="21" t="str">
        <f t="array" ref="G456">INDEX(Store[Store_Name],MATCH(F456,Store[Store_ID],0))</f>
        <v>Benson-Elliott</v>
      </c>
      <c r="H456" s="21" t="str">
        <f>Sales[Product_ID]</f>
        <v>PROD54</v>
      </c>
      <c r="I456" s="21" t="str">
        <f>VLOOKUP(H456,Products[],2)</f>
        <v>Sports Stopwatch Pro</v>
      </c>
      <c r="J456" s="24">
        <f>Sales[Total_Amount]</f>
        <v>1685.1573</v>
      </c>
      <c r="K456" s="21" t="str">
        <f t="shared" si="1"/>
        <v>Dec</v>
      </c>
      <c r="L456" s="21">
        <f t="shared" si="2"/>
        <v>2023</v>
      </c>
      <c r="N456" s="33"/>
      <c r="O456" s="34"/>
    </row>
    <row r="457" ht="22.5" customHeight="1">
      <c r="A457" s="21" t="s">
        <v>2422</v>
      </c>
      <c r="B457" s="21" t="s">
        <v>726</v>
      </c>
      <c r="C457" s="21" t="str">
        <f t="array" ref="C457">XLOOKUP(B457,Customer[Customer_ID],Customer[Name(Cleaned)])</f>
        <v>George Davis</v>
      </c>
      <c r="D457" s="22" t="str">
        <f>VLOOKUP(B457,Customer[#ALL],6)</f>
        <v>Male</v>
      </c>
      <c r="E457" s="23">
        <f>Sales[Order_Date]</f>
        <v>45638</v>
      </c>
      <c r="F457" s="21" t="str">
        <f>Sales[Store_ID]</f>
        <v>STORE16</v>
      </c>
      <c r="G457" s="21" t="str">
        <f t="array" ref="G457">INDEX(Store[Store_Name],MATCH(F457,Store[Store_ID],0))</f>
        <v>Frederick-Wright</v>
      </c>
      <c r="H457" s="21" t="str">
        <f>Sales[Product_ID]</f>
        <v>PROD7</v>
      </c>
      <c r="I457" s="21" t="str">
        <f>VLOOKUP(H457,Products[],2)</f>
        <v>Men's Sports Shorts</v>
      </c>
      <c r="J457" s="24">
        <f>Sales[Total_Amount]</f>
        <v>660.114</v>
      </c>
      <c r="K457" s="21" t="str">
        <f t="shared" si="1"/>
        <v>Dec</v>
      </c>
      <c r="L457" s="21">
        <f t="shared" si="2"/>
        <v>2024</v>
      </c>
      <c r="N457" s="33"/>
      <c r="O457" s="34"/>
    </row>
    <row r="458" ht="22.5" customHeight="1">
      <c r="A458" s="21" t="s">
        <v>2423</v>
      </c>
      <c r="B458" s="21" t="s">
        <v>472</v>
      </c>
      <c r="C458" s="21" t="str">
        <f t="array" ref="C458">XLOOKUP(B458,Customer[Customer_ID],Customer[Name(Cleaned)])</f>
        <v>Matthew Hanna</v>
      </c>
      <c r="D458" s="22" t="str">
        <f>VLOOKUP(B458,Customer[#ALL],6)</f>
        <v>Male</v>
      </c>
      <c r="E458" s="23">
        <f>Sales[Order_Date]</f>
        <v>45679</v>
      </c>
      <c r="F458" s="21" t="str">
        <f>Sales[Store_ID]</f>
        <v>STORE2</v>
      </c>
      <c r="G458" s="21" t="str">
        <f t="array" ref="G458">INDEX(Store[Store_Name],MATCH(F458,Store[Store_ID],0))</f>
        <v>Black-Horn</v>
      </c>
      <c r="H458" s="21" t="str">
        <f>Sales[Product_ID]</f>
        <v>PROD13</v>
      </c>
      <c r="I458" s="21" t="str">
        <f>VLOOKUP(H458,Products[],2)</f>
        <v>USB-C Fast Charger</v>
      </c>
      <c r="J458" s="24">
        <f>Sales[Total_Amount]</f>
        <v>726.8</v>
      </c>
      <c r="K458" s="21" t="str">
        <f t="shared" si="1"/>
        <v>Jan</v>
      </c>
      <c r="L458" s="21">
        <f t="shared" si="2"/>
        <v>2025</v>
      </c>
      <c r="N458" s="33"/>
      <c r="O458" s="34"/>
    </row>
    <row r="459" ht="22.5" customHeight="1">
      <c r="A459" s="21" t="s">
        <v>2424</v>
      </c>
      <c r="B459" s="21" t="s">
        <v>255</v>
      </c>
      <c r="C459" s="21" t="str">
        <f t="array" ref="C459">XLOOKUP(B459,Customer[Customer_ID],Customer[Name(Cleaned)])</f>
        <v>Amber Mcclain</v>
      </c>
      <c r="D459" s="22" t="str">
        <f>VLOOKUP(B459,Customer[#ALL],6)</f>
        <v>Female</v>
      </c>
      <c r="E459" s="23">
        <f>Sales[Order_Date]</f>
        <v>45296</v>
      </c>
      <c r="F459" s="21" t="str">
        <f>Sales[Store_ID]</f>
        <v>STORE15</v>
      </c>
      <c r="G459" s="21" t="str">
        <f t="array" ref="G459">INDEX(Store[Store_Name],MATCH(F459,Store[Store_ID],0))</f>
        <v>Shelton PLC</v>
      </c>
      <c r="H459" s="21" t="str">
        <f>Sales[Product_ID]</f>
        <v>PROD25</v>
      </c>
      <c r="I459" s="21" t="str">
        <f>VLOOKUP(H459,Products[],2)</f>
        <v>Women's Scarf Set</v>
      </c>
      <c r="J459" s="24">
        <f>Sales[Total_Amount]</f>
        <v>1272.592</v>
      </c>
      <c r="K459" s="21" t="str">
        <f t="shared" si="1"/>
        <v>Jan</v>
      </c>
      <c r="L459" s="21">
        <f t="shared" si="2"/>
        <v>2024</v>
      </c>
      <c r="N459" s="33"/>
      <c r="O459" s="34"/>
    </row>
    <row r="460" ht="22.5" customHeight="1">
      <c r="A460" s="21" t="s">
        <v>2425</v>
      </c>
      <c r="B460" s="21" t="s">
        <v>404</v>
      </c>
      <c r="C460" s="21" t="str">
        <f t="array" ref="C460">XLOOKUP(B460,Customer[Customer_ID],Customer[Name(Cleaned)])</f>
        <v>Edward Hall</v>
      </c>
      <c r="D460" s="22" t="str">
        <f>VLOOKUP(B460,Customer[#ALL],6)</f>
        <v>Female</v>
      </c>
      <c r="E460" s="23">
        <f>Sales[Order_Date]</f>
        <v>45718</v>
      </c>
      <c r="F460" s="21" t="str">
        <f>Sales[Store_ID]</f>
        <v>STORE0</v>
      </c>
      <c r="G460" s="21" t="str">
        <f t="array" ref="G460">INDEX(Store[Store_Name],MATCH(F460,Store[Store_ID],0))</f>
        <v>Rivera-Warner</v>
      </c>
      <c r="H460" s="21" t="str">
        <f>Sales[Product_ID]</f>
        <v>PROD47</v>
      </c>
      <c r="I460" s="21" t="str">
        <f>VLOOKUP(H460,Products[],2)</f>
        <v>Makeup Brush Set</v>
      </c>
      <c r="J460" s="24">
        <f>Sales[Total_Amount]</f>
        <v>372.923</v>
      </c>
      <c r="K460" s="21" t="str">
        <f t="shared" si="1"/>
        <v>Mar</v>
      </c>
      <c r="L460" s="21">
        <f t="shared" si="2"/>
        <v>2025</v>
      </c>
      <c r="N460" s="33"/>
      <c r="O460" s="34"/>
    </row>
    <row r="461" ht="22.5" customHeight="1">
      <c r="A461" s="21" t="s">
        <v>2426</v>
      </c>
      <c r="B461" s="21" t="s">
        <v>498</v>
      </c>
      <c r="C461" s="21" t="str">
        <f t="array" ref="C461">XLOOKUP(B461,Customer[Customer_ID],Customer[Name(Cleaned)])</f>
        <v>Justin Cross</v>
      </c>
      <c r="D461" s="22" t="str">
        <f>VLOOKUP(B461,Customer[#ALL],6)</f>
        <v>Male</v>
      </c>
      <c r="E461" s="23">
        <f>Sales[Order_Date]</f>
        <v>45760</v>
      </c>
      <c r="F461" s="21" t="str">
        <f>Sales[Store_ID]</f>
        <v>STORE4</v>
      </c>
      <c r="G461" s="21" t="str">
        <f t="array" ref="G461">INDEX(Store[Store_Name],MATCH(F461,Store[Store_ID],0))</f>
        <v>Alexander Group</v>
      </c>
      <c r="H461" s="21" t="str">
        <f>Sales[Product_ID]</f>
        <v>PROD35</v>
      </c>
      <c r="I461" s="21" t="str">
        <f>VLOOKUP(H461,Products[],2)</f>
        <v>Bedroom Table Lamp</v>
      </c>
      <c r="J461" s="24">
        <f>Sales[Total_Amount]</f>
        <v>542.571</v>
      </c>
      <c r="K461" s="21" t="str">
        <f t="shared" si="1"/>
        <v>Apr</v>
      </c>
      <c r="L461" s="21">
        <f t="shared" si="2"/>
        <v>2025</v>
      </c>
      <c r="N461" s="33"/>
      <c r="O461" s="34"/>
    </row>
    <row r="462" ht="22.5" customHeight="1">
      <c r="A462" s="21" t="s">
        <v>2427</v>
      </c>
      <c r="B462" s="21" t="s">
        <v>1113</v>
      </c>
      <c r="C462" s="21" t="str">
        <f t="array" ref="C462">XLOOKUP(B462,Customer[Customer_ID],Customer[Name(Cleaned)])</f>
        <v>Charles Miller</v>
      </c>
      <c r="D462" s="22" t="str">
        <f>VLOOKUP(B462,Customer[#ALL],6)</f>
        <v>Female</v>
      </c>
      <c r="E462" s="23">
        <f>Sales[Order_Date]</f>
        <v>45603</v>
      </c>
      <c r="F462" s="21" t="str">
        <f>Sales[Store_ID]</f>
        <v>STORE14</v>
      </c>
      <c r="G462" s="21" t="str">
        <f t="array" ref="G462">INDEX(Store[Store_Name],MATCH(F462,Store[Store_ID],0))</f>
        <v>Mcdonald Inc</v>
      </c>
      <c r="H462" s="21" t="str">
        <f>Sales[Product_ID]</f>
        <v>PROD56</v>
      </c>
      <c r="I462" s="21" t="str">
        <f>VLOOKUP(H462,Products[],2)</f>
        <v>Premium Blanket Throw</v>
      </c>
      <c r="J462" s="24">
        <f>Sales[Total_Amount]</f>
        <v>411.7149</v>
      </c>
      <c r="K462" s="21" t="str">
        <f t="shared" si="1"/>
        <v>Nov</v>
      </c>
      <c r="L462" s="21">
        <f t="shared" si="2"/>
        <v>2024</v>
      </c>
      <c r="N462" s="33"/>
      <c r="O462" s="34"/>
    </row>
    <row r="463" ht="22.5" customHeight="1">
      <c r="A463" s="21" t="s">
        <v>2428</v>
      </c>
      <c r="B463" s="21" t="s">
        <v>555</v>
      </c>
      <c r="C463" s="21" t="str">
        <f t="array" ref="C463">XLOOKUP(B463,Customer[Customer_ID],Customer[Name(Cleaned)])</f>
        <v>Joseph Jones</v>
      </c>
      <c r="D463" s="22" t="str">
        <f>VLOOKUP(B463,Customer[#ALL],6)</f>
        <v>Female</v>
      </c>
      <c r="E463" s="23">
        <f>Sales[Order_Date]</f>
        <v>45413</v>
      </c>
      <c r="F463" s="21" t="str">
        <f>Sales[Store_ID]</f>
        <v>STORE6</v>
      </c>
      <c r="G463" s="21" t="str">
        <f t="array" ref="G463">INDEX(Store[Store_Name],MATCH(F463,Store[Store_ID],0))</f>
        <v>Benson-Elliott</v>
      </c>
      <c r="H463" s="21" t="str">
        <f>Sales[Product_ID]</f>
        <v>PROD83</v>
      </c>
      <c r="I463" s="21" t="str">
        <f>VLOOKUP(H463,Products[],2)</f>
        <v>Hydrating Face Cleanser</v>
      </c>
      <c r="J463" s="24">
        <f>Sales[Total_Amount]</f>
        <v>229.023</v>
      </c>
      <c r="K463" s="21" t="str">
        <f t="shared" si="1"/>
        <v>May</v>
      </c>
      <c r="L463" s="21">
        <f t="shared" si="2"/>
        <v>2024</v>
      </c>
      <c r="N463" s="33"/>
      <c r="O463" s="34"/>
    </row>
    <row r="464" ht="22.5" customHeight="1">
      <c r="A464" s="21" t="s">
        <v>2429</v>
      </c>
      <c r="B464" s="21" t="s">
        <v>1314</v>
      </c>
      <c r="C464" s="21" t="str">
        <f t="array" ref="C464">XLOOKUP(B464,Customer[Customer_ID],Customer[Name(Cleaned)])</f>
        <v>Luke Parks</v>
      </c>
      <c r="D464" s="22" t="str">
        <f>VLOOKUP(B464,Customer[#ALL],6)</f>
        <v>Male</v>
      </c>
      <c r="E464" s="23">
        <f>Sales[Order_Date]</f>
        <v>45506</v>
      </c>
      <c r="F464" s="21" t="str">
        <f>Sales[Store_ID]</f>
        <v>STORE16</v>
      </c>
      <c r="G464" s="21" t="str">
        <f t="array" ref="G464">INDEX(Store[Store_Name],MATCH(F464,Store[Store_ID],0))</f>
        <v>Frederick-Wright</v>
      </c>
      <c r="H464" s="21" t="str">
        <f>Sales[Product_ID]</f>
        <v>PROD25</v>
      </c>
      <c r="I464" s="21" t="str">
        <f>VLOOKUP(H464,Products[],2)</f>
        <v>Women's Scarf Set</v>
      </c>
      <c r="J464" s="24">
        <f>Sales[Total_Amount]</f>
        <v>2234.7188</v>
      </c>
      <c r="K464" s="21" t="str">
        <f t="shared" si="1"/>
        <v>Aug</v>
      </c>
      <c r="L464" s="21">
        <f t="shared" si="2"/>
        <v>2024</v>
      </c>
      <c r="N464" s="33"/>
      <c r="O464" s="34"/>
    </row>
    <row r="465" ht="22.5" customHeight="1">
      <c r="A465" s="21" t="s">
        <v>2430</v>
      </c>
      <c r="B465" s="21" t="s">
        <v>1176</v>
      </c>
      <c r="C465" s="21" t="str">
        <f t="array" ref="C465">XLOOKUP(B465,Customer[Customer_ID],Customer[Name(Cleaned)])</f>
        <v>Michael Garner</v>
      </c>
      <c r="D465" s="22" t="str">
        <f>VLOOKUP(B465,Customer[#ALL],6)</f>
        <v>Male</v>
      </c>
      <c r="E465" s="23">
        <f>Sales[Order_Date]</f>
        <v>45394</v>
      </c>
      <c r="F465" s="21" t="str">
        <f>Sales[Store_ID]</f>
        <v>STORE19</v>
      </c>
      <c r="G465" s="21" t="str">
        <f t="array" ref="G465">INDEX(Store[Store_Name],MATCH(F465,Store[Store_ID],0))</f>
        <v>Mann-Austin</v>
      </c>
      <c r="H465" s="21" t="str">
        <f>Sales[Product_ID]</f>
        <v>PROD31</v>
      </c>
      <c r="I465" s="21" t="str">
        <f>VLOOKUP(H465,Products[],2)</f>
        <v>Basketball</v>
      </c>
      <c r="J465" s="24">
        <f>Sales[Total_Amount]</f>
        <v>1138.83</v>
      </c>
      <c r="K465" s="21" t="str">
        <f t="shared" si="1"/>
        <v>Apr</v>
      </c>
      <c r="L465" s="21">
        <f t="shared" si="2"/>
        <v>2024</v>
      </c>
      <c r="N465" s="33"/>
      <c r="O465" s="34"/>
    </row>
    <row r="466" ht="22.5" customHeight="1">
      <c r="A466" s="21" t="s">
        <v>2431</v>
      </c>
      <c r="B466" s="21" t="s">
        <v>501</v>
      </c>
      <c r="C466" s="21" t="str">
        <f t="array" ref="C466">XLOOKUP(B466,Customer[Customer_ID],Customer[Name(Cleaned)])</f>
        <v>Cameron Simpson</v>
      </c>
      <c r="D466" s="22" t="str">
        <f>VLOOKUP(B466,Customer[#ALL],6)</f>
        <v>Female</v>
      </c>
      <c r="E466" s="23">
        <f>Sales[Order_Date]</f>
        <v>45755</v>
      </c>
      <c r="F466" s="21" t="str">
        <f>Sales[Store_ID]</f>
        <v>STORE11</v>
      </c>
      <c r="G466" s="21" t="str">
        <f t="array" ref="G466">INDEX(Store[Store_Name],MATCH(F466,Store[Store_ID],0))</f>
        <v>Aguirre-Keller</v>
      </c>
      <c r="H466" s="21" t="str">
        <f>Sales[Product_ID]</f>
        <v>PROD59</v>
      </c>
      <c r="I466" s="21" t="str">
        <f>VLOOKUP(H466,Products[],2)</f>
        <v>Men's Hair Styling Gel</v>
      </c>
      <c r="J466" s="24">
        <f>Sales[Total_Amount]</f>
        <v>1677.4904</v>
      </c>
      <c r="K466" s="21" t="str">
        <f t="shared" si="1"/>
        <v>Apr</v>
      </c>
      <c r="L466" s="21">
        <f t="shared" si="2"/>
        <v>2025</v>
      </c>
      <c r="N466" s="33"/>
      <c r="O466" s="34"/>
    </row>
    <row r="467" ht="22.5" customHeight="1">
      <c r="A467" s="21" t="s">
        <v>2432</v>
      </c>
      <c r="B467" s="21" t="s">
        <v>561</v>
      </c>
      <c r="C467" s="21" t="str">
        <f t="array" ref="C467">XLOOKUP(B467,Customer[Customer_ID],Customer[Name(Cleaned)])</f>
        <v>Jason Wheeler</v>
      </c>
      <c r="D467" s="22" t="str">
        <f>VLOOKUP(B467,Customer[#ALL],6)</f>
        <v>Male</v>
      </c>
      <c r="E467" s="23">
        <f>Sales[Order_Date]</f>
        <v>45473</v>
      </c>
      <c r="F467" s="21" t="str">
        <f>Sales[Store_ID]</f>
        <v>STORE17</v>
      </c>
      <c r="G467" s="21" t="str">
        <f t="array" ref="G467">INDEX(Store[Store_Name],MATCH(F467,Store[Store_ID],0))</f>
        <v>Holloway Ltd</v>
      </c>
      <c r="H467" s="21" t="str">
        <f>Sales[Product_ID]</f>
        <v>PROD63</v>
      </c>
      <c r="I467" s="21" t="str">
        <f>VLOOKUP(H467,Products[],2)</f>
        <v>Organic Sunscreen Lotion</v>
      </c>
      <c r="J467" s="24">
        <f>Sales[Total_Amount]</f>
        <v>599.5836</v>
      </c>
      <c r="K467" s="21" t="str">
        <f t="shared" si="1"/>
        <v>Jun</v>
      </c>
      <c r="L467" s="21">
        <f t="shared" si="2"/>
        <v>2024</v>
      </c>
      <c r="N467" s="33"/>
      <c r="O467" s="34"/>
    </row>
    <row r="468" ht="22.5" customHeight="1">
      <c r="A468" s="21" t="s">
        <v>2433</v>
      </c>
      <c r="B468" s="21" t="s">
        <v>229</v>
      </c>
      <c r="C468" s="21" t="str">
        <f t="array" ref="C468">XLOOKUP(B468,Customer[Customer_ID],Customer[Name(Cleaned)])</f>
        <v>Alyssa Vargas</v>
      </c>
      <c r="D468" s="22" t="str">
        <f>VLOOKUP(B468,Customer[#ALL],6)</f>
        <v>Female</v>
      </c>
      <c r="E468" s="23">
        <f>Sales[Order_Date]</f>
        <v>45304</v>
      </c>
      <c r="F468" s="21" t="str">
        <f>Sales[Store_ID]</f>
        <v>STORE1</v>
      </c>
      <c r="G468" s="21" t="str">
        <f t="array" ref="G468">INDEX(Store[Store_Name],MATCH(F468,Store[Store_ID],0))</f>
        <v>Martinez, Adkins and Johnson</v>
      </c>
      <c r="H468" s="21" t="str">
        <f>Sales[Product_ID]</f>
        <v>PROD23</v>
      </c>
      <c r="I468" s="21" t="str">
        <f>VLOOKUP(H468,Products[],2)</f>
        <v>Men's Formal Shirt</v>
      </c>
      <c r="J468" s="24">
        <f>Sales[Total_Amount]</f>
        <v>101.3886</v>
      </c>
      <c r="K468" s="21" t="str">
        <f t="shared" si="1"/>
        <v>Jan</v>
      </c>
      <c r="L468" s="21">
        <f t="shared" si="2"/>
        <v>2024</v>
      </c>
      <c r="N468" s="33"/>
      <c r="O468" s="34"/>
    </row>
    <row r="469" ht="22.5" customHeight="1">
      <c r="A469" s="21" t="s">
        <v>2434</v>
      </c>
      <c r="B469" s="21" t="s">
        <v>286</v>
      </c>
      <c r="C469" s="21" t="str">
        <f t="array" ref="C469">XLOOKUP(B469,Customer[Customer_ID],Customer[Name(Cleaned)])</f>
        <v>Nathan Campbell</v>
      </c>
      <c r="D469" s="22" t="str">
        <f>VLOOKUP(B469,Customer[#ALL],6)</f>
        <v>Female</v>
      </c>
      <c r="E469" s="23">
        <f>Sales[Order_Date]</f>
        <v>45557</v>
      </c>
      <c r="F469" s="21" t="str">
        <f>Sales[Store_ID]</f>
        <v>STORE11</v>
      </c>
      <c r="G469" s="21" t="str">
        <f t="array" ref="G469">INDEX(Store[Store_Name],MATCH(F469,Store[Store_ID],0))</f>
        <v>Aguirre-Keller</v>
      </c>
      <c r="H469" s="21" t="str">
        <f>Sales[Product_ID]</f>
        <v>PROD62</v>
      </c>
      <c r="I469" s="21" t="str">
        <f>VLOOKUP(H469,Products[],2)</f>
        <v>Laptop Cooling Pad</v>
      </c>
      <c r="J469" s="24">
        <f>Sales[Total_Amount]</f>
        <v>3316.16</v>
      </c>
      <c r="K469" s="21" t="str">
        <f t="shared" si="1"/>
        <v>Sep</v>
      </c>
      <c r="L469" s="21">
        <f t="shared" si="2"/>
        <v>2024</v>
      </c>
      <c r="N469" s="33"/>
      <c r="O469" s="34"/>
    </row>
    <row r="470" ht="22.5" customHeight="1">
      <c r="A470" s="21" t="s">
        <v>2435</v>
      </c>
      <c r="B470" s="21" t="s">
        <v>165</v>
      </c>
      <c r="C470" s="21" t="str">
        <f t="array" ref="C470">XLOOKUP(B470,Customer[Customer_ID],Customer[Name(Cleaned)])</f>
        <v>Eric Vega</v>
      </c>
      <c r="D470" s="22" t="str">
        <f>VLOOKUP(B470,Customer[#ALL],6)</f>
        <v>Female</v>
      </c>
      <c r="E470" s="23">
        <f>Sales[Order_Date]</f>
        <v>45527</v>
      </c>
      <c r="F470" s="21" t="str">
        <f>Sales[Store_ID]</f>
        <v>STORE4</v>
      </c>
      <c r="G470" s="21" t="str">
        <f t="array" ref="G470">INDEX(Store[Store_Name],MATCH(F470,Store[Store_ID],0))</f>
        <v>Alexander Group</v>
      </c>
      <c r="H470" s="21" t="str">
        <f>Sales[Product_ID]</f>
        <v>PROD89</v>
      </c>
      <c r="I470" s="21" t="str">
        <f>VLOOKUP(H470,Products[],2)</f>
        <v>Face Foundation Kit</v>
      </c>
      <c r="J470" s="24">
        <f>Sales[Total_Amount]</f>
        <v>125.8888</v>
      </c>
      <c r="K470" s="21" t="str">
        <f t="shared" si="1"/>
        <v>Aug</v>
      </c>
      <c r="L470" s="21">
        <f t="shared" si="2"/>
        <v>2024</v>
      </c>
      <c r="N470" s="33"/>
      <c r="O470" s="34"/>
    </row>
    <row r="471" ht="22.5" customHeight="1">
      <c r="A471" s="21" t="s">
        <v>2436</v>
      </c>
      <c r="B471" s="21" t="s">
        <v>1259</v>
      </c>
      <c r="C471" s="21" t="str">
        <f t="array" ref="C471">XLOOKUP(B471,Customer[Customer_ID],Customer[Name(Cleaned)])</f>
        <v>John Donaldson</v>
      </c>
      <c r="D471" s="22" t="str">
        <f>VLOOKUP(B471,Customer[#ALL],6)</f>
        <v>Female</v>
      </c>
      <c r="E471" s="23">
        <f>Sales[Order_Date]</f>
        <v>45573</v>
      </c>
      <c r="F471" s="21" t="str">
        <f>Sales[Store_ID]</f>
        <v>STORE12</v>
      </c>
      <c r="G471" s="21" t="str">
        <f t="array" ref="G471">INDEX(Store[Store_Name],MATCH(F471,Store[Store_ID],0))</f>
        <v>Thomas, Bridges and Harris</v>
      </c>
      <c r="H471" s="21" t="str">
        <f>Sales[Product_ID]</f>
        <v>PROD66</v>
      </c>
      <c r="I471" s="21" t="str">
        <f>VLOOKUP(H471,Products[],2)</f>
        <v>Women's Hair Dryer Brush</v>
      </c>
      <c r="J471" s="24">
        <f>Sales[Total_Amount]</f>
        <v>1443.7104</v>
      </c>
      <c r="K471" s="21" t="str">
        <f t="shared" si="1"/>
        <v>Oct</v>
      </c>
      <c r="L471" s="21">
        <f t="shared" si="2"/>
        <v>2024</v>
      </c>
      <c r="N471" s="33"/>
      <c r="O471" s="34"/>
    </row>
    <row r="472" ht="22.5" customHeight="1">
      <c r="A472" s="21" t="s">
        <v>2437</v>
      </c>
      <c r="B472" s="21" t="s">
        <v>522</v>
      </c>
      <c r="C472" s="21" t="str">
        <f t="array" ref="C472">XLOOKUP(B472,Customer[Customer_ID],Customer[Name(Cleaned)])</f>
        <v>Patrick Roberts</v>
      </c>
      <c r="D472" s="22" t="str">
        <f>VLOOKUP(B472,Customer[#ALL],6)</f>
        <v>Male</v>
      </c>
      <c r="E472" s="23">
        <f>Sales[Order_Date]</f>
        <v>45875</v>
      </c>
      <c r="F472" s="21" t="str">
        <f>Sales[Store_ID]</f>
        <v>STORE19</v>
      </c>
      <c r="G472" s="21" t="str">
        <f t="array" ref="G472">INDEX(Store[Store_Name],MATCH(F472,Store[Store_ID],0))</f>
        <v>Mann-Austin</v>
      </c>
      <c r="H472" s="21" t="str">
        <f>Sales[Product_ID]</f>
        <v>PROD53</v>
      </c>
      <c r="I472" s="21" t="str">
        <f>VLOOKUP(H472,Products[],2)</f>
        <v>Men's Track Pants</v>
      </c>
      <c r="J472" s="24">
        <f>Sales[Total_Amount]</f>
        <v>1023.33</v>
      </c>
      <c r="K472" s="21" t="str">
        <f t="shared" si="1"/>
        <v>Aug</v>
      </c>
      <c r="L472" s="21">
        <f t="shared" si="2"/>
        <v>2025</v>
      </c>
      <c r="N472" s="33"/>
      <c r="O472" s="34"/>
    </row>
    <row r="473" ht="22.5" customHeight="1">
      <c r="A473" s="21" t="s">
        <v>2438</v>
      </c>
      <c r="B473" s="21" t="s">
        <v>1176</v>
      </c>
      <c r="C473" s="21" t="str">
        <f t="array" ref="C473">XLOOKUP(B473,Customer[Customer_ID],Customer[Name(Cleaned)])</f>
        <v>Michael Garner</v>
      </c>
      <c r="D473" s="22" t="str">
        <f>VLOOKUP(B473,Customer[#ALL],6)</f>
        <v>Male</v>
      </c>
      <c r="E473" s="23">
        <f>Sales[Order_Date]</f>
        <v>45936</v>
      </c>
      <c r="F473" s="21" t="str">
        <f>Sales[Store_ID]</f>
        <v>STORE10</v>
      </c>
      <c r="G473" s="21" t="str">
        <f t="array" ref="G473">INDEX(Store[Store_Name],MATCH(F473,Store[Store_ID],0))</f>
        <v>Hill, Wagner and Ballard</v>
      </c>
      <c r="H473" s="21" t="str">
        <f>Sales[Product_ID]</f>
        <v>PROD45</v>
      </c>
      <c r="I473" s="21" t="str">
        <f>VLOOKUP(H473,Products[],2)</f>
        <v>High-Grip Football</v>
      </c>
      <c r="J473" s="24">
        <f>Sales[Total_Amount]</f>
        <v>1984.7356</v>
      </c>
      <c r="K473" s="21" t="str">
        <f t="shared" si="1"/>
        <v>Oct</v>
      </c>
      <c r="L473" s="21">
        <f t="shared" si="2"/>
        <v>2025</v>
      </c>
      <c r="N473" s="33"/>
      <c r="O473" s="34"/>
    </row>
    <row r="474" ht="22.5" customHeight="1">
      <c r="A474" s="21" t="s">
        <v>2439</v>
      </c>
      <c r="B474" s="21" t="s">
        <v>1254</v>
      </c>
      <c r="C474" s="21" t="str">
        <f t="array" ref="C474">XLOOKUP(B474,Customer[Customer_ID],Customer[Name(Cleaned)])</f>
        <v>Charles Norman Phd</v>
      </c>
      <c r="D474" s="22" t="str">
        <f>VLOOKUP(B474,Customer[#ALL],6)</f>
        <v>Male</v>
      </c>
      <c r="E474" s="23">
        <f>Sales[Order_Date]</f>
        <v>45807</v>
      </c>
      <c r="F474" s="21" t="str">
        <f>Sales[Store_ID]</f>
        <v>STORE1</v>
      </c>
      <c r="G474" s="21" t="str">
        <f t="array" ref="G474">INDEX(Store[Store_Name],MATCH(F474,Store[Store_ID],0))</f>
        <v>Martinez, Adkins and Johnson</v>
      </c>
      <c r="H474" s="21" t="str">
        <f>Sales[Product_ID]</f>
        <v>PROD90</v>
      </c>
      <c r="I474" s="21" t="str">
        <f>VLOOKUP(H474,Products[],2)</f>
        <v>Gaming Mouse Pad XL</v>
      </c>
      <c r="J474" s="24">
        <f>Sales[Total_Amount]</f>
        <v>713.4</v>
      </c>
      <c r="K474" s="21" t="str">
        <f t="shared" si="1"/>
        <v>May</v>
      </c>
      <c r="L474" s="21">
        <f t="shared" si="2"/>
        <v>2025</v>
      </c>
      <c r="N474" s="33"/>
      <c r="O474" s="34"/>
    </row>
    <row r="475" ht="22.5" customHeight="1">
      <c r="A475" s="21" t="s">
        <v>2440</v>
      </c>
      <c r="B475" s="21" t="s">
        <v>981</v>
      </c>
      <c r="C475" s="21" t="str">
        <f t="array" ref="C475">XLOOKUP(B475,Customer[Customer_ID],Customer[Name(Cleaned)])</f>
        <v>Angela Robinson</v>
      </c>
      <c r="D475" s="22" t="str">
        <f>VLOOKUP(B475,Customer[#ALL],6)</f>
        <v>Female</v>
      </c>
      <c r="E475" s="23">
        <f>Sales[Order_Date]</f>
        <v>45473</v>
      </c>
      <c r="F475" s="21" t="str">
        <f>Sales[Store_ID]</f>
        <v>STORE5</v>
      </c>
      <c r="G475" s="21" t="str">
        <f t="array" ref="G475">INDEX(Store[Store_Name],MATCH(F475,Store[Store_ID],0))</f>
        <v>Gray Ltd</v>
      </c>
      <c r="H475" s="21" t="str">
        <f>Sales[Product_ID]</f>
        <v>PROD83</v>
      </c>
      <c r="I475" s="21" t="str">
        <f>VLOOKUP(H475,Products[],2)</f>
        <v>Hydrating Face Cleanser</v>
      </c>
      <c r="J475" s="24">
        <f>Sales[Total_Amount]</f>
        <v>1249.5006</v>
      </c>
      <c r="K475" s="21" t="str">
        <f t="shared" si="1"/>
        <v>Jun</v>
      </c>
      <c r="L475" s="21">
        <f t="shared" si="2"/>
        <v>2024</v>
      </c>
      <c r="N475" s="33"/>
      <c r="O475" s="34"/>
    </row>
    <row r="476" ht="22.5" customHeight="1">
      <c r="A476" s="21" t="s">
        <v>2441</v>
      </c>
      <c r="B476" s="21" t="s">
        <v>47</v>
      </c>
      <c r="C476" s="21" t="str">
        <f t="array" ref="C476">XLOOKUP(B476,Customer[Customer_ID],Customer[Name(Cleaned)])</f>
        <v>Daniel Boyd</v>
      </c>
      <c r="D476" s="22" t="str">
        <f>VLOOKUP(B476,Customer[#ALL],6)</f>
        <v>Male</v>
      </c>
      <c r="E476" s="23">
        <f>Sales[Order_Date]</f>
        <v>45664</v>
      </c>
      <c r="F476" s="21" t="str">
        <f>Sales[Store_ID]</f>
        <v>STORE18</v>
      </c>
      <c r="G476" s="21" t="str">
        <f t="array" ref="G476">INDEX(Store[Store_Name],MATCH(F476,Store[Store_ID],0))</f>
        <v>Guerrero-Schmitt</v>
      </c>
      <c r="H476" s="21" t="str">
        <f>Sales[Product_ID]</f>
        <v>PROD13</v>
      </c>
      <c r="I476" s="21" t="str">
        <f>VLOOKUP(H476,Products[],2)</f>
        <v>USB-C Fast Charger</v>
      </c>
      <c r="J476" s="24">
        <f>Sales[Total_Amount]</f>
        <v>340.0626</v>
      </c>
      <c r="K476" s="21" t="str">
        <f t="shared" si="1"/>
        <v>Jan</v>
      </c>
      <c r="L476" s="21">
        <f t="shared" si="2"/>
        <v>2025</v>
      </c>
      <c r="N476" s="33"/>
      <c r="O476" s="34"/>
    </row>
    <row r="477" ht="22.5" customHeight="1">
      <c r="A477" s="21" t="s">
        <v>2442</v>
      </c>
      <c r="B477" s="21" t="s">
        <v>1113</v>
      </c>
      <c r="C477" s="21" t="str">
        <f t="array" ref="C477">XLOOKUP(B477,Customer[Customer_ID],Customer[Name(Cleaned)])</f>
        <v>Charles Miller</v>
      </c>
      <c r="D477" s="22" t="str">
        <f>VLOOKUP(B477,Customer[#ALL],6)</f>
        <v>Female</v>
      </c>
      <c r="E477" s="23">
        <f>Sales[Order_Date]</f>
        <v>45633</v>
      </c>
      <c r="F477" s="21" t="str">
        <f>Sales[Store_ID]</f>
        <v>STORE3</v>
      </c>
      <c r="G477" s="21" t="str">
        <f t="array" ref="G477">INDEX(Store[Store_Name],MATCH(F477,Store[Store_ID],0))</f>
        <v>Johnson-Wright</v>
      </c>
      <c r="H477" s="21" t="str">
        <f>Sales[Product_ID]</f>
        <v>PROD58</v>
      </c>
      <c r="I477" s="21" t="str">
        <f>VLOOKUP(H477,Products[],2)</f>
        <v>Womens Cotton Scarf</v>
      </c>
      <c r="J477" s="24">
        <f>Sales[Total_Amount]</f>
        <v>1171.2288</v>
      </c>
      <c r="K477" s="21" t="str">
        <f t="shared" si="1"/>
        <v>Dec</v>
      </c>
      <c r="L477" s="21">
        <f t="shared" si="2"/>
        <v>2024</v>
      </c>
      <c r="N477" s="33"/>
      <c r="O477" s="34"/>
    </row>
    <row r="478" ht="22.5" customHeight="1">
      <c r="A478" s="21" t="s">
        <v>2443</v>
      </c>
      <c r="B478" s="21" t="s">
        <v>1433</v>
      </c>
      <c r="C478" s="21" t="str">
        <f t="array" ref="C478">XLOOKUP(B478,Customer[Customer_ID],Customer[Name(Cleaned)])</f>
        <v>John Perez</v>
      </c>
      <c r="D478" s="22" t="str">
        <f>VLOOKUP(B478,Customer[#ALL],6)</f>
        <v>Male</v>
      </c>
      <c r="E478" s="23">
        <f>Sales[Order_Date]</f>
        <v>45548</v>
      </c>
      <c r="F478" s="21" t="str">
        <f>Sales[Store_ID]</f>
        <v>STORE3</v>
      </c>
      <c r="G478" s="21" t="str">
        <f t="array" ref="G478">INDEX(Store[Store_Name],MATCH(F478,Store[Store_ID],0))</f>
        <v>Johnson-Wright</v>
      </c>
      <c r="H478" s="21" t="str">
        <f>Sales[Product_ID]</f>
        <v>PROD25</v>
      </c>
      <c r="I478" s="21" t="str">
        <f>VLOOKUP(H478,Products[],2)</f>
        <v>Women's Scarf Set</v>
      </c>
      <c r="J478" s="24">
        <f>Sales[Total_Amount]</f>
        <v>728.1204</v>
      </c>
      <c r="K478" s="21" t="str">
        <f t="shared" si="1"/>
        <v>Sep</v>
      </c>
      <c r="L478" s="21">
        <f t="shared" si="2"/>
        <v>2024</v>
      </c>
      <c r="N478" s="33"/>
      <c r="O478" s="34"/>
    </row>
    <row r="479" ht="22.5" customHeight="1">
      <c r="A479" s="21" t="s">
        <v>2444</v>
      </c>
      <c r="B479" s="21" t="s">
        <v>1227</v>
      </c>
      <c r="C479" s="21" t="str">
        <f t="array" ref="C479">XLOOKUP(B479,Customer[Customer_ID],Customer[Name(Cleaned)])</f>
        <v>Timothy Valenzuela</v>
      </c>
      <c r="D479" s="22" t="str">
        <f>VLOOKUP(B479,Customer[#ALL],6)</f>
        <v>Female</v>
      </c>
      <c r="E479" s="23">
        <f>Sales[Order_Date]</f>
        <v>45244</v>
      </c>
      <c r="F479" s="21" t="str">
        <f>Sales[Store_ID]</f>
        <v>STORE15</v>
      </c>
      <c r="G479" s="21" t="str">
        <f t="array" ref="G479">INDEX(Store[Store_Name],MATCH(F479,Store[Store_ID],0))</f>
        <v>Shelton PLC</v>
      </c>
      <c r="H479" s="21" t="str">
        <f>Sales[Product_ID]</f>
        <v>PROD39</v>
      </c>
      <c r="I479" s="21" t="str">
        <f>VLOOKUP(H479,Products[],2)</f>
        <v>Portable Power Bank</v>
      </c>
      <c r="J479" s="24">
        <f>Sales[Total_Amount]</f>
        <v>2107.4004</v>
      </c>
      <c r="K479" s="21" t="str">
        <f t="shared" si="1"/>
        <v>Nov</v>
      </c>
      <c r="L479" s="21">
        <f t="shared" si="2"/>
        <v>2023</v>
      </c>
      <c r="N479" s="33"/>
      <c r="O479" s="34"/>
    </row>
    <row r="480" ht="22.5" customHeight="1">
      <c r="A480" s="21" t="s">
        <v>2445</v>
      </c>
      <c r="B480" s="21" t="s">
        <v>652</v>
      </c>
      <c r="C480" s="21" t="str">
        <f t="array" ref="C480">XLOOKUP(B480,Customer[Customer_ID],Customer[Name(Cleaned)])</f>
        <v>Anthony Garcia</v>
      </c>
      <c r="D480" s="22" t="str">
        <f>VLOOKUP(B480,Customer[#ALL],6)</f>
        <v>Female</v>
      </c>
      <c r="E480" s="23">
        <f>Sales[Order_Date]</f>
        <v>45753</v>
      </c>
      <c r="F480" s="21" t="str">
        <f>Sales[Store_ID]</f>
        <v>STORE10</v>
      </c>
      <c r="G480" s="21" t="str">
        <f t="array" ref="G480">INDEX(Store[Store_Name],MATCH(F480,Store[Store_ID],0))</f>
        <v>Hill, Wagner and Ballard</v>
      </c>
      <c r="H480" s="21" t="str">
        <f>Sales[Product_ID]</f>
        <v>PROD14</v>
      </c>
      <c r="I480" s="21" t="str">
        <f>VLOOKUP(H480,Products[],2)</f>
        <v>Decorative Wall Mirror</v>
      </c>
      <c r="J480" s="24">
        <f>Sales[Total_Amount]</f>
        <v>1818.4914</v>
      </c>
      <c r="K480" s="21" t="str">
        <f t="shared" si="1"/>
        <v>Apr</v>
      </c>
      <c r="L480" s="21">
        <f t="shared" si="2"/>
        <v>2025</v>
      </c>
      <c r="N480" s="33"/>
      <c r="O480" s="34"/>
    </row>
    <row r="481" ht="22.5" customHeight="1">
      <c r="A481" s="21" t="s">
        <v>2446</v>
      </c>
      <c r="B481" s="21" t="s">
        <v>800</v>
      </c>
      <c r="C481" s="21" t="str">
        <f t="array" ref="C481">XLOOKUP(B481,Customer[Customer_ID],Customer[Name(Cleaned)])</f>
        <v>Laura Soto</v>
      </c>
      <c r="D481" s="22" t="str">
        <f>VLOOKUP(B481,Customer[#ALL],6)</f>
        <v>Male</v>
      </c>
      <c r="E481" s="23">
        <f>Sales[Order_Date]</f>
        <v>45804</v>
      </c>
      <c r="F481" s="21" t="str">
        <f>Sales[Store_ID]</f>
        <v>STORE13</v>
      </c>
      <c r="G481" s="21" t="str">
        <f t="array" ref="G481">INDEX(Store[Store_Name],MATCH(F481,Store[Store_ID],0))</f>
        <v>Gardner, Humphrey and Contreras</v>
      </c>
      <c r="H481" s="21" t="str">
        <f>Sales[Product_ID]</f>
        <v>PROD94</v>
      </c>
      <c r="I481" s="21" t="str">
        <f>VLOOKUP(H481,Products[],2)</f>
        <v>Vitamin E Body Lotion</v>
      </c>
      <c r="J481" s="24">
        <f>Sales[Total_Amount]</f>
        <v>1283.2404</v>
      </c>
      <c r="K481" s="21" t="str">
        <f t="shared" si="1"/>
        <v>May</v>
      </c>
      <c r="L481" s="21">
        <f t="shared" si="2"/>
        <v>2025</v>
      </c>
      <c r="N481" s="33"/>
      <c r="O481" s="34"/>
    </row>
    <row r="482" ht="22.5" customHeight="1">
      <c r="A482" s="21" t="s">
        <v>2447</v>
      </c>
      <c r="B482" s="21" t="s">
        <v>1265</v>
      </c>
      <c r="C482" s="21" t="str">
        <f t="array" ref="C482">XLOOKUP(B482,Customer[Customer_ID],Customer[Name(Cleaned)])</f>
        <v>Terry Moses</v>
      </c>
      <c r="D482" s="22" t="str">
        <f>VLOOKUP(B482,Customer[#ALL],6)</f>
        <v>Male</v>
      </c>
      <c r="E482" s="23">
        <f>Sales[Order_Date]</f>
        <v>45884</v>
      </c>
      <c r="F482" s="21" t="str">
        <f>Sales[Store_ID]</f>
        <v>STORE16</v>
      </c>
      <c r="G482" s="21" t="str">
        <f t="array" ref="G482">INDEX(Store[Store_Name],MATCH(F482,Store[Store_ID],0))</f>
        <v>Frederick-Wright</v>
      </c>
      <c r="H482" s="21" t="str">
        <f>Sales[Product_ID]</f>
        <v>PROD34</v>
      </c>
      <c r="I482" s="21" t="str">
        <f>VLOOKUP(H482,Products[],2)</f>
        <v>Gaming Mechanical Keyboard</v>
      </c>
      <c r="J482" s="24">
        <f>Sales[Total_Amount]</f>
        <v>1278.3408</v>
      </c>
      <c r="K482" s="21" t="str">
        <f t="shared" si="1"/>
        <v>Aug</v>
      </c>
      <c r="L482" s="21">
        <f t="shared" si="2"/>
        <v>2025</v>
      </c>
      <c r="N482" s="33"/>
      <c r="O482" s="34"/>
    </row>
    <row r="483" ht="22.5" customHeight="1">
      <c r="A483" s="21" t="s">
        <v>2448</v>
      </c>
      <c r="B483" s="21" t="s">
        <v>733</v>
      </c>
      <c r="C483" s="21" t="str">
        <f t="array" ref="C483">XLOOKUP(B483,Customer[Customer_ID],Customer[Name(Cleaned)])</f>
        <v>Alejandro Doyle</v>
      </c>
      <c r="D483" s="22" t="str">
        <f>VLOOKUP(B483,Customer[#ALL],6)</f>
        <v>Female</v>
      </c>
      <c r="E483" s="23">
        <f>Sales[Order_Date]</f>
        <v>45263</v>
      </c>
      <c r="F483" s="21" t="str">
        <f>Sales[Store_ID]</f>
        <v>STORE2</v>
      </c>
      <c r="G483" s="21" t="str">
        <f t="array" ref="G483">INDEX(Store[Store_Name],MATCH(F483,Store[Store_ID],0))</f>
        <v>Black-Horn</v>
      </c>
      <c r="H483" s="21" t="str">
        <f>Sales[Product_ID]</f>
        <v>PROD79</v>
      </c>
      <c r="I483" s="21" t="str">
        <f>VLOOKUP(H483,Products[],2)</f>
        <v>Decorative Lamp Shade</v>
      </c>
      <c r="J483" s="24">
        <f>Sales[Total_Amount]</f>
        <v>323.561</v>
      </c>
      <c r="K483" s="21" t="str">
        <f t="shared" si="1"/>
        <v>Dec</v>
      </c>
      <c r="L483" s="21">
        <f t="shared" si="2"/>
        <v>2023</v>
      </c>
      <c r="N483" s="33"/>
      <c r="O483" s="34"/>
    </row>
    <row r="484" ht="22.5" customHeight="1">
      <c r="A484" s="21" t="s">
        <v>2449</v>
      </c>
      <c r="B484" s="21" t="s">
        <v>1399</v>
      </c>
      <c r="C484" s="21" t="str">
        <f t="array" ref="C484">XLOOKUP(B484,Customer[Customer_ID],Customer[Name(Cleaned)])</f>
        <v>Monica Wright</v>
      </c>
      <c r="D484" s="22" t="str">
        <f>VLOOKUP(B484,Customer[#ALL],6)</f>
        <v>Female</v>
      </c>
      <c r="E484" s="23">
        <f>Sales[Order_Date]</f>
        <v>45906</v>
      </c>
      <c r="F484" s="21" t="str">
        <f>Sales[Store_ID]</f>
        <v>STORE17</v>
      </c>
      <c r="G484" s="21" t="str">
        <f t="array" ref="G484">INDEX(Store[Store_Name],MATCH(F484,Store[Store_ID],0))</f>
        <v>Holloway Ltd</v>
      </c>
      <c r="H484" s="21" t="str">
        <f>Sales[Product_ID]</f>
        <v>PROD42</v>
      </c>
      <c r="I484" s="21" t="str">
        <f>VLOOKUP(H484,Products[],2)</f>
        <v>Smart Home WiFi Camera</v>
      </c>
      <c r="J484" s="24">
        <f>Sales[Total_Amount]</f>
        <v>339.4246</v>
      </c>
      <c r="K484" s="21" t="str">
        <f t="shared" si="1"/>
        <v>Sep</v>
      </c>
      <c r="L484" s="21">
        <f t="shared" si="2"/>
        <v>2025</v>
      </c>
      <c r="N484" s="33"/>
      <c r="O484" s="34"/>
    </row>
    <row r="485" ht="22.5" customHeight="1">
      <c r="A485" s="21" t="s">
        <v>2450</v>
      </c>
      <c r="B485" s="21" t="s">
        <v>1212</v>
      </c>
      <c r="C485" s="21" t="str">
        <f t="array" ref="C485">XLOOKUP(B485,Customer[Customer_ID],Customer[Name(Cleaned)])</f>
        <v>Kristine Higgins</v>
      </c>
      <c r="D485" s="22" t="str">
        <f>VLOOKUP(B485,Customer[#ALL],6)</f>
        <v>Male</v>
      </c>
      <c r="E485" s="23">
        <f>Sales[Order_Date]</f>
        <v>45243</v>
      </c>
      <c r="F485" s="21" t="str">
        <f>Sales[Store_ID]</f>
        <v>STORE19</v>
      </c>
      <c r="G485" s="21" t="str">
        <f t="array" ref="G485">INDEX(Store[Store_Name],MATCH(F485,Store[Store_ID],0))</f>
        <v>Mann-Austin</v>
      </c>
      <c r="H485" s="21" t="str">
        <f>Sales[Product_ID]</f>
        <v>PROD73</v>
      </c>
      <c r="I485" s="21" t="str">
        <f>VLOOKUP(H485,Products[],2)</f>
        <v>Shin Guards – Adult</v>
      </c>
      <c r="J485" s="24">
        <f>Sales[Total_Amount]</f>
        <v>172.7667</v>
      </c>
      <c r="K485" s="21" t="str">
        <f t="shared" si="1"/>
        <v>Nov</v>
      </c>
      <c r="L485" s="21">
        <f t="shared" si="2"/>
        <v>2023</v>
      </c>
      <c r="N485" s="33"/>
      <c r="O485" s="34"/>
    </row>
    <row r="486" ht="22.5" customHeight="1">
      <c r="A486" s="21" t="s">
        <v>2451</v>
      </c>
      <c r="B486" s="21" t="s">
        <v>152</v>
      </c>
      <c r="C486" s="21" t="str">
        <f t="array" ref="C486">XLOOKUP(B486,Customer[Customer_ID],Customer[Name(Cleaned)])</f>
        <v>Thomas Phillips</v>
      </c>
      <c r="D486" s="22" t="str">
        <f>VLOOKUP(B486,Customer[#ALL],6)</f>
        <v>Male</v>
      </c>
      <c r="E486" s="23">
        <f>Sales[Order_Date]</f>
        <v>45686</v>
      </c>
      <c r="F486" s="21" t="str">
        <f>Sales[Store_ID]</f>
        <v>STORE1</v>
      </c>
      <c r="G486" s="21" t="str">
        <f t="array" ref="G486">INDEX(Store[Store_Name],MATCH(F486,Store[Store_ID],0))</f>
        <v>Martinez, Adkins and Johnson</v>
      </c>
      <c r="H486" s="21" t="str">
        <f>Sales[Product_ID]</f>
        <v>PROD40</v>
      </c>
      <c r="I486" s="21" t="str">
        <f>VLOOKUP(H486,Products[],2)</f>
        <v>Noise-Canceling Headphones</v>
      </c>
      <c r="J486" s="24">
        <f>Sales[Total_Amount]</f>
        <v>1974.2418</v>
      </c>
      <c r="K486" s="21" t="str">
        <f t="shared" si="1"/>
        <v>Jan</v>
      </c>
      <c r="L486" s="21">
        <f t="shared" si="2"/>
        <v>2025</v>
      </c>
      <c r="N486" s="33"/>
      <c r="O486" s="34"/>
    </row>
    <row r="487" ht="22.5" customHeight="1">
      <c r="A487" s="21" t="s">
        <v>2452</v>
      </c>
      <c r="B487" s="21" t="s">
        <v>794</v>
      </c>
      <c r="C487" s="21" t="str">
        <f t="array" ref="C487">XLOOKUP(B487,Customer[Customer_ID],Customer[Name(Cleaned)])</f>
        <v>Brian Hammond</v>
      </c>
      <c r="D487" s="22" t="str">
        <f>VLOOKUP(B487,Customer[#ALL],6)</f>
        <v>Male</v>
      </c>
      <c r="E487" s="23">
        <f>Sales[Order_Date]</f>
        <v>45472</v>
      </c>
      <c r="F487" s="21" t="str">
        <f>Sales[Store_ID]</f>
        <v>STORE12</v>
      </c>
      <c r="G487" s="21" t="str">
        <f t="array" ref="G487">INDEX(Store[Store_Name],MATCH(F487,Store[Store_ID],0))</f>
        <v>Thomas, Bridges and Harris</v>
      </c>
      <c r="H487" s="21" t="str">
        <f>Sales[Product_ID]</f>
        <v>PROD32</v>
      </c>
      <c r="I487" s="21" t="str">
        <f>VLOOKUP(H487,Products[],2)</f>
        <v>Vitamin C Face Serum</v>
      </c>
      <c r="J487" s="24">
        <f>Sales[Total_Amount]</f>
        <v>971.392</v>
      </c>
      <c r="K487" s="21" t="str">
        <f t="shared" si="1"/>
        <v>Jun</v>
      </c>
      <c r="L487" s="21">
        <f t="shared" si="2"/>
        <v>2024</v>
      </c>
      <c r="N487" s="33"/>
      <c r="O487" s="34"/>
    </row>
    <row r="488" ht="22.5" customHeight="1">
      <c r="A488" s="21" t="s">
        <v>2453</v>
      </c>
      <c r="B488" s="21" t="s">
        <v>1387</v>
      </c>
      <c r="C488" s="21" t="str">
        <f t="array" ref="C488">XLOOKUP(B488,Customer[Customer_ID],Customer[Name(Cleaned)])</f>
        <v>Adam Castro</v>
      </c>
      <c r="D488" s="22" t="str">
        <f>VLOOKUP(B488,Customer[#ALL],6)</f>
        <v>Female</v>
      </c>
      <c r="E488" s="23">
        <f>Sales[Order_Date]</f>
        <v>45779</v>
      </c>
      <c r="F488" s="21" t="str">
        <f>Sales[Store_ID]</f>
        <v>STORE0</v>
      </c>
      <c r="G488" s="21" t="str">
        <f t="array" ref="G488">INDEX(Store[Store_Name],MATCH(F488,Store[Store_ID],0))</f>
        <v>Rivera-Warner</v>
      </c>
      <c r="H488" s="21" t="str">
        <f>Sales[Product_ID]</f>
        <v>PROD27</v>
      </c>
      <c r="I488" s="21" t="str">
        <f>VLOOKUP(H488,Products[],2)</f>
        <v>Decorative Floor Vase</v>
      </c>
      <c r="J488" s="24">
        <f>Sales[Total_Amount]</f>
        <v>519.1533</v>
      </c>
      <c r="K488" s="21" t="str">
        <f t="shared" si="1"/>
        <v>May</v>
      </c>
      <c r="L488" s="21">
        <f t="shared" si="2"/>
        <v>2025</v>
      </c>
      <c r="N488" s="33"/>
      <c r="O488" s="34"/>
    </row>
    <row r="489" ht="22.5" customHeight="1">
      <c r="A489" s="21" t="s">
        <v>2454</v>
      </c>
      <c r="B489" s="21" t="s">
        <v>588</v>
      </c>
      <c r="C489" s="21" t="str">
        <f t="array" ref="C489">XLOOKUP(B489,Customer[Customer_ID],Customer[Name(Cleaned)])</f>
        <v>Maria Davis</v>
      </c>
      <c r="D489" s="22" t="str">
        <f>VLOOKUP(B489,Customer[#ALL],6)</f>
        <v>Male</v>
      </c>
      <c r="E489" s="23">
        <f>Sales[Order_Date]</f>
        <v>45830</v>
      </c>
      <c r="F489" s="21" t="str">
        <f>Sales[Store_ID]</f>
        <v>STORE10</v>
      </c>
      <c r="G489" s="21" t="str">
        <f t="array" ref="G489">INDEX(Store[Store_Name],MATCH(F489,Store[Store_ID],0))</f>
        <v>Hill, Wagner and Ballard</v>
      </c>
      <c r="H489" s="21" t="str">
        <f>Sales[Product_ID]</f>
        <v>PROD86</v>
      </c>
      <c r="I489" s="21" t="str">
        <f>VLOOKUP(H489,Products[],2)</f>
        <v>Kitchen Cutting Board</v>
      </c>
      <c r="J489" s="24">
        <f>Sales[Total_Amount]</f>
        <v>953.55</v>
      </c>
      <c r="K489" s="21" t="str">
        <f t="shared" si="1"/>
        <v>Jun</v>
      </c>
      <c r="L489" s="21">
        <f t="shared" si="2"/>
        <v>2025</v>
      </c>
      <c r="N489" s="33"/>
      <c r="O489" s="34"/>
    </row>
    <row r="490" ht="22.5" customHeight="1">
      <c r="A490" s="21" t="s">
        <v>2455</v>
      </c>
      <c r="B490" s="21" t="s">
        <v>1438</v>
      </c>
      <c r="C490" s="21" t="str">
        <f t="array" ref="C490">XLOOKUP(B490,Customer[Customer_ID],Customer[Name(Cleaned)])</f>
        <v>Paul Cox</v>
      </c>
      <c r="D490" s="22" t="str">
        <f>VLOOKUP(B490,Customer[#ALL],6)</f>
        <v>Male</v>
      </c>
      <c r="E490" s="23">
        <f>Sales[Order_Date]</f>
        <v>45756</v>
      </c>
      <c r="F490" s="21" t="str">
        <f>Sales[Store_ID]</f>
        <v>STORE1</v>
      </c>
      <c r="G490" s="21" t="str">
        <f t="array" ref="G490">INDEX(Store[Store_Name],MATCH(F490,Store[Store_ID],0))</f>
        <v>Martinez, Adkins and Johnson</v>
      </c>
      <c r="H490" s="21" t="str">
        <f>Sales[Product_ID]</f>
        <v>PROD66</v>
      </c>
      <c r="I490" s="21" t="str">
        <f>VLOOKUP(H490,Products[],2)</f>
        <v>Women's Hair Dryer Brush</v>
      </c>
      <c r="J490" s="24">
        <f>Sales[Total_Amount]</f>
        <v>165.8447</v>
      </c>
      <c r="K490" s="21" t="str">
        <f t="shared" si="1"/>
        <v>Apr</v>
      </c>
      <c r="L490" s="21">
        <f t="shared" si="2"/>
        <v>2025</v>
      </c>
      <c r="N490" s="33"/>
      <c r="O490" s="34"/>
    </row>
    <row r="491" ht="22.5" customHeight="1">
      <c r="A491" s="21" t="s">
        <v>2456</v>
      </c>
      <c r="B491" s="21" t="s">
        <v>395</v>
      </c>
      <c r="C491" s="21" t="str">
        <f t="array" ref="C491">XLOOKUP(B491,Customer[Customer_ID],Customer[Name(Cleaned)])</f>
        <v>Ashley Griffin</v>
      </c>
      <c r="D491" s="22" t="str">
        <f>VLOOKUP(B491,Customer[#ALL],6)</f>
        <v>Male</v>
      </c>
      <c r="E491" s="23">
        <f>Sales[Order_Date]</f>
        <v>45847</v>
      </c>
      <c r="F491" s="21" t="str">
        <f>Sales[Store_ID]</f>
        <v>STORE10</v>
      </c>
      <c r="G491" s="21" t="str">
        <f t="array" ref="G491">INDEX(Store[Store_Name],MATCH(F491,Store[Store_ID],0))</f>
        <v>Hill, Wagner and Ballard</v>
      </c>
      <c r="H491" s="21" t="str">
        <f>Sales[Product_ID]</f>
        <v>PROD99</v>
      </c>
      <c r="I491" s="21" t="str">
        <f>VLOOKUP(H491,Products[],2)</f>
        <v>Stainless Steel Cookware Set</v>
      </c>
      <c r="J491" s="24">
        <f>Sales[Total_Amount]</f>
        <v>297.2892</v>
      </c>
      <c r="K491" s="21" t="str">
        <f t="shared" si="1"/>
        <v>Jul</v>
      </c>
      <c r="L491" s="21">
        <f t="shared" si="2"/>
        <v>2025</v>
      </c>
      <c r="N491" s="33"/>
      <c r="O491" s="34"/>
    </row>
    <row r="492" ht="22.5" customHeight="1">
      <c r="A492" s="21" t="s">
        <v>2457</v>
      </c>
      <c r="B492" s="21" t="s">
        <v>938</v>
      </c>
      <c r="C492" s="21" t="str">
        <f t="array" ref="C492">XLOOKUP(B492,Customer[Customer_ID],Customer[Name(Cleaned)])</f>
        <v>James Powell</v>
      </c>
      <c r="D492" s="22" t="str">
        <f>VLOOKUP(B492,Customer[#ALL],6)</f>
        <v>Male</v>
      </c>
      <c r="E492" s="23">
        <f>Sales[Order_Date]</f>
        <v>45322</v>
      </c>
      <c r="F492" s="21" t="str">
        <f>Sales[Store_ID]</f>
        <v>STORE7</v>
      </c>
      <c r="G492" s="21" t="str">
        <f t="array" ref="G492">INDEX(Store[Store_Name],MATCH(F492,Store[Store_ID],0))</f>
        <v>Martinez-Mullins</v>
      </c>
      <c r="H492" s="21" t="str">
        <f>Sales[Product_ID]</f>
        <v>PROD93</v>
      </c>
      <c r="I492" s="21" t="str">
        <f>VLOOKUP(H492,Products[],2)</f>
        <v>USB-C Laptop Charger</v>
      </c>
      <c r="J492" s="24">
        <f>Sales[Total_Amount]</f>
        <v>1523.124</v>
      </c>
      <c r="K492" s="21" t="str">
        <f t="shared" si="1"/>
        <v>Jan</v>
      </c>
      <c r="L492" s="21">
        <f t="shared" si="2"/>
        <v>2024</v>
      </c>
      <c r="N492" s="33"/>
      <c r="O492" s="34"/>
    </row>
    <row r="493" ht="22.5" customHeight="1">
      <c r="A493" s="21" t="s">
        <v>2458</v>
      </c>
      <c r="B493" s="21" t="s">
        <v>1365</v>
      </c>
      <c r="C493" s="21" t="str">
        <f t="array" ref="C493">XLOOKUP(B493,Customer[Customer_ID],Customer[Name(Cleaned)])</f>
        <v>Lindsay Beasley</v>
      </c>
      <c r="D493" s="22" t="str">
        <f>VLOOKUP(B493,Customer[#ALL],6)</f>
        <v>Male</v>
      </c>
      <c r="E493" s="23">
        <f>Sales[Order_Date]</f>
        <v>45448</v>
      </c>
      <c r="F493" s="21" t="str">
        <f>Sales[Store_ID]</f>
        <v>STORE8</v>
      </c>
      <c r="G493" s="21" t="str">
        <f t="array" ref="G493">INDEX(Store[Store_Name],MATCH(F493,Store[Store_ID],0))</f>
        <v>Bean, Jones and Park</v>
      </c>
      <c r="H493" s="21" t="str">
        <f>Sales[Product_ID]</f>
        <v>PROD36</v>
      </c>
      <c r="I493" s="21" t="str">
        <f>VLOOKUP(H493,Products[],2)</f>
        <v>Women's Summer Dress</v>
      </c>
      <c r="J493" s="24">
        <f>Sales[Total_Amount]</f>
        <v>540.9072</v>
      </c>
      <c r="K493" s="21" t="str">
        <f t="shared" si="1"/>
        <v>Jun</v>
      </c>
      <c r="L493" s="21">
        <f t="shared" si="2"/>
        <v>2024</v>
      </c>
      <c r="N493" s="33"/>
      <c r="O493" s="34"/>
    </row>
    <row r="494" ht="22.5" customHeight="1">
      <c r="A494" s="21" t="s">
        <v>2459</v>
      </c>
      <c r="B494" s="21" t="s">
        <v>1125</v>
      </c>
      <c r="C494" s="21" t="str">
        <f t="array" ref="C494">XLOOKUP(B494,Customer[Customer_ID],Customer[Name(Cleaned)])</f>
        <v>Ryan Torres</v>
      </c>
      <c r="D494" s="22" t="str">
        <f>VLOOKUP(B494,Customer[#ALL],6)</f>
        <v>Female</v>
      </c>
      <c r="E494" s="23">
        <f>Sales[Order_Date]</f>
        <v>45829</v>
      </c>
      <c r="F494" s="21" t="str">
        <f>Sales[Store_ID]</f>
        <v>STORE14</v>
      </c>
      <c r="G494" s="21" t="str">
        <f t="array" ref="G494">INDEX(Store[Store_Name],MATCH(F494,Store[Store_ID],0))</f>
        <v>Mcdonald Inc</v>
      </c>
      <c r="H494" s="21" t="str">
        <f>Sales[Product_ID]</f>
        <v>PROD70</v>
      </c>
      <c r="I494" s="21" t="str">
        <f>VLOOKUP(H494,Products[],2)</f>
        <v>Kitchen Storage Rack</v>
      </c>
      <c r="J494" s="24">
        <f>Sales[Total_Amount]</f>
        <v>730.1916</v>
      </c>
      <c r="K494" s="21" t="str">
        <f t="shared" si="1"/>
        <v>Jun</v>
      </c>
      <c r="L494" s="21">
        <f t="shared" si="2"/>
        <v>2025</v>
      </c>
      <c r="N494" s="33"/>
      <c r="O494" s="34"/>
    </row>
    <row r="495" ht="22.5" customHeight="1">
      <c r="A495" s="21" t="s">
        <v>2460</v>
      </c>
      <c r="B495" s="21" t="s">
        <v>839</v>
      </c>
      <c r="C495" s="21" t="str">
        <f t="array" ref="C495">XLOOKUP(B495,Customer[Customer_ID],Customer[Name(Cleaned)])</f>
        <v>Sarah Stewart</v>
      </c>
      <c r="D495" s="22" t="str">
        <f>VLOOKUP(B495,Customer[#ALL],6)</f>
        <v>Male</v>
      </c>
      <c r="E495" s="23">
        <f>Sales[Order_Date]</f>
        <v>45539</v>
      </c>
      <c r="F495" s="21" t="str">
        <f>Sales[Store_ID]</f>
        <v>STORE14</v>
      </c>
      <c r="G495" s="21" t="str">
        <f t="array" ref="G495">INDEX(Store[Store_Name],MATCH(F495,Store[Store_ID],0))</f>
        <v>Mcdonald Inc</v>
      </c>
      <c r="H495" s="21" t="str">
        <f>Sales[Product_ID]</f>
        <v>PROD88</v>
      </c>
      <c r="I495" s="21" t="str">
        <f>VLOOKUP(H495,Products[],2)</f>
        <v>Sports Wrist Sweatbands</v>
      </c>
      <c r="J495" s="24">
        <f>Sales[Total_Amount]</f>
        <v>1657.5456</v>
      </c>
      <c r="K495" s="21" t="str">
        <f t="shared" si="1"/>
        <v>Sep</v>
      </c>
      <c r="L495" s="21">
        <f t="shared" si="2"/>
        <v>2024</v>
      </c>
      <c r="N495" s="33"/>
      <c r="O495" s="34"/>
    </row>
    <row r="496" ht="22.5" customHeight="1">
      <c r="A496" s="21" t="s">
        <v>2461</v>
      </c>
      <c r="B496" s="21" t="s">
        <v>534</v>
      </c>
      <c r="C496" s="21" t="str">
        <f t="array" ref="C496">XLOOKUP(B496,Customer[Customer_ID],Customer[Name(Cleaned)])</f>
        <v>Maria Sanchez</v>
      </c>
      <c r="D496" s="22" t="str">
        <f>VLOOKUP(B496,Customer[#ALL],6)</f>
        <v>Female</v>
      </c>
      <c r="E496" s="23">
        <f>Sales[Order_Date]</f>
        <v>45893</v>
      </c>
      <c r="F496" s="21" t="str">
        <f>Sales[Store_ID]</f>
        <v>STORE9</v>
      </c>
      <c r="G496" s="21" t="str">
        <f t="array" ref="G496">INDEX(Store[Store_Name],MATCH(F496,Store[Store_ID],0))</f>
        <v>Moore, Padilla and Butler</v>
      </c>
      <c r="H496" s="21" t="str">
        <f>Sales[Product_ID]</f>
        <v>PROD26</v>
      </c>
      <c r="I496" s="21" t="str">
        <f>VLOOKUP(H496,Products[],2)</f>
        <v>Wireless Bluetooth Speaker</v>
      </c>
      <c r="J496" s="24">
        <f>Sales[Total_Amount]</f>
        <v>3228.876</v>
      </c>
      <c r="K496" s="21" t="str">
        <f t="shared" si="1"/>
        <v>Aug</v>
      </c>
      <c r="L496" s="21">
        <f t="shared" si="2"/>
        <v>2025</v>
      </c>
      <c r="N496" s="33"/>
      <c r="O496" s="34"/>
    </row>
    <row r="497" ht="22.5" customHeight="1">
      <c r="A497" s="21" t="s">
        <v>2462</v>
      </c>
      <c r="B497" s="21" t="s">
        <v>1508</v>
      </c>
      <c r="C497" s="21" t="str">
        <f t="array" ref="C497">XLOOKUP(B497,Customer[Customer_ID],Customer[Name(Cleaned)])</f>
        <v>Sara Ingram</v>
      </c>
      <c r="D497" s="22" t="str">
        <f>VLOOKUP(B497,Customer[#ALL],6)</f>
        <v>Male</v>
      </c>
      <c r="E497" s="23">
        <f>Sales[Order_Date]</f>
        <v>45814</v>
      </c>
      <c r="F497" s="21" t="str">
        <f>Sales[Store_ID]</f>
        <v>STORE10</v>
      </c>
      <c r="G497" s="21" t="str">
        <f t="array" ref="G497">INDEX(Store[Store_Name],MATCH(F497,Store[Store_ID],0))</f>
        <v>Hill, Wagner and Ballard</v>
      </c>
      <c r="H497" s="21" t="str">
        <f>Sales[Product_ID]</f>
        <v>PROD97</v>
      </c>
      <c r="I497" s="21" t="str">
        <f>VLOOKUP(H497,Products[],2)</f>
        <v>Cricket Bat</v>
      </c>
      <c r="J497" s="24">
        <f>Sales[Total_Amount]</f>
        <v>1426.698</v>
      </c>
      <c r="K497" s="21" t="str">
        <f t="shared" si="1"/>
        <v>Jun</v>
      </c>
      <c r="L497" s="21">
        <f t="shared" si="2"/>
        <v>2025</v>
      </c>
      <c r="N497" s="33"/>
      <c r="O497" s="34"/>
    </row>
    <row r="498" ht="22.5" customHeight="1">
      <c r="A498" s="21" t="s">
        <v>2463</v>
      </c>
      <c r="B498" s="21" t="s">
        <v>82</v>
      </c>
      <c r="C498" s="21" t="str">
        <f t="array" ref="C498">XLOOKUP(B498,Customer[Customer_ID],Customer[Name(Cleaned)])</f>
        <v>John Scott</v>
      </c>
      <c r="D498" s="22" t="str">
        <f>VLOOKUP(B498,Customer[#ALL],6)</f>
        <v>Male</v>
      </c>
      <c r="E498" s="23">
        <f>Sales[Order_Date]</f>
        <v>45571</v>
      </c>
      <c r="F498" s="21" t="str">
        <f>Sales[Store_ID]</f>
        <v>STORE16</v>
      </c>
      <c r="G498" s="21" t="str">
        <f t="array" ref="G498">INDEX(Store[Store_Name],MATCH(F498,Store[Store_ID],0))</f>
        <v>Frederick-Wright</v>
      </c>
      <c r="H498" s="21" t="str">
        <f>Sales[Product_ID]</f>
        <v>PROD80</v>
      </c>
      <c r="I498" s="21" t="str">
        <f>VLOOKUP(H498,Products[],2)</f>
        <v>Wall-Mounted Spice Rack</v>
      </c>
      <c r="J498" s="24">
        <f>Sales[Total_Amount]</f>
        <v>1450.89</v>
      </c>
      <c r="K498" s="21" t="str">
        <f t="shared" si="1"/>
        <v>Oct</v>
      </c>
      <c r="L498" s="21">
        <f t="shared" si="2"/>
        <v>2024</v>
      </c>
      <c r="N498" s="33"/>
      <c r="O498" s="34"/>
    </row>
    <row r="499" ht="22.5" customHeight="1">
      <c r="A499" s="21" t="s">
        <v>2464</v>
      </c>
      <c r="B499" s="21" t="s">
        <v>132</v>
      </c>
      <c r="C499" s="21" t="str">
        <f t="array" ref="C499">XLOOKUP(B499,Customer[Customer_ID],Customer[Name(Cleaned)])</f>
        <v>Jessica Acevedo</v>
      </c>
      <c r="D499" s="22" t="str">
        <f>VLOOKUP(B499,Customer[#ALL],6)</f>
        <v>Male</v>
      </c>
      <c r="E499" s="23">
        <f>Sales[Order_Date]</f>
        <v>45542</v>
      </c>
      <c r="F499" s="21" t="str">
        <f>Sales[Store_ID]</f>
        <v>STORE0</v>
      </c>
      <c r="G499" s="21" t="str">
        <f t="array" ref="G499">INDEX(Store[Store_Name],MATCH(F499,Store[Store_ID],0))</f>
        <v>Rivera-Warner</v>
      </c>
      <c r="H499" s="21" t="str">
        <f>Sales[Product_ID]</f>
        <v>PROD39</v>
      </c>
      <c r="I499" s="21" t="str">
        <f>VLOOKUP(H499,Products[],2)</f>
        <v>Portable Power Bank</v>
      </c>
      <c r="J499" s="24">
        <f>Sales[Total_Amount]</f>
        <v>360.8556</v>
      </c>
      <c r="K499" s="21" t="str">
        <f t="shared" si="1"/>
        <v>Sep</v>
      </c>
      <c r="L499" s="21">
        <f t="shared" si="2"/>
        <v>2024</v>
      </c>
      <c r="N499" s="33"/>
      <c r="O499" s="34"/>
    </row>
    <row r="500" ht="22.5" customHeight="1">
      <c r="A500" s="21" t="s">
        <v>2465</v>
      </c>
      <c r="B500" s="21" t="s">
        <v>410</v>
      </c>
      <c r="C500" s="21" t="str">
        <f t="array" ref="C500">XLOOKUP(B500,Customer[Customer_ID],Customer[Name(Cleaned)])</f>
        <v>Tyler Conrad</v>
      </c>
      <c r="D500" s="22" t="str">
        <f>VLOOKUP(B500,Customer[#ALL],6)</f>
        <v>Male</v>
      </c>
      <c r="E500" s="23">
        <f>Sales[Order_Date]</f>
        <v>45758</v>
      </c>
      <c r="F500" s="21" t="str">
        <f>Sales[Store_ID]</f>
        <v>STORE15</v>
      </c>
      <c r="G500" s="21" t="str">
        <f t="array" ref="G500">INDEX(Store[Store_Name],MATCH(F500,Store[Store_ID],0))</f>
        <v>Shelton PLC</v>
      </c>
      <c r="H500" s="21" t="str">
        <f>Sales[Product_ID]</f>
        <v>PROD2</v>
      </c>
      <c r="I500" s="21" t="str">
        <f>VLOOKUP(H500,Products[],2)</f>
        <v>Knee Support Brace</v>
      </c>
      <c r="J500" s="24">
        <f>Sales[Total_Amount]</f>
        <v>1972.92</v>
      </c>
      <c r="K500" s="21" t="str">
        <f t="shared" si="1"/>
        <v>Apr</v>
      </c>
      <c r="L500" s="21">
        <f t="shared" si="2"/>
        <v>2025</v>
      </c>
      <c r="N500" s="33"/>
      <c r="O500" s="34"/>
    </row>
    <row r="501" ht="22.5" customHeight="1">
      <c r="A501" s="21" t="s">
        <v>2466</v>
      </c>
      <c r="B501" s="21" t="s">
        <v>263</v>
      </c>
      <c r="C501" s="21" t="str">
        <f t="array" ref="C501">XLOOKUP(B501,Customer[Customer_ID],Customer[Name(Cleaned)])</f>
        <v>Roy Cole</v>
      </c>
      <c r="D501" s="22" t="str">
        <f>VLOOKUP(B501,Customer[#ALL],6)</f>
        <v>Male</v>
      </c>
      <c r="E501" s="23">
        <f>Sales[Order_Date]</f>
        <v>45709</v>
      </c>
      <c r="F501" s="21" t="str">
        <f>Sales[Store_ID]</f>
        <v>STORE18</v>
      </c>
      <c r="G501" s="21" t="str">
        <f t="array" ref="G501">INDEX(Store[Store_Name],MATCH(F501,Store[Store_ID],0))</f>
        <v>Guerrero-Schmitt</v>
      </c>
      <c r="H501" s="21" t="str">
        <f>Sales[Product_ID]</f>
        <v>PROD31</v>
      </c>
      <c r="I501" s="21" t="str">
        <f>VLOOKUP(H501,Products[],2)</f>
        <v>Basketball</v>
      </c>
      <c r="J501" s="24">
        <f>Sales[Total_Amount]</f>
        <v>86.2854</v>
      </c>
      <c r="K501" s="21" t="str">
        <f t="shared" si="1"/>
        <v>Feb</v>
      </c>
      <c r="L501" s="21">
        <f t="shared" si="2"/>
        <v>2025</v>
      </c>
      <c r="N501" s="33"/>
      <c r="O501" s="34"/>
    </row>
    <row r="502" ht="22.5" customHeight="1">
      <c r="A502" s="21" t="s">
        <v>2467</v>
      </c>
      <c r="B502" s="21" t="s">
        <v>422</v>
      </c>
      <c r="C502" s="21" t="str">
        <f t="array" ref="C502">XLOOKUP(B502,Customer[Customer_ID],Customer[Name(Cleaned)])</f>
        <v>Michael Jones</v>
      </c>
      <c r="D502" s="22" t="str">
        <f>VLOOKUP(B502,Customer[#ALL],6)</f>
        <v>Female</v>
      </c>
      <c r="E502" s="23">
        <f>Sales[Order_Date]</f>
        <v>45587</v>
      </c>
      <c r="F502" s="21" t="str">
        <f>Sales[Store_ID]</f>
        <v>STORE8</v>
      </c>
      <c r="G502" s="21" t="str">
        <f t="array" ref="G502">INDEX(Store[Store_Name],MATCH(F502,Store[Store_ID],0))</f>
        <v>Bean, Jones and Park</v>
      </c>
      <c r="H502" s="21" t="str">
        <f>Sales[Product_ID]</f>
        <v>PROD82</v>
      </c>
      <c r="I502" s="21" t="str">
        <f>VLOOKUP(H502,Products[],2)</f>
        <v>Fitness Resistance Bands</v>
      </c>
      <c r="J502" s="24">
        <f>Sales[Total_Amount]</f>
        <v>2748.2224</v>
      </c>
      <c r="K502" s="21" t="str">
        <f t="shared" si="1"/>
        <v>Oct</v>
      </c>
      <c r="L502" s="21">
        <f t="shared" si="2"/>
        <v>2024</v>
      </c>
      <c r="N502" s="33"/>
      <c r="O502" s="34"/>
    </row>
    <row r="503" ht="22.5" customHeight="1">
      <c r="A503" s="21" t="s">
        <v>2468</v>
      </c>
      <c r="B503" s="21" t="s">
        <v>730</v>
      </c>
      <c r="C503" s="21" t="str">
        <f t="array" ref="C503">XLOOKUP(B503,Customer[Customer_ID],Customer[Name(Cleaned)])</f>
        <v>Lisa Young</v>
      </c>
      <c r="D503" s="22" t="str">
        <f>VLOOKUP(B503,Customer[#ALL],6)</f>
        <v>Female</v>
      </c>
      <c r="E503" s="23">
        <f>Sales[Order_Date]</f>
        <v>45494</v>
      </c>
      <c r="F503" s="21" t="str">
        <f>Sales[Store_ID]</f>
        <v>STORE7</v>
      </c>
      <c r="G503" s="21" t="str">
        <f t="array" ref="G503">INDEX(Store[Store_Name],MATCH(F503,Store[Store_ID],0))</f>
        <v>Martinez-Mullins</v>
      </c>
      <c r="H503" s="21" t="str">
        <f>Sales[Product_ID]</f>
        <v>PROD10</v>
      </c>
      <c r="I503" s="21" t="str">
        <f>VLOOKUP(H503,Products[],2)</f>
        <v>Men's Graphic T-Shirt</v>
      </c>
      <c r="J503" s="24">
        <f>Sales[Total_Amount]</f>
        <v>272.6218</v>
      </c>
      <c r="K503" s="21" t="str">
        <f t="shared" si="1"/>
        <v>Jul</v>
      </c>
      <c r="L503" s="21">
        <f t="shared" si="2"/>
        <v>2024</v>
      </c>
      <c r="N503" s="33"/>
      <c r="O503" s="34"/>
    </row>
    <row r="504" ht="22.5" customHeight="1">
      <c r="A504" s="21" t="s">
        <v>2469</v>
      </c>
      <c r="B504" s="21" t="s">
        <v>1433</v>
      </c>
      <c r="C504" s="21" t="str">
        <f t="array" ref="C504">XLOOKUP(B504,Customer[Customer_ID],Customer[Name(Cleaned)])</f>
        <v>John Perez</v>
      </c>
      <c r="D504" s="22" t="str">
        <f>VLOOKUP(B504,Customer[#ALL],6)</f>
        <v>Male</v>
      </c>
      <c r="E504" s="23">
        <f>Sales[Order_Date]</f>
        <v>45522</v>
      </c>
      <c r="F504" s="21" t="str">
        <f>Sales[Store_ID]</f>
        <v>STORE15</v>
      </c>
      <c r="G504" s="21" t="str">
        <f t="array" ref="G504">INDEX(Store[Store_Name],MATCH(F504,Store[Store_ID],0))</f>
        <v>Shelton PLC</v>
      </c>
      <c r="H504" s="21" t="str">
        <f>Sales[Product_ID]</f>
        <v>PROD54</v>
      </c>
      <c r="I504" s="21" t="str">
        <f>VLOOKUP(H504,Products[],2)</f>
        <v>Sports Stopwatch Pro</v>
      </c>
      <c r="J504" s="24">
        <f>Sales[Total_Amount]</f>
        <v>977.0488</v>
      </c>
      <c r="K504" s="21" t="str">
        <f t="shared" si="1"/>
        <v>Aug</v>
      </c>
      <c r="L504" s="21">
        <f t="shared" si="2"/>
        <v>2024</v>
      </c>
      <c r="N504" s="33"/>
      <c r="O504" s="34"/>
    </row>
    <row r="505" ht="22.5" customHeight="1">
      <c r="A505" s="21" t="s">
        <v>2470</v>
      </c>
      <c r="B505" s="21" t="s">
        <v>1413</v>
      </c>
      <c r="C505" s="21" t="str">
        <f t="array" ref="C505">XLOOKUP(B505,Customer[Customer_ID],Customer[Name(Cleaned)])</f>
        <v>Jeffery Wolf</v>
      </c>
      <c r="D505" s="22" t="str">
        <f>VLOOKUP(B505,Customer[#ALL],6)</f>
        <v>Male</v>
      </c>
      <c r="E505" s="23">
        <f>Sales[Order_Date]</f>
        <v>45305</v>
      </c>
      <c r="F505" s="21" t="str">
        <f>Sales[Store_ID]</f>
        <v>STORE7</v>
      </c>
      <c r="G505" s="21" t="str">
        <f t="array" ref="G505">INDEX(Store[Store_Name],MATCH(F505,Store[Store_ID],0))</f>
        <v>Martinez-Mullins</v>
      </c>
      <c r="H505" s="21" t="str">
        <f>Sales[Product_ID]</f>
        <v>PROD9</v>
      </c>
      <c r="I505" s="21" t="str">
        <f>VLOOKUP(H505,Products[],2)</f>
        <v>Face Foundation Kit</v>
      </c>
      <c r="J505" s="24">
        <f>Sales[Total_Amount]</f>
        <v>426.1224</v>
      </c>
      <c r="K505" s="21" t="str">
        <f t="shared" si="1"/>
        <v>Jan</v>
      </c>
      <c r="L505" s="21">
        <f t="shared" si="2"/>
        <v>2024</v>
      </c>
      <c r="N505" s="33"/>
      <c r="O505" s="34"/>
    </row>
    <row r="506" ht="22.5" customHeight="1">
      <c r="A506" s="21" t="s">
        <v>2471</v>
      </c>
      <c r="B506" s="21" t="s">
        <v>39</v>
      </c>
      <c r="C506" s="21" t="str">
        <f t="array" ref="C506">XLOOKUP(B506,Customer[Customer_ID],Customer[Name(Cleaned)])</f>
        <v>Christine Vaughn</v>
      </c>
      <c r="D506" s="22" t="str">
        <f>VLOOKUP(B506,Customer[#ALL],6)</f>
        <v>Female</v>
      </c>
      <c r="E506" s="23">
        <f>Sales[Order_Date]</f>
        <v>45383</v>
      </c>
      <c r="F506" s="21" t="str">
        <f>Sales[Store_ID]</f>
        <v>STORE18</v>
      </c>
      <c r="G506" s="21" t="str">
        <f t="array" ref="G506">INDEX(Store[Store_Name],MATCH(F506,Store[Store_ID],0))</f>
        <v>Guerrero-Schmitt</v>
      </c>
      <c r="H506" s="21" t="str">
        <f>Sales[Product_ID]</f>
        <v>PROD35</v>
      </c>
      <c r="I506" s="21" t="str">
        <f>VLOOKUP(H506,Products[],2)</f>
        <v>Bedroom Table Lamp</v>
      </c>
      <c r="J506" s="24">
        <f>Sales[Total_Amount]</f>
        <v>799.1334</v>
      </c>
      <c r="K506" s="21" t="str">
        <f t="shared" si="1"/>
        <v>Apr</v>
      </c>
      <c r="L506" s="21">
        <f t="shared" si="2"/>
        <v>2024</v>
      </c>
      <c r="N506" s="33"/>
      <c r="O506" s="34"/>
    </row>
    <row r="507" ht="22.5" customHeight="1">
      <c r="A507" s="21" t="s">
        <v>2472</v>
      </c>
      <c r="B507" s="21" t="s">
        <v>392</v>
      </c>
      <c r="C507" s="21" t="str">
        <f t="array" ref="C507">XLOOKUP(B507,Customer[Customer_ID],Customer[Name(Cleaned)])</f>
        <v>Amy Walker</v>
      </c>
      <c r="D507" s="22" t="str">
        <f>VLOOKUP(B507,Customer[#ALL],6)</f>
        <v>Female</v>
      </c>
      <c r="E507" s="23">
        <f>Sales[Order_Date]</f>
        <v>45788</v>
      </c>
      <c r="F507" s="21" t="str">
        <f>Sales[Store_ID]</f>
        <v>STORE13</v>
      </c>
      <c r="G507" s="21" t="str">
        <f t="array" ref="G507">INDEX(Store[Store_Name],MATCH(F507,Store[Store_ID],0))</f>
        <v>Gardner, Humphrey and Contreras</v>
      </c>
      <c r="H507" s="21" t="str">
        <f>Sales[Product_ID]</f>
        <v>PROD98</v>
      </c>
      <c r="I507" s="21" t="str">
        <f>VLOOKUP(H507,Products[],2)</f>
        <v>Portable Bluetooth Speaker</v>
      </c>
      <c r="J507" s="24">
        <f>Sales[Total_Amount]</f>
        <v>2026.1829</v>
      </c>
      <c r="K507" s="21" t="str">
        <f t="shared" si="1"/>
        <v>May</v>
      </c>
      <c r="L507" s="21">
        <f t="shared" si="2"/>
        <v>2025</v>
      </c>
      <c r="N507" s="33"/>
      <c r="O507" s="34"/>
    </row>
    <row r="508" ht="22.5" customHeight="1">
      <c r="A508" s="21" t="s">
        <v>2473</v>
      </c>
      <c r="B508" s="21" t="s">
        <v>1465</v>
      </c>
      <c r="C508" s="21" t="str">
        <f t="array" ref="C508">XLOOKUP(B508,Customer[Customer_ID],Customer[Name(Cleaned)])</f>
        <v>Manuel Fisher</v>
      </c>
      <c r="D508" s="22" t="str">
        <f>VLOOKUP(B508,Customer[#ALL],6)</f>
        <v>Male</v>
      </c>
      <c r="E508" s="23">
        <f>Sales[Order_Date]</f>
        <v>45855</v>
      </c>
      <c r="F508" s="21" t="str">
        <f>Sales[Store_ID]</f>
        <v>STORE12</v>
      </c>
      <c r="G508" s="21" t="str">
        <f t="array" ref="G508">INDEX(Store[Store_Name],MATCH(F508,Store[Store_ID],0))</f>
        <v>Thomas, Bridges and Harris</v>
      </c>
      <c r="H508" s="21" t="str">
        <f>Sales[Product_ID]</f>
        <v>PROD56</v>
      </c>
      <c r="I508" s="21" t="str">
        <f>VLOOKUP(H508,Products[],2)</f>
        <v>Premium Blanket Throw</v>
      </c>
      <c r="J508" s="24">
        <f>Sales[Total_Amount]</f>
        <v>1395.6948</v>
      </c>
      <c r="K508" s="21" t="str">
        <f t="shared" si="1"/>
        <v>Jul</v>
      </c>
      <c r="L508" s="21">
        <f t="shared" si="2"/>
        <v>2025</v>
      </c>
      <c r="N508" s="33"/>
      <c r="O508" s="34"/>
    </row>
    <row r="509" ht="22.5" customHeight="1">
      <c r="A509" s="21" t="s">
        <v>2474</v>
      </c>
      <c r="B509" s="21" t="s">
        <v>1116</v>
      </c>
      <c r="C509" s="21" t="str">
        <f t="array" ref="C509">XLOOKUP(B509,Customer[Customer_ID],Customer[Name(Cleaned)])</f>
        <v>Jeffrey Mccarthy</v>
      </c>
      <c r="D509" s="22" t="str">
        <f>VLOOKUP(B509,Customer[#ALL],6)</f>
        <v>Male</v>
      </c>
      <c r="E509" s="23">
        <f>Sales[Order_Date]</f>
        <v>45533</v>
      </c>
      <c r="F509" s="21" t="str">
        <f>Sales[Store_ID]</f>
        <v>STORE17</v>
      </c>
      <c r="G509" s="21" t="str">
        <f t="array" ref="G509">INDEX(Store[Store_Name],MATCH(F509,Store[Store_ID],0))</f>
        <v>Holloway Ltd</v>
      </c>
      <c r="H509" s="21" t="str">
        <f>Sales[Product_ID]</f>
        <v>PROD96</v>
      </c>
      <c r="I509" s="21" t="str">
        <f>VLOOKUP(H509,Products[],2)</f>
        <v>Women's Formal Blazer</v>
      </c>
      <c r="J509" s="24">
        <f>Sales[Total_Amount]</f>
        <v>1583.0316</v>
      </c>
      <c r="K509" s="21" t="str">
        <f t="shared" si="1"/>
        <v>Aug</v>
      </c>
      <c r="L509" s="21">
        <f t="shared" si="2"/>
        <v>2024</v>
      </c>
      <c r="N509" s="33"/>
      <c r="O509" s="34"/>
    </row>
    <row r="510" ht="22.5" customHeight="1">
      <c r="A510" s="21" t="s">
        <v>2475</v>
      </c>
      <c r="B510" s="21" t="s">
        <v>773</v>
      </c>
      <c r="C510" s="21" t="str">
        <f t="array" ref="C510">XLOOKUP(B510,Customer[Customer_ID],Customer[Name(Cleaned)])</f>
        <v>Joshua Wilson</v>
      </c>
      <c r="D510" s="22" t="str">
        <f>VLOOKUP(B510,Customer[#ALL],6)</f>
        <v>Male</v>
      </c>
      <c r="E510" s="23">
        <f>Sales[Order_Date]</f>
        <v>45763</v>
      </c>
      <c r="F510" s="21" t="str">
        <f>Sales[Store_ID]</f>
        <v>STORE14</v>
      </c>
      <c r="G510" s="21" t="str">
        <f t="array" ref="G510">INDEX(Store[Store_Name],MATCH(F510,Store[Store_ID],0))</f>
        <v>Mcdonald Inc</v>
      </c>
      <c r="H510" s="21" t="str">
        <f>Sales[Product_ID]</f>
        <v>PROD16</v>
      </c>
      <c r="I510" s="21" t="str">
        <f>VLOOKUP(H510,Products[],2)</f>
        <v>Beard Grooming Kit</v>
      </c>
      <c r="J510" s="24">
        <f>Sales[Total_Amount]</f>
        <v>2801.768</v>
      </c>
      <c r="K510" s="21" t="str">
        <f t="shared" si="1"/>
        <v>Apr</v>
      </c>
      <c r="L510" s="21">
        <f t="shared" si="2"/>
        <v>2025</v>
      </c>
      <c r="N510" s="33"/>
      <c r="O510" s="34"/>
    </row>
    <row r="511" ht="22.5" customHeight="1">
      <c r="A511" s="21" t="s">
        <v>2476</v>
      </c>
      <c r="B511" s="21" t="s">
        <v>604</v>
      </c>
      <c r="C511" s="21" t="str">
        <f t="array" ref="C511">XLOOKUP(B511,Customer[Customer_ID],Customer[Name(Cleaned)])</f>
        <v>Nicholas Bradshaw</v>
      </c>
      <c r="D511" s="22" t="str">
        <f>VLOOKUP(B511,Customer[#ALL],6)</f>
        <v>Male</v>
      </c>
      <c r="E511" s="23">
        <f>Sales[Order_Date]</f>
        <v>45900</v>
      </c>
      <c r="F511" s="21" t="str">
        <f>Sales[Store_ID]</f>
        <v>STORE18</v>
      </c>
      <c r="G511" s="21" t="str">
        <f t="array" ref="G511">INDEX(Store[Store_Name],MATCH(F511,Store[Store_ID],0))</f>
        <v>Guerrero-Schmitt</v>
      </c>
      <c r="H511" s="21" t="str">
        <f>Sales[Product_ID]</f>
        <v>PROD67</v>
      </c>
      <c r="I511" s="21" t="str">
        <f>VLOOKUP(H511,Products[],2)</f>
        <v>Smart LED Light Strip</v>
      </c>
      <c r="J511" s="24">
        <f>Sales[Total_Amount]</f>
        <v>1857.2176</v>
      </c>
      <c r="K511" s="21" t="str">
        <f t="shared" si="1"/>
        <v>Aug</v>
      </c>
      <c r="L511" s="21">
        <f t="shared" si="2"/>
        <v>2025</v>
      </c>
      <c r="N511" s="33"/>
      <c r="O511" s="34"/>
    </row>
    <row r="512" ht="22.5" customHeight="1">
      <c r="A512" s="21" t="s">
        <v>2477</v>
      </c>
      <c r="B512" s="21" t="s">
        <v>779</v>
      </c>
      <c r="C512" s="21" t="str">
        <f t="array" ref="C512">XLOOKUP(B512,Customer[Customer_ID],Customer[Name(Cleaned)])</f>
        <v>Steven Smith</v>
      </c>
      <c r="D512" s="22" t="str">
        <f>VLOOKUP(B512,Customer[#ALL],6)</f>
        <v>Female</v>
      </c>
      <c r="E512" s="23">
        <f>Sales[Order_Date]</f>
        <v>45943</v>
      </c>
      <c r="F512" s="21" t="str">
        <f>Sales[Store_ID]</f>
        <v>STORE18</v>
      </c>
      <c r="G512" s="21" t="str">
        <f t="array" ref="G512">INDEX(Store[Store_Name],MATCH(F512,Store[Store_ID],0))</f>
        <v>Guerrero-Schmitt</v>
      </c>
      <c r="H512" s="21" t="str">
        <f>Sales[Product_ID]</f>
        <v>PROD43</v>
      </c>
      <c r="I512" s="21" t="str">
        <f>VLOOKUP(H512,Products[],2)</f>
        <v>USB External Hard Drive</v>
      </c>
      <c r="J512" s="24">
        <f>Sales[Total_Amount]</f>
        <v>3745.8048</v>
      </c>
      <c r="K512" s="21" t="str">
        <f t="shared" si="1"/>
        <v>Oct</v>
      </c>
      <c r="L512" s="21">
        <f t="shared" si="2"/>
        <v>2025</v>
      </c>
      <c r="N512" s="33"/>
      <c r="O512" s="34"/>
    </row>
    <row r="513" ht="22.5" customHeight="1">
      <c r="A513" s="21" t="s">
        <v>2478</v>
      </c>
      <c r="B513" s="21" t="s">
        <v>1485</v>
      </c>
      <c r="C513" s="21" t="str">
        <f t="array" ref="C513">XLOOKUP(B513,Customer[Customer_ID],Customer[Name(Cleaned)])</f>
        <v>Andrea Harris</v>
      </c>
      <c r="D513" s="22" t="str">
        <f>VLOOKUP(B513,Customer[#ALL],6)</f>
        <v>Male</v>
      </c>
      <c r="E513" s="23">
        <f>Sales[Order_Date]</f>
        <v>45448</v>
      </c>
      <c r="F513" s="21" t="str">
        <f>Sales[Store_ID]</f>
        <v>STORE9</v>
      </c>
      <c r="G513" s="21" t="str">
        <f t="array" ref="G513">INDEX(Store[Store_Name],MATCH(F513,Store[Store_ID],0))</f>
        <v>Moore, Padilla and Butler</v>
      </c>
      <c r="H513" s="21" t="str">
        <f>Sales[Product_ID]</f>
        <v>PROD13</v>
      </c>
      <c r="I513" s="21" t="str">
        <f>VLOOKUP(H513,Products[],2)</f>
        <v>USB-C Fast Charger</v>
      </c>
      <c r="J513" s="24">
        <f>Sales[Total_Amount]</f>
        <v>1776.5286</v>
      </c>
      <c r="K513" s="21" t="str">
        <f t="shared" si="1"/>
        <v>Jun</v>
      </c>
      <c r="L513" s="21">
        <f t="shared" si="2"/>
        <v>2024</v>
      </c>
      <c r="N513" s="33"/>
      <c r="O513" s="34"/>
    </row>
    <row r="514" ht="22.5" customHeight="1">
      <c r="A514" s="21" t="s">
        <v>2479</v>
      </c>
      <c r="B514" s="21" t="s">
        <v>1511</v>
      </c>
      <c r="C514" s="21" t="str">
        <f t="array" ref="C514">XLOOKUP(B514,Customer[Customer_ID],Customer[Name(Cleaned)])</f>
        <v>Eric Lee</v>
      </c>
      <c r="D514" s="22" t="str">
        <f>VLOOKUP(B514,Customer[#ALL],6)</f>
        <v>Male</v>
      </c>
      <c r="E514" s="23">
        <f>Sales[Order_Date]</f>
        <v>45929</v>
      </c>
      <c r="F514" s="21" t="str">
        <f>Sales[Store_ID]</f>
        <v>STORE2</v>
      </c>
      <c r="G514" s="21" t="str">
        <f t="array" ref="G514">INDEX(Store[Store_Name],MATCH(F514,Store[Store_ID],0))</f>
        <v>Black-Horn</v>
      </c>
      <c r="H514" s="21" t="str">
        <f>Sales[Product_ID]</f>
        <v>PROD39</v>
      </c>
      <c r="I514" s="21" t="str">
        <f>VLOOKUP(H514,Products[],2)</f>
        <v>Portable Power Bank</v>
      </c>
      <c r="J514" s="24">
        <f>Sales[Total_Amount]</f>
        <v>1905.1725</v>
      </c>
      <c r="K514" s="21" t="str">
        <f t="shared" si="1"/>
        <v>Sep</v>
      </c>
      <c r="L514" s="21">
        <f t="shared" si="2"/>
        <v>2025</v>
      </c>
      <c r="N514" s="33"/>
      <c r="O514" s="34"/>
    </row>
    <row r="515" ht="22.5" customHeight="1">
      <c r="A515" s="21" t="s">
        <v>2480</v>
      </c>
      <c r="B515" s="21" t="s">
        <v>1387</v>
      </c>
      <c r="C515" s="21" t="str">
        <f t="array" ref="C515">XLOOKUP(B515,Customer[Customer_ID],Customer[Name(Cleaned)])</f>
        <v>Adam Castro</v>
      </c>
      <c r="D515" s="22" t="str">
        <f>VLOOKUP(B515,Customer[#ALL],6)</f>
        <v>Female</v>
      </c>
      <c r="E515" s="23">
        <f>Sales[Order_Date]</f>
        <v>45626</v>
      </c>
      <c r="F515" s="21" t="str">
        <f>Sales[Store_ID]</f>
        <v>STORE19</v>
      </c>
      <c r="G515" s="21" t="str">
        <f t="array" ref="G515">INDEX(Store[Store_Name],MATCH(F515,Store[Store_ID],0))</f>
        <v>Mann-Austin</v>
      </c>
      <c r="H515" s="21" t="str">
        <f>Sales[Product_ID]</f>
        <v>PROD36</v>
      </c>
      <c r="I515" s="21" t="str">
        <f>VLOOKUP(H515,Products[],2)</f>
        <v>Women's Summer Dress</v>
      </c>
      <c r="J515" s="24">
        <f>Sales[Total_Amount]</f>
        <v>1753.23</v>
      </c>
      <c r="K515" s="21" t="str">
        <f t="shared" si="1"/>
        <v>Nov</v>
      </c>
      <c r="L515" s="21">
        <f t="shared" si="2"/>
        <v>2024</v>
      </c>
      <c r="N515" s="33"/>
      <c r="O515" s="34"/>
    </row>
    <row r="516" ht="22.5" customHeight="1">
      <c r="A516" s="21" t="s">
        <v>2481</v>
      </c>
      <c r="B516" s="21" t="s">
        <v>1265</v>
      </c>
      <c r="C516" s="21" t="str">
        <f t="array" ref="C516">XLOOKUP(B516,Customer[Customer_ID],Customer[Name(Cleaned)])</f>
        <v>Terry Moses</v>
      </c>
      <c r="D516" s="22" t="str">
        <f>VLOOKUP(B516,Customer[#ALL],6)</f>
        <v>Male</v>
      </c>
      <c r="E516" s="23">
        <f>Sales[Order_Date]</f>
        <v>45478</v>
      </c>
      <c r="F516" s="21" t="str">
        <f>Sales[Store_ID]</f>
        <v>STORE4</v>
      </c>
      <c r="G516" s="21" t="str">
        <f t="array" ref="G516">INDEX(Store[Store_Name],MATCH(F516,Store[Store_ID],0))</f>
        <v>Alexander Group</v>
      </c>
      <c r="H516" s="21" t="str">
        <f>Sales[Product_ID]</f>
        <v>PROD68</v>
      </c>
      <c r="I516" s="21" t="str">
        <f>VLOOKUP(H516,Products[],2)</f>
        <v>Wooden Nightstand</v>
      </c>
      <c r="J516" s="24">
        <f>Sales[Total_Amount]</f>
        <v>1462.003</v>
      </c>
      <c r="K516" s="21" t="str">
        <f t="shared" si="1"/>
        <v>Jul</v>
      </c>
      <c r="L516" s="21">
        <f t="shared" si="2"/>
        <v>2024</v>
      </c>
      <c r="N516" s="33"/>
      <c r="O516" s="34"/>
    </row>
    <row r="517" ht="22.5" customHeight="1">
      <c r="A517" s="21" t="s">
        <v>2482</v>
      </c>
      <c r="B517" s="21" t="s">
        <v>1276</v>
      </c>
      <c r="C517" s="21" t="str">
        <f t="array" ref="C517">XLOOKUP(B517,Customer[Customer_ID],Customer[Name(Cleaned)])</f>
        <v>Eric Wolfe</v>
      </c>
      <c r="D517" s="22" t="str">
        <f>VLOOKUP(B517,Customer[#ALL],6)</f>
        <v>Male</v>
      </c>
      <c r="E517" s="23">
        <f>Sales[Order_Date]</f>
        <v>45723</v>
      </c>
      <c r="F517" s="21" t="str">
        <f>Sales[Store_ID]</f>
        <v>STORE10</v>
      </c>
      <c r="G517" s="21" t="str">
        <f t="array" ref="G517">INDEX(Store[Store_Name],MATCH(F517,Store[Store_ID],0))</f>
        <v>Hill, Wagner and Ballard</v>
      </c>
      <c r="H517" s="21" t="str">
        <f>Sales[Product_ID]</f>
        <v>PROD13</v>
      </c>
      <c r="I517" s="21" t="str">
        <f>VLOOKUP(H517,Products[],2)</f>
        <v>USB-C Fast Charger</v>
      </c>
      <c r="J517" s="24">
        <f>Sales[Total_Amount]</f>
        <v>113.3358</v>
      </c>
      <c r="K517" s="21" t="str">
        <f t="shared" si="1"/>
        <v>Mar</v>
      </c>
      <c r="L517" s="21">
        <f t="shared" si="2"/>
        <v>2025</v>
      </c>
      <c r="N517" s="33"/>
      <c r="O517" s="34"/>
    </row>
    <row r="518" ht="22.5" customHeight="1">
      <c r="A518" s="21" t="s">
        <v>2483</v>
      </c>
      <c r="B518" s="21" t="s">
        <v>1068</v>
      </c>
      <c r="C518" s="21" t="str">
        <f t="array" ref="C518">XLOOKUP(B518,Customer[Customer_ID],Customer[Name(Cleaned)])</f>
        <v>Jennifer Woods</v>
      </c>
      <c r="D518" s="22" t="str">
        <f>VLOOKUP(B518,Customer[#ALL],6)</f>
        <v>Female</v>
      </c>
      <c r="E518" s="23">
        <f>Sales[Order_Date]</f>
        <v>45240</v>
      </c>
      <c r="F518" s="21" t="str">
        <f>Sales[Store_ID]</f>
        <v>STORE1</v>
      </c>
      <c r="G518" s="21" t="str">
        <f t="array" ref="G518">INDEX(Store[Store_Name],MATCH(F518,Store[Store_ID],0))</f>
        <v>Martinez, Adkins and Johnson</v>
      </c>
      <c r="H518" s="21" t="str">
        <f>Sales[Product_ID]</f>
        <v>PROD89</v>
      </c>
      <c r="I518" s="21" t="str">
        <f>VLOOKUP(H518,Products[],2)</f>
        <v>Face Foundation Kit</v>
      </c>
      <c r="J518" s="24">
        <f>Sales[Total_Amount]</f>
        <v>90.4798</v>
      </c>
      <c r="K518" s="21" t="str">
        <f t="shared" si="1"/>
        <v>Nov</v>
      </c>
      <c r="L518" s="21">
        <f t="shared" si="2"/>
        <v>2023</v>
      </c>
      <c r="N518" s="33"/>
      <c r="O518" s="34"/>
    </row>
    <row r="519" ht="22.5" customHeight="1">
      <c r="A519" s="21" t="s">
        <v>2484</v>
      </c>
      <c r="B519" s="21" t="s">
        <v>576</v>
      </c>
      <c r="C519" s="21" t="str">
        <f t="array" ref="C519">XLOOKUP(B519,Customer[Customer_ID],Customer[Name(Cleaned)])</f>
        <v>Christopher Garcia Dds</v>
      </c>
      <c r="D519" s="22" t="str">
        <f>VLOOKUP(B519,Customer[#ALL],6)</f>
        <v>Female</v>
      </c>
      <c r="E519" s="23">
        <f>Sales[Order_Date]</f>
        <v>45890</v>
      </c>
      <c r="F519" s="21" t="str">
        <f>Sales[Store_ID]</f>
        <v>STORE2</v>
      </c>
      <c r="G519" s="21" t="str">
        <f t="array" ref="G519">INDEX(Store[Store_Name],MATCH(F519,Store[Store_ID],0))</f>
        <v>Black-Horn</v>
      </c>
      <c r="H519" s="21" t="str">
        <f>Sales[Product_ID]</f>
        <v>PROD26</v>
      </c>
      <c r="I519" s="21" t="str">
        <f>VLOOKUP(H519,Products[],2)</f>
        <v>Wireless Bluetooth Speaker</v>
      </c>
      <c r="J519" s="24">
        <f>Sales[Total_Amount]</f>
        <v>325.5442</v>
      </c>
      <c r="K519" s="21" t="str">
        <f t="shared" si="1"/>
        <v>Aug</v>
      </c>
      <c r="L519" s="21">
        <f t="shared" si="2"/>
        <v>2025</v>
      </c>
      <c r="N519" s="33"/>
      <c r="O519" s="34"/>
    </row>
    <row r="520" ht="22.5" customHeight="1">
      <c r="A520" s="21" t="s">
        <v>2485</v>
      </c>
      <c r="B520" s="21" t="s">
        <v>1176</v>
      </c>
      <c r="C520" s="21" t="str">
        <f t="array" ref="C520">XLOOKUP(B520,Customer[Customer_ID],Customer[Name(Cleaned)])</f>
        <v>Michael Garner</v>
      </c>
      <c r="D520" s="22" t="str">
        <f>VLOOKUP(B520,Customer[#ALL],6)</f>
        <v>Male</v>
      </c>
      <c r="E520" s="23">
        <f>Sales[Order_Date]</f>
        <v>45796</v>
      </c>
      <c r="F520" s="21" t="str">
        <f>Sales[Store_ID]</f>
        <v>STORE4</v>
      </c>
      <c r="G520" s="21" t="str">
        <f t="array" ref="G520">INDEX(Store[Store_Name],MATCH(F520,Store[Store_ID],0))</f>
        <v>Alexander Group</v>
      </c>
      <c r="H520" s="21" t="str">
        <f>Sales[Product_ID]</f>
        <v>PROD46</v>
      </c>
      <c r="I520" s="21" t="str">
        <f>VLOOKUP(H520,Products[],2)</f>
        <v>Men's Winter Jacket</v>
      </c>
      <c r="J520" s="24">
        <f>Sales[Total_Amount]</f>
        <v>535.3502</v>
      </c>
      <c r="K520" s="21" t="str">
        <f t="shared" si="1"/>
        <v>May</v>
      </c>
      <c r="L520" s="21">
        <f t="shared" si="2"/>
        <v>2025</v>
      </c>
      <c r="N520" s="33"/>
      <c r="O520" s="34"/>
    </row>
    <row r="521" ht="22.5" customHeight="1">
      <c r="A521" s="21" t="s">
        <v>2486</v>
      </c>
      <c r="B521" s="21" t="s">
        <v>122</v>
      </c>
      <c r="C521" s="21" t="str">
        <f t="array" ref="C521">XLOOKUP(B521,Customer[Customer_ID],Customer[Name(Cleaned)])</f>
        <v>Leslie Johnson</v>
      </c>
      <c r="D521" s="22" t="str">
        <f>VLOOKUP(B521,Customer[#ALL],6)</f>
        <v>Female</v>
      </c>
      <c r="E521" s="23">
        <f>Sales[Order_Date]</f>
        <v>45895</v>
      </c>
      <c r="F521" s="21" t="str">
        <f>Sales[Store_ID]</f>
        <v>STORE6</v>
      </c>
      <c r="G521" s="21" t="str">
        <f t="array" ref="G521">INDEX(Store[Store_Name],MATCH(F521,Store[Store_ID],0))</f>
        <v>Benson-Elliott</v>
      </c>
      <c r="H521" s="21" t="str">
        <f>Sales[Product_ID]</f>
        <v>PROD29</v>
      </c>
      <c r="I521" s="21" t="str">
        <f>VLOOKUP(H521,Products[],2)</f>
        <v>Fabric Sofa Throw Blanket</v>
      </c>
      <c r="J521" s="24">
        <f>Sales[Total_Amount]</f>
        <v>678.608</v>
      </c>
      <c r="K521" s="21" t="str">
        <f t="shared" si="1"/>
        <v>Aug</v>
      </c>
      <c r="L521" s="21">
        <f t="shared" si="2"/>
        <v>2025</v>
      </c>
      <c r="N521" s="33"/>
      <c r="O521" s="34"/>
    </row>
    <row r="522" ht="22.5" customHeight="1">
      <c r="A522" s="21" t="s">
        <v>2487</v>
      </c>
      <c r="B522" s="21" t="s">
        <v>745</v>
      </c>
      <c r="C522" s="21" t="str">
        <f t="array" ref="C522">XLOOKUP(B522,Customer[Customer_ID],Customer[Name(Cleaned)])</f>
        <v>Alexis Castaneda</v>
      </c>
      <c r="D522" s="22" t="str">
        <f>VLOOKUP(B522,Customer[#ALL],6)</f>
        <v>Female</v>
      </c>
      <c r="E522" s="23">
        <f>Sales[Order_Date]</f>
        <v>45676</v>
      </c>
      <c r="F522" s="21" t="str">
        <f>Sales[Store_ID]</f>
        <v>STORE8</v>
      </c>
      <c r="G522" s="21" t="str">
        <f t="array" ref="G522">INDEX(Store[Store_Name],MATCH(F522,Store[Store_ID],0))</f>
        <v>Bean, Jones and Park</v>
      </c>
      <c r="H522" s="21" t="str">
        <f>Sales[Product_ID]</f>
        <v>PROD49</v>
      </c>
      <c r="I522" s="21" t="str">
        <f>VLOOKUP(H522,Products[],2)</f>
        <v>Men's Roll-On Perfume</v>
      </c>
      <c r="J522" s="24">
        <f>Sales[Total_Amount]</f>
        <v>1352.076</v>
      </c>
      <c r="K522" s="21" t="str">
        <f t="shared" si="1"/>
        <v>Jan</v>
      </c>
      <c r="L522" s="21">
        <f t="shared" si="2"/>
        <v>2025</v>
      </c>
      <c r="N522" s="33"/>
      <c r="O522" s="34"/>
    </row>
    <row r="523" ht="22.5" customHeight="1">
      <c r="A523" s="21" t="s">
        <v>2488</v>
      </c>
      <c r="B523" s="21" t="s">
        <v>1288</v>
      </c>
      <c r="C523" s="21" t="str">
        <f t="array" ref="C523">XLOOKUP(B523,Customer[Customer_ID],Customer[Name(Cleaned)])</f>
        <v>Sarah Smith</v>
      </c>
      <c r="D523" s="22" t="str">
        <f>VLOOKUP(B523,Customer[#ALL],6)</f>
        <v>Female</v>
      </c>
      <c r="E523" s="23">
        <f>Sales[Order_Date]</f>
        <v>45568</v>
      </c>
      <c r="F523" s="21" t="str">
        <f>Sales[Store_ID]</f>
        <v>STORE8</v>
      </c>
      <c r="G523" s="21" t="str">
        <f t="array" ref="G523">INDEX(Store[Store_Name],MATCH(F523,Store[Store_ID],0))</f>
        <v>Bean, Jones and Park</v>
      </c>
      <c r="H523" s="21" t="str">
        <f>Sales[Product_ID]</f>
        <v>PROD9</v>
      </c>
      <c r="I523" s="21" t="str">
        <f>VLOOKUP(H523,Products[],2)</f>
        <v>Face Foundation Kit</v>
      </c>
      <c r="J523" s="24">
        <f>Sales[Total_Amount]</f>
        <v>347.82</v>
      </c>
      <c r="K523" s="21" t="str">
        <f t="shared" si="1"/>
        <v>Oct</v>
      </c>
      <c r="L523" s="21">
        <f t="shared" si="2"/>
        <v>2024</v>
      </c>
      <c r="N523" s="33"/>
      <c r="O523" s="34"/>
    </row>
    <row r="524" ht="22.5" customHeight="1">
      <c r="A524" s="21" t="s">
        <v>2489</v>
      </c>
      <c r="B524" s="21" t="s">
        <v>591</v>
      </c>
      <c r="C524" s="21" t="str">
        <f t="array" ref="C524">XLOOKUP(B524,Customer[Customer_ID],Customer[Name(Cleaned)])</f>
        <v>Michelle Rogers</v>
      </c>
      <c r="D524" s="22" t="str">
        <f>VLOOKUP(B524,Customer[#ALL],6)</f>
        <v>Female</v>
      </c>
      <c r="E524" s="23">
        <f>Sales[Order_Date]</f>
        <v>45272</v>
      </c>
      <c r="F524" s="21" t="str">
        <f>Sales[Store_ID]</f>
        <v>STORE3</v>
      </c>
      <c r="G524" s="21" t="str">
        <f t="array" ref="G524">INDEX(Store[Store_Name],MATCH(F524,Store[Store_ID],0))</f>
        <v>Johnson-Wright</v>
      </c>
      <c r="H524" s="21" t="str">
        <f>Sales[Product_ID]</f>
        <v>PROD6</v>
      </c>
      <c r="I524" s="21" t="str">
        <f>VLOOKUP(H524,Products[],2)</f>
        <v>Men's Hair Styling Gel</v>
      </c>
      <c r="J524" s="24">
        <f>Sales[Total_Amount]</f>
        <v>81.6192</v>
      </c>
      <c r="K524" s="21" t="str">
        <f t="shared" si="1"/>
        <v>Dec</v>
      </c>
      <c r="L524" s="21">
        <f t="shared" si="2"/>
        <v>2023</v>
      </c>
      <c r="N524" s="33"/>
      <c r="O524" s="34"/>
    </row>
    <row r="525" ht="22.5" customHeight="1">
      <c r="A525" s="21" t="s">
        <v>2490</v>
      </c>
      <c r="B525" s="21" t="s">
        <v>1140</v>
      </c>
      <c r="C525" s="21" t="str">
        <f t="array" ref="C525">XLOOKUP(B525,Customer[Customer_ID],Customer[Name(Cleaned)])</f>
        <v>Melanie Lam</v>
      </c>
      <c r="D525" s="22" t="str">
        <f>VLOOKUP(B525,Customer[#ALL],6)</f>
        <v>Female</v>
      </c>
      <c r="E525" s="23">
        <f>Sales[Order_Date]</f>
        <v>45718</v>
      </c>
      <c r="F525" s="21" t="str">
        <f>Sales[Store_ID]</f>
        <v>STORE7</v>
      </c>
      <c r="G525" s="21" t="str">
        <f t="array" ref="G525">INDEX(Store[Store_Name],MATCH(F525,Store[Store_ID],0))</f>
        <v>Martinez-Mullins</v>
      </c>
      <c r="H525" s="21" t="str">
        <f>Sales[Product_ID]</f>
        <v>PROD75</v>
      </c>
      <c r="I525" s="21" t="str">
        <f>VLOOKUP(H525,Products[],2)</f>
        <v>Women's Ankle Boots</v>
      </c>
      <c r="J525" s="24">
        <f>Sales[Total_Amount]</f>
        <v>1536.744</v>
      </c>
      <c r="K525" s="21" t="str">
        <f t="shared" si="1"/>
        <v>Mar</v>
      </c>
      <c r="L525" s="21">
        <f t="shared" si="2"/>
        <v>2025</v>
      </c>
      <c r="N525" s="33"/>
      <c r="O525" s="34"/>
    </row>
    <row r="526" ht="22.5" customHeight="1">
      <c r="A526" s="21" t="s">
        <v>2491</v>
      </c>
      <c r="B526" s="21" t="s">
        <v>947</v>
      </c>
      <c r="C526" s="21" t="str">
        <f t="array" ref="C526">XLOOKUP(B526,Customer[Customer_ID],Customer[Name(Cleaned)])</f>
        <v>Lisa Chandler</v>
      </c>
      <c r="D526" s="22" t="str">
        <f>VLOOKUP(B526,Customer[#ALL],6)</f>
        <v>Female</v>
      </c>
      <c r="E526" s="23">
        <f>Sales[Order_Date]</f>
        <v>45617</v>
      </c>
      <c r="F526" s="21" t="str">
        <f>Sales[Store_ID]</f>
        <v>STORE19</v>
      </c>
      <c r="G526" s="21" t="str">
        <f t="array" ref="G526">INDEX(Store[Store_Name],MATCH(F526,Store[Store_ID],0))</f>
        <v>Mann-Austin</v>
      </c>
      <c r="H526" s="21" t="str">
        <f>Sales[Product_ID]</f>
        <v>PROD82</v>
      </c>
      <c r="I526" s="21" t="str">
        <f>VLOOKUP(H526,Products[],2)</f>
        <v>Fitness Resistance Bands</v>
      </c>
      <c r="J526" s="24">
        <f>Sales[Total_Amount]</f>
        <v>562.3282</v>
      </c>
      <c r="K526" s="21" t="str">
        <f t="shared" si="1"/>
        <v>Nov</v>
      </c>
      <c r="L526" s="21">
        <f t="shared" si="2"/>
        <v>2024</v>
      </c>
      <c r="N526" s="33"/>
      <c r="O526" s="34"/>
    </row>
    <row r="527" ht="22.5" customHeight="1">
      <c r="A527" s="21" t="s">
        <v>2492</v>
      </c>
      <c r="B527" s="21" t="s">
        <v>723</v>
      </c>
      <c r="C527" s="21" t="str">
        <f t="array" ref="C527">XLOOKUP(B527,Customer[Customer_ID],Customer[Name(Cleaned)])</f>
        <v>Jordan Wells</v>
      </c>
      <c r="D527" s="22" t="str">
        <f>VLOOKUP(B527,Customer[#ALL],6)</f>
        <v>Male</v>
      </c>
      <c r="E527" s="23">
        <f>Sales[Order_Date]</f>
        <v>45356</v>
      </c>
      <c r="F527" s="21" t="str">
        <f>Sales[Store_ID]</f>
        <v>STORE17</v>
      </c>
      <c r="G527" s="21" t="str">
        <f t="array" ref="G527">INDEX(Store[Store_Name],MATCH(F527,Store[Store_ID],0))</f>
        <v>Holloway Ltd</v>
      </c>
      <c r="H527" s="21" t="str">
        <f>Sales[Product_ID]</f>
        <v>PROD82</v>
      </c>
      <c r="I527" s="21" t="str">
        <f>VLOOKUP(H527,Products[],2)</f>
        <v>Fitness Resistance Bands</v>
      </c>
      <c r="J527" s="24">
        <f>Sales[Total_Amount]</f>
        <v>1846.08</v>
      </c>
      <c r="K527" s="21" t="str">
        <f t="shared" si="1"/>
        <v>Mar</v>
      </c>
      <c r="L527" s="21">
        <f t="shared" si="2"/>
        <v>2024</v>
      </c>
      <c r="N527" s="33"/>
      <c r="O527" s="34"/>
    </row>
    <row r="528" ht="22.5" customHeight="1">
      <c r="A528" s="21" t="s">
        <v>2493</v>
      </c>
      <c r="B528" s="21" t="s">
        <v>1540</v>
      </c>
      <c r="C528" s="21" t="str">
        <f t="array" ref="C528">XLOOKUP(B528,Customer[Customer_ID],Customer[Name(Cleaned)])</f>
        <v>Christopher Ford</v>
      </c>
      <c r="D528" s="22" t="str">
        <f>VLOOKUP(B528,Customer[#ALL],6)</f>
        <v>Female</v>
      </c>
      <c r="E528" s="23">
        <f>Sales[Order_Date]</f>
        <v>45552</v>
      </c>
      <c r="F528" s="21" t="str">
        <f>Sales[Store_ID]</f>
        <v>STORE11</v>
      </c>
      <c r="G528" s="21" t="str">
        <f t="array" ref="G528">INDEX(Store[Store_Name],MATCH(F528,Store[Store_ID],0))</f>
        <v>Aguirre-Keller</v>
      </c>
      <c r="H528" s="21" t="str">
        <f>Sales[Product_ID]</f>
        <v>PROD16</v>
      </c>
      <c r="I528" s="21" t="str">
        <f>VLOOKUP(H528,Products[],2)</f>
        <v>Beard Grooming Kit</v>
      </c>
      <c r="J528" s="24">
        <f>Sales[Total_Amount]</f>
        <v>541.6674</v>
      </c>
      <c r="K528" s="21" t="str">
        <f t="shared" si="1"/>
        <v>Sep</v>
      </c>
      <c r="L528" s="21">
        <f t="shared" si="2"/>
        <v>2024</v>
      </c>
      <c r="N528" s="33"/>
      <c r="O528" s="34"/>
    </row>
    <row r="529" ht="22.5" customHeight="1">
      <c r="A529" s="21" t="s">
        <v>2494</v>
      </c>
      <c r="B529" s="21" t="s">
        <v>854</v>
      </c>
      <c r="C529" s="21" t="str">
        <f t="array" ref="C529">XLOOKUP(B529,Customer[Customer_ID],Customer[Name(Cleaned)])</f>
        <v>Crystal Davis</v>
      </c>
      <c r="D529" s="22" t="str">
        <f>VLOOKUP(B529,Customer[#ALL],6)</f>
        <v>Female</v>
      </c>
      <c r="E529" s="23">
        <f>Sales[Order_Date]</f>
        <v>45288</v>
      </c>
      <c r="F529" s="21" t="str">
        <f>Sales[Store_ID]</f>
        <v>STORE18</v>
      </c>
      <c r="G529" s="21" t="str">
        <f t="array" ref="G529">INDEX(Store[Store_Name],MATCH(F529,Store[Store_ID],0))</f>
        <v>Guerrero-Schmitt</v>
      </c>
      <c r="H529" s="21" t="str">
        <f>Sales[Product_ID]</f>
        <v>PROD12</v>
      </c>
      <c r="I529" s="21" t="str">
        <f>VLOOKUP(H529,Products[],2)</f>
        <v>Hair Strengthening Shampoo</v>
      </c>
      <c r="J529" s="24">
        <f>Sales[Total_Amount]</f>
        <v>2467.4496</v>
      </c>
      <c r="K529" s="21" t="str">
        <f t="shared" si="1"/>
        <v>Dec</v>
      </c>
      <c r="L529" s="21">
        <f t="shared" si="2"/>
        <v>2023</v>
      </c>
      <c r="N529" s="33"/>
      <c r="O529" s="34"/>
    </row>
    <row r="530" ht="22.5" customHeight="1">
      <c r="A530" s="21" t="s">
        <v>2495</v>
      </c>
      <c r="B530" s="21" t="s">
        <v>1276</v>
      </c>
      <c r="C530" s="21" t="str">
        <f t="array" ref="C530">XLOOKUP(B530,Customer[Customer_ID],Customer[Name(Cleaned)])</f>
        <v>Eric Wolfe</v>
      </c>
      <c r="D530" s="22" t="str">
        <f>VLOOKUP(B530,Customer[#ALL],6)</f>
        <v>Male</v>
      </c>
      <c r="E530" s="23">
        <f>Sales[Order_Date]</f>
        <v>45605</v>
      </c>
      <c r="F530" s="21" t="str">
        <f>Sales[Store_ID]</f>
        <v>STORE18</v>
      </c>
      <c r="G530" s="21" t="str">
        <f t="array" ref="G530">INDEX(Store[Store_Name],MATCH(F530,Store[Store_ID],0))</f>
        <v>Guerrero-Schmitt</v>
      </c>
      <c r="H530" s="21" t="str">
        <f>Sales[Product_ID]</f>
        <v>PROD85</v>
      </c>
      <c r="I530" s="21" t="str">
        <f>VLOOKUP(H530,Products[],2)</f>
        <v>Women's Beanie Hat</v>
      </c>
      <c r="J530" s="24">
        <f>Sales[Total_Amount]</f>
        <v>419.4648</v>
      </c>
      <c r="K530" s="21" t="str">
        <f t="shared" si="1"/>
        <v>Nov</v>
      </c>
      <c r="L530" s="21">
        <f t="shared" si="2"/>
        <v>2024</v>
      </c>
      <c r="N530" s="33"/>
      <c r="O530" s="34"/>
    </row>
    <row r="531" ht="22.5" customHeight="1">
      <c r="A531" s="21" t="s">
        <v>2496</v>
      </c>
      <c r="B531" s="21" t="s">
        <v>1477</v>
      </c>
      <c r="C531" s="21" t="str">
        <f t="array" ref="C531">XLOOKUP(B531,Customer[Customer_ID],Customer[Name(Cleaned)])</f>
        <v>Joshua Howard</v>
      </c>
      <c r="D531" s="22" t="str">
        <f>VLOOKUP(B531,Customer[#ALL],6)</f>
        <v>Male</v>
      </c>
      <c r="E531" s="23">
        <f>Sales[Order_Date]</f>
        <v>45516</v>
      </c>
      <c r="F531" s="21" t="str">
        <f>Sales[Store_ID]</f>
        <v>STORE11</v>
      </c>
      <c r="G531" s="21" t="str">
        <f t="array" ref="G531">INDEX(Store[Store_Name],MATCH(F531,Store[Store_ID],0))</f>
        <v>Aguirre-Keller</v>
      </c>
      <c r="H531" s="21" t="str">
        <f>Sales[Product_ID]</f>
        <v>PROD39</v>
      </c>
      <c r="I531" s="21" t="str">
        <f>VLOOKUP(H531,Products[],2)</f>
        <v>Portable Power Bank</v>
      </c>
      <c r="J531" s="24">
        <f>Sales[Total_Amount]</f>
        <v>891.872</v>
      </c>
      <c r="K531" s="21" t="str">
        <f t="shared" si="1"/>
        <v>Aug</v>
      </c>
      <c r="L531" s="21">
        <f t="shared" si="2"/>
        <v>2024</v>
      </c>
      <c r="N531" s="33"/>
      <c r="O531" s="34"/>
    </row>
    <row r="532" ht="22.5" customHeight="1">
      <c r="A532" s="21" t="s">
        <v>2497</v>
      </c>
      <c r="B532" s="21" t="s">
        <v>842</v>
      </c>
      <c r="C532" s="21" t="str">
        <f t="array" ref="C532">XLOOKUP(B532,Customer[Customer_ID],Customer[Name(Cleaned)])</f>
        <v>Beth Allen</v>
      </c>
      <c r="D532" s="22" t="str">
        <f>VLOOKUP(B532,Customer[#ALL],6)</f>
        <v>Male</v>
      </c>
      <c r="E532" s="23">
        <f>Sales[Order_Date]</f>
        <v>45379</v>
      </c>
      <c r="F532" s="21" t="str">
        <f>Sales[Store_ID]</f>
        <v>STORE8</v>
      </c>
      <c r="G532" s="21" t="str">
        <f t="array" ref="G532">INDEX(Store[Store_Name],MATCH(F532,Store[Store_ID],0))</f>
        <v>Bean, Jones and Park</v>
      </c>
      <c r="H532" s="21" t="str">
        <f>Sales[Product_ID]</f>
        <v>PROD99</v>
      </c>
      <c r="I532" s="21" t="str">
        <f>VLOOKUP(H532,Products[],2)</f>
        <v>Stainless Steel Cookware Set</v>
      </c>
      <c r="J532" s="24">
        <f>Sales[Total_Amount]</f>
        <v>1740.628</v>
      </c>
      <c r="K532" s="21" t="str">
        <f t="shared" si="1"/>
        <v>Mar</v>
      </c>
      <c r="L532" s="21">
        <f t="shared" si="2"/>
        <v>2024</v>
      </c>
      <c r="N532" s="33"/>
      <c r="O532" s="34"/>
    </row>
    <row r="533" ht="22.5" customHeight="1">
      <c r="A533" s="21" t="s">
        <v>2498</v>
      </c>
      <c r="B533" s="21" t="s">
        <v>466</v>
      </c>
      <c r="C533" s="21" t="str">
        <f t="array" ref="C533">XLOOKUP(B533,Customer[Customer_ID],Customer[Name(Cleaned)])</f>
        <v>Hayley Pope</v>
      </c>
      <c r="D533" s="22" t="str">
        <f>VLOOKUP(B533,Customer[#ALL],6)</f>
        <v>Male</v>
      </c>
      <c r="E533" s="23">
        <f>Sales[Order_Date]</f>
        <v>45567</v>
      </c>
      <c r="F533" s="21" t="str">
        <f>Sales[Store_ID]</f>
        <v>STORE12</v>
      </c>
      <c r="G533" s="21" t="str">
        <f t="array" ref="G533">INDEX(Store[Store_Name],MATCH(F533,Store[Store_ID],0))</f>
        <v>Thomas, Bridges and Harris</v>
      </c>
      <c r="H533" s="21" t="str">
        <f>Sales[Product_ID]</f>
        <v>PROD10</v>
      </c>
      <c r="I533" s="21" t="str">
        <f>VLOOKUP(H533,Products[],2)</f>
        <v>Men's Graphic T-Shirt</v>
      </c>
      <c r="J533" s="24">
        <f>Sales[Total_Amount]</f>
        <v>714.4176</v>
      </c>
      <c r="K533" s="21" t="str">
        <f t="shared" si="1"/>
        <v>Oct</v>
      </c>
      <c r="L533" s="21">
        <f t="shared" si="2"/>
        <v>2024</v>
      </c>
      <c r="N533" s="33"/>
      <c r="O533" s="34"/>
    </row>
    <row r="534" ht="22.5" customHeight="1">
      <c r="A534" s="21" t="s">
        <v>2499</v>
      </c>
      <c r="B534" s="21" t="s">
        <v>767</v>
      </c>
      <c r="C534" s="21" t="str">
        <f t="array" ref="C534">XLOOKUP(B534,Customer[Customer_ID],Customer[Name(Cleaned)])</f>
        <v>Nathaniel Hill</v>
      </c>
      <c r="D534" s="22" t="str">
        <f>VLOOKUP(B534,Customer[#ALL],6)</f>
        <v>Male</v>
      </c>
      <c r="E534" s="23">
        <f>Sales[Order_Date]</f>
        <v>45510</v>
      </c>
      <c r="F534" s="21" t="str">
        <f>Sales[Store_ID]</f>
        <v>STORE15</v>
      </c>
      <c r="G534" s="21" t="str">
        <f t="array" ref="G534">INDEX(Store[Store_Name],MATCH(F534,Store[Store_ID],0))</f>
        <v>Shelton PLC</v>
      </c>
      <c r="H534" s="21" t="str">
        <f>Sales[Product_ID]</f>
        <v>PROD89</v>
      </c>
      <c r="I534" s="21" t="str">
        <f>VLOOKUP(H534,Products[],2)</f>
        <v>Face Foundation Kit</v>
      </c>
      <c r="J534" s="24">
        <f>Sales[Total_Amount]</f>
        <v>3293.5448</v>
      </c>
      <c r="K534" s="21" t="str">
        <f t="shared" si="1"/>
        <v>Aug</v>
      </c>
      <c r="L534" s="21">
        <f t="shared" si="2"/>
        <v>2024</v>
      </c>
      <c r="N534" s="33"/>
      <c r="O534" s="34"/>
    </row>
    <row r="535" ht="22.5" customHeight="1">
      <c r="A535" s="21" t="s">
        <v>2500</v>
      </c>
      <c r="B535" s="21" t="s">
        <v>303</v>
      </c>
      <c r="C535" s="21" t="str">
        <f t="array" ref="C535">XLOOKUP(B535,Customer[Customer_ID],Customer[Name(Cleaned)])</f>
        <v>Krystal Ford</v>
      </c>
      <c r="D535" s="22" t="str">
        <f>VLOOKUP(B535,Customer[#ALL],6)</f>
        <v>Male</v>
      </c>
      <c r="E535" s="23">
        <f>Sales[Order_Date]</f>
        <v>45806</v>
      </c>
      <c r="F535" s="21" t="str">
        <f>Sales[Store_ID]</f>
        <v>STORE11</v>
      </c>
      <c r="G535" s="21" t="str">
        <f t="array" ref="G535">INDEX(Store[Store_Name],MATCH(F535,Store[Store_ID],0))</f>
        <v>Aguirre-Keller</v>
      </c>
      <c r="H535" s="21" t="str">
        <f>Sales[Product_ID]</f>
        <v>PROD23</v>
      </c>
      <c r="I535" s="21" t="str">
        <f>VLOOKUP(H535,Products[],2)</f>
        <v>Men's Formal Shirt</v>
      </c>
      <c r="J535" s="24">
        <f>Sales[Total_Amount]</f>
        <v>529.749</v>
      </c>
      <c r="K535" s="21" t="str">
        <f t="shared" si="1"/>
        <v>May</v>
      </c>
      <c r="L535" s="21">
        <f t="shared" si="2"/>
        <v>2025</v>
      </c>
      <c r="N535" s="33"/>
      <c r="O535" s="34"/>
    </row>
    <row r="536" ht="22.5" customHeight="1">
      <c r="A536" s="21" t="s">
        <v>2501</v>
      </c>
      <c r="B536" s="21" t="s">
        <v>404</v>
      </c>
      <c r="C536" s="21" t="str">
        <f t="array" ref="C536">XLOOKUP(B536,Customer[Customer_ID],Customer[Name(Cleaned)])</f>
        <v>Edward Hall</v>
      </c>
      <c r="D536" s="22" t="str">
        <f>VLOOKUP(B536,Customer[#ALL],6)</f>
        <v>Female</v>
      </c>
      <c r="E536" s="23">
        <f>Sales[Order_Date]</f>
        <v>45240</v>
      </c>
      <c r="F536" s="21" t="str">
        <f>Sales[Store_ID]</f>
        <v>STORE3</v>
      </c>
      <c r="G536" s="21" t="str">
        <f t="array" ref="G536">INDEX(Store[Store_Name],MATCH(F536,Store[Store_ID],0))</f>
        <v>Johnson-Wright</v>
      </c>
      <c r="H536" s="21" t="str">
        <f>Sales[Product_ID]</f>
        <v>PROD33</v>
      </c>
      <c r="I536" s="21" t="str">
        <f>VLOOKUP(H536,Products[],2)</f>
        <v>Modern Wall Clock</v>
      </c>
      <c r="J536" s="24">
        <f>Sales[Total_Amount]</f>
        <v>2728.2024</v>
      </c>
      <c r="K536" s="21" t="str">
        <f t="shared" si="1"/>
        <v>Nov</v>
      </c>
      <c r="L536" s="21">
        <f t="shared" si="2"/>
        <v>2023</v>
      </c>
      <c r="N536" s="33"/>
      <c r="O536" s="34"/>
    </row>
    <row r="537" ht="22.5" customHeight="1">
      <c r="A537" s="21" t="s">
        <v>2502</v>
      </c>
      <c r="B537" s="21" t="s">
        <v>1532</v>
      </c>
      <c r="C537" s="21" t="str">
        <f t="array" ref="C537">XLOOKUP(B537,Customer[Customer_ID],Customer[Name(Cleaned)])</f>
        <v>Amanda Powell</v>
      </c>
      <c r="D537" s="22" t="str">
        <f>VLOOKUP(B537,Customer[#ALL],6)</f>
        <v>Female</v>
      </c>
      <c r="E537" s="23">
        <f>Sales[Order_Date]</f>
        <v>45878</v>
      </c>
      <c r="F537" s="21" t="str">
        <f>Sales[Store_ID]</f>
        <v>STORE0</v>
      </c>
      <c r="G537" s="21" t="str">
        <f t="array" ref="G537">INDEX(Store[Store_Name],MATCH(F537,Store[Store_ID],0))</f>
        <v>Rivera-Warner</v>
      </c>
      <c r="H537" s="21" t="str">
        <f>Sales[Product_ID]</f>
        <v>PROD87</v>
      </c>
      <c r="I537" s="21" t="str">
        <f>VLOOKUP(H537,Products[],2)</f>
        <v>LED Bedside Lamp</v>
      </c>
      <c r="J537" s="24">
        <f>Sales[Total_Amount]</f>
        <v>475.9819</v>
      </c>
      <c r="K537" s="21" t="str">
        <f t="shared" si="1"/>
        <v>Aug</v>
      </c>
      <c r="L537" s="21">
        <f t="shared" si="2"/>
        <v>2025</v>
      </c>
      <c r="N537" s="33"/>
      <c r="O537" s="34"/>
    </row>
    <row r="538" ht="22.5" customHeight="1">
      <c r="A538" s="21" t="s">
        <v>2503</v>
      </c>
      <c r="B538" s="21" t="s">
        <v>966</v>
      </c>
      <c r="C538" s="21" t="str">
        <f t="array" ref="C538">XLOOKUP(B538,Customer[Customer_ID],Customer[Name(Cleaned)])</f>
        <v>Ryan Kane</v>
      </c>
      <c r="D538" s="22" t="str">
        <f>VLOOKUP(B538,Customer[#ALL],6)</f>
        <v>Female</v>
      </c>
      <c r="E538" s="23">
        <f>Sales[Order_Date]</f>
        <v>45309</v>
      </c>
      <c r="F538" s="21" t="str">
        <f>Sales[Store_ID]</f>
        <v>STORE11</v>
      </c>
      <c r="G538" s="21" t="str">
        <f t="array" ref="G538">INDEX(Store[Store_Name],MATCH(F538,Store[Store_ID],0))</f>
        <v>Aguirre-Keller</v>
      </c>
      <c r="H538" s="21" t="str">
        <f>Sales[Product_ID]</f>
        <v>PROD97</v>
      </c>
      <c r="I538" s="21" t="str">
        <f>VLOOKUP(H538,Products[],2)</f>
        <v>Cricket Bat</v>
      </c>
      <c r="J538" s="24">
        <f>Sales[Total_Amount]</f>
        <v>333.8128</v>
      </c>
      <c r="K538" s="21" t="str">
        <f t="shared" si="1"/>
        <v>Jan</v>
      </c>
      <c r="L538" s="21">
        <f t="shared" si="2"/>
        <v>2024</v>
      </c>
      <c r="N538" s="33"/>
      <c r="O538" s="34"/>
    </row>
    <row r="539" ht="22.5" customHeight="1">
      <c r="A539" s="21" t="s">
        <v>2504</v>
      </c>
      <c r="B539" s="21" t="s">
        <v>108</v>
      </c>
      <c r="C539" s="21" t="str">
        <f t="array" ref="C539">XLOOKUP(B539,Customer[Customer_ID],Customer[Name(Cleaned)])</f>
        <v>Jonathan Steele</v>
      </c>
      <c r="D539" s="22" t="str">
        <f>VLOOKUP(B539,Customer[#ALL],6)</f>
        <v>Male</v>
      </c>
      <c r="E539" s="23">
        <f>Sales[Order_Date]</f>
        <v>45375</v>
      </c>
      <c r="F539" s="21" t="str">
        <f>Sales[Store_ID]</f>
        <v>STORE13</v>
      </c>
      <c r="G539" s="21" t="str">
        <f t="array" ref="G539">INDEX(Store[Store_Name],MATCH(F539,Store[Store_ID],0))</f>
        <v>Gardner, Humphrey and Contreras</v>
      </c>
      <c r="H539" s="21" t="str">
        <f>Sales[Product_ID]</f>
        <v>PROD97</v>
      </c>
      <c r="I539" s="21" t="str">
        <f>VLOOKUP(H539,Products[],2)</f>
        <v>Cricket Bat</v>
      </c>
      <c r="J539" s="24">
        <f>Sales[Total_Amount]</f>
        <v>312.0805</v>
      </c>
      <c r="K539" s="21" t="str">
        <f t="shared" si="1"/>
        <v>Mar</v>
      </c>
      <c r="L539" s="21">
        <f t="shared" si="2"/>
        <v>2024</v>
      </c>
      <c r="N539" s="33"/>
      <c r="O539" s="34"/>
    </row>
    <row r="540" ht="22.5" customHeight="1">
      <c r="A540" s="21" t="s">
        <v>2505</v>
      </c>
      <c r="B540" s="21" t="s">
        <v>407</v>
      </c>
      <c r="C540" s="21" t="str">
        <f t="array" ref="C540">XLOOKUP(B540,Customer[Customer_ID],Customer[Name(Cleaned)])</f>
        <v>Ryan Hernandez</v>
      </c>
      <c r="D540" s="22" t="str">
        <f>VLOOKUP(B540,Customer[#ALL],6)</f>
        <v>Female</v>
      </c>
      <c r="E540" s="23">
        <f>Sales[Order_Date]</f>
        <v>45733</v>
      </c>
      <c r="F540" s="21" t="str">
        <f>Sales[Store_ID]</f>
        <v>STORE18</v>
      </c>
      <c r="G540" s="21" t="str">
        <f t="array" ref="G540">INDEX(Store[Store_Name],MATCH(F540,Store[Store_ID],0))</f>
        <v>Guerrero-Schmitt</v>
      </c>
      <c r="H540" s="21" t="str">
        <f>Sales[Product_ID]</f>
        <v>PROD55</v>
      </c>
      <c r="I540" s="21" t="str">
        <f>VLOOKUP(H540,Products[],2)</f>
        <v>Ceramic Plant Pot</v>
      </c>
      <c r="J540" s="24">
        <f>Sales[Total_Amount]</f>
        <v>1032.0813</v>
      </c>
      <c r="K540" s="21" t="str">
        <f t="shared" si="1"/>
        <v>Mar</v>
      </c>
      <c r="L540" s="21">
        <f t="shared" si="2"/>
        <v>2025</v>
      </c>
      <c r="N540" s="33"/>
      <c r="O540" s="34"/>
    </row>
    <row r="541" ht="22.5" customHeight="1">
      <c r="A541" s="21" t="s">
        <v>2506</v>
      </c>
      <c r="B541" s="21" t="s">
        <v>180</v>
      </c>
      <c r="C541" s="21" t="str">
        <f t="array" ref="C541">XLOOKUP(B541,Customer[Customer_ID],Customer[Name(Cleaned)])</f>
        <v>Denise Williams</v>
      </c>
      <c r="D541" s="22" t="str">
        <f>VLOOKUP(B541,Customer[#ALL],6)</f>
        <v>Female</v>
      </c>
      <c r="E541" s="23">
        <f>Sales[Order_Date]</f>
        <v>45435</v>
      </c>
      <c r="F541" s="21" t="str">
        <f>Sales[Store_ID]</f>
        <v>STORE12</v>
      </c>
      <c r="G541" s="21" t="str">
        <f t="array" ref="G541">INDEX(Store[Store_Name],MATCH(F541,Store[Store_ID],0))</f>
        <v>Thomas, Bridges and Harris</v>
      </c>
      <c r="H541" s="21" t="str">
        <f>Sales[Product_ID]</f>
        <v>PROD59</v>
      </c>
      <c r="I541" s="21" t="str">
        <f>VLOOKUP(H541,Products[],2)</f>
        <v>Men's Hair Styling Gel</v>
      </c>
      <c r="J541" s="24">
        <f>Sales[Total_Amount]</f>
        <v>683.001</v>
      </c>
      <c r="K541" s="21" t="str">
        <f t="shared" si="1"/>
        <v>May</v>
      </c>
      <c r="L541" s="21">
        <f t="shared" si="2"/>
        <v>2024</v>
      </c>
      <c r="N541" s="33"/>
      <c r="O541" s="34"/>
    </row>
    <row r="542" ht="22.5" customHeight="1">
      <c r="A542" s="21" t="s">
        <v>2507</v>
      </c>
      <c r="B542" s="21" t="s">
        <v>1508</v>
      </c>
      <c r="C542" s="21" t="str">
        <f t="array" ref="C542">XLOOKUP(B542,Customer[Customer_ID],Customer[Name(Cleaned)])</f>
        <v>Sara Ingram</v>
      </c>
      <c r="D542" s="22" t="str">
        <f>VLOOKUP(B542,Customer[#ALL],6)</f>
        <v>Male</v>
      </c>
      <c r="E542" s="23">
        <f>Sales[Order_Date]</f>
        <v>45864</v>
      </c>
      <c r="F542" s="21" t="str">
        <f>Sales[Store_ID]</f>
        <v>STORE15</v>
      </c>
      <c r="G542" s="21" t="str">
        <f t="array" ref="G542">INDEX(Store[Store_Name],MATCH(F542,Store[Store_ID],0))</f>
        <v>Shelton PLC</v>
      </c>
      <c r="H542" s="21" t="str">
        <f>Sales[Product_ID]</f>
        <v>PROD95</v>
      </c>
      <c r="I542" s="21" t="str">
        <f>VLOOKUP(H542,Products[],2)</f>
        <v>Sports Stopwatch Basic</v>
      </c>
      <c r="J542" s="24">
        <f>Sales[Total_Amount]</f>
        <v>2974.644</v>
      </c>
      <c r="K542" s="21" t="str">
        <f t="shared" si="1"/>
        <v>Jul</v>
      </c>
      <c r="L542" s="21">
        <f t="shared" si="2"/>
        <v>2025</v>
      </c>
      <c r="N542" s="33"/>
      <c r="O542" s="34"/>
    </row>
    <row r="543" ht="22.5" customHeight="1">
      <c r="A543" s="21" t="s">
        <v>2508</v>
      </c>
      <c r="B543" s="21" t="s">
        <v>842</v>
      </c>
      <c r="C543" s="21" t="str">
        <f t="array" ref="C543">XLOOKUP(B543,Customer[Customer_ID],Customer[Name(Cleaned)])</f>
        <v>Beth Allen</v>
      </c>
      <c r="D543" s="22" t="str">
        <f>VLOOKUP(B543,Customer[#ALL],6)</f>
        <v>Male</v>
      </c>
      <c r="E543" s="23">
        <f>Sales[Order_Date]</f>
        <v>45569</v>
      </c>
      <c r="F543" s="21" t="str">
        <f>Sales[Store_ID]</f>
        <v>STORE11</v>
      </c>
      <c r="G543" s="21" t="str">
        <f t="array" ref="G543">INDEX(Store[Store_Name],MATCH(F543,Store[Store_ID],0))</f>
        <v>Aguirre-Keller</v>
      </c>
      <c r="H543" s="21" t="str">
        <f>Sales[Product_ID]</f>
        <v>PROD94</v>
      </c>
      <c r="I543" s="21" t="str">
        <f>VLOOKUP(H543,Products[],2)</f>
        <v>Vitamin E Body Lotion</v>
      </c>
      <c r="J543" s="24">
        <f>Sales[Total_Amount]</f>
        <v>818.425</v>
      </c>
      <c r="K543" s="21" t="str">
        <f t="shared" si="1"/>
        <v>Oct</v>
      </c>
      <c r="L543" s="21">
        <f t="shared" si="2"/>
        <v>2024</v>
      </c>
      <c r="N543" s="33"/>
      <c r="O543" s="34"/>
    </row>
    <row r="544" ht="22.5" customHeight="1">
      <c r="A544" s="21" t="s">
        <v>2509</v>
      </c>
      <c r="B544" s="21" t="s">
        <v>1441</v>
      </c>
      <c r="C544" s="21" t="str">
        <f t="array" ref="C544">XLOOKUP(B544,Customer[Customer_ID],Customer[Name(Cleaned)])</f>
        <v>Beth Martin</v>
      </c>
      <c r="D544" s="22" t="str">
        <f>VLOOKUP(B544,Customer[#ALL],6)</f>
        <v>Male</v>
      </c>
      <c r="E544" s="23">
        <f>Sales[Order_Date]</f>
        <v>45664</v>
      </c>
      <c r="F544" s="21" t="str">
        <f>Sales[Store_ID]</f>
        <v>STORE14</v>
      </c>
      <c r="G544" s="21" t="str">
        <f t="array" ref="G544">INDEX(Store[Store_Name],MATCH(F544,Store[Store_ID],0))</f>
        <v>Mcdonald Inc</v>
      </c>
      <c r="H544" s="21" t="str">
        <f>Sales[Product_ID]</f>
        <v>PROD22</v>
      </c>
      <c r="I544" s="21" t="str">
        <f>VLOOKUP(H544,Products[],2)</f>
        <v>Carbon Fiber Tennis Racket</v>
      </c>
      <c r="J544" s="24">
        <f>Sales[Total_Amount]</f>
        <v>435.342</v>
      </c>
      <c r="K544" s="21" t="str">
        <f t="shared" si="1"/>
        <v>Jan</v>
      </c>
      <c r="L544" s="21">
        <f t="shared" si="2"/>
        <v>2025</v>
      </c>
      <c r="N544" s="33"/>
      <c r="O544" s="34"/>
    </row>
    <row r="545" ht="22.5" customHeight="1">
      <c r="A545" s="21" t="s">
        <v>2510</v>
      </c>
      <c r="B545" s="21" t="s">
        <v>1441</v>
      </c>
      <c r="C545" s="21" t="str">
        <f t="array" ref="C545">XLOOKUP(B545,Customer[Customer_ID],Customer[Name(Cleaned)])</f>
        <v>Beth Martin</v>
      </c>
      <c r="D545" s="22" t="str">
        <f>VLOOKUP(B545,Customer[#ALL],6)</f>
        <v>Male</v>
      </c>
      <c r="E545" s="23">
        <f>Sales[Order_Date]</f>
        <v>45645</v>
      </c>
      <c r="F545" s="21" t="str">
        <f>Sales[Store_ID]</f>
        <v>STORE7</v>
      </c>
      <c r="G545" s="21" t="str">
        <f t="array" ref="G545">INDEX(Store[Store_Name],MATCH(F545,Store[Store_ID],0))</f>
        <v>Martinez-Mullins</v>
      </c>
      <c r="H545" s="21" t="str">
        <f>Sales[Product_ID]</f>
        <v>PROD55</v>
      </c>
      <c r="I545" s="21" t="str">
        <f>VLOOKUP(H545,Products[],2)</f>
        <v>Ceramic Plant Pot</v>
      </c>
      <c r="J545" s="24">
        <f>Sales[Total_Amount]</f>
        <v>871.397</v>
      </c>
      <c r="K545" s="21" t="str">
        <f t="shared" si="1"/>
        <v>Dec</v>
      </c>
      <c r="L545" s="21">
        <f t="shared" si="2"/>
        <v>2024</v>
      </c>
      <c r="N545" s="33"/>
      <c r="O545" s="34"/>
    </row>
    <row r="546" ht="22.5" customHeight="1">
      <c r="A546" s="21" t="s">
        <v>2511</v>
      </c>
      <c r="B546" s="21" t="s">
        <v>764</v>
      </c>
      <c r="C546" s="21" t="str">
        <f t="array" ref="C546">XLOOKUP(B546,Customer[Customer_ID],Customer[Name(Cleaned)])</f>
        <v>Michelle Gonzalez</v>
      </c>
      <c r="D546" s="22" t="str">
        <f>VLOOKUP(B546,Customer[#ALL],6)</f>
        <v>Female</v>
      </c>
      <c r="E546" s="23">
        <f>Sales[Order_Date]</f>
        <v>45449</v>
      </c>
      <c r="F546" s="21" t="str">
        <f>Sales[Store_ID]</f>
        <v>STORE18</v>
      </c>
      <c r="G546" s="21" t="str">
        <f t="array" ref="G546">INDEX(Store[Store_Name],MATCH(F546,Store[Store_ID],0))</f>
        <v>Guerrero-Schmitt</v>
      </c>
      <c r="H546" s="21" t="str">
        <f>Sales[Product_ID]</f>
        <v>PROD6</v>
      </c>
      <c r="I546" s="21" t="str">
        <f>VLOOKUP(H546,Products[],2)</f>
        <v>Men's Hair Styling Gel</v>
      </c>
      <c r="J546" s="24">
        <f>Sales[Total_Amount]</f>
        <v>344.5368</v>
      </c>
      <c r="K546" s="21" t="str">
        <f t="shared" si="1"/>
        <v>Jun</v>
      </c>
      <c r="L546" s="21">
        <f t="shared" si="2"/>
        <v>2024</v>
      </c>
      <c r="N546" s="33"/>
      <c r="O546" s="34"/>
    </row>
    <row r="547" ht="22.5" customHeight="1">
      <c r="A547" s="21" t="s">
        <v>2512</v>
      </c>
      <c r="B547" s="21" t="s">
        <v>1488</v>
      </c>
      <c r="C547" s="21" t="str">
        <f t="array" ref="C547">XLOOKUP(B547,Customer[Customer_ID],Customer[Name(Cleaned)])</f>
        <v>Earl Smith Dds</v>
      </c>
      <c r="D547" s="22" t="str">
        <f>VLOOKUP(B547,Customer[#ALL],6)</f>
        <v>Female</v>
      </c>
      <c r="E547" s="23">
        <f>Sales[Order_Date]</f>
        <v>45629</v>
      </c>
      <c r="F547" s="21" t="str">
        <f>Sales[Store_ID]</f>
        <v>STORE4</v>
      </c>
      <c r="G547" s="21" t="str">
        <f t="array" ref="G547">INDEX(Store[Store_Name],MATCH(F547,Store[Store_ID],0))</f>
        <v>Alexander Group</v>
      </c>
      <c r="H547" s="21" t="str">
        <f>Sales[Product_ID]</f>
        <v>PROD28</v>
      </c>
      <c r="I547" s="21" t="str">
        <f>VLOOKUP(H547,Products[],2)</f>
        <v>Sports Stopwatch Timer</v>
      </c>
      <c r="J547" s="24">
        <f>Sales[Total_Amount]</f>
        <v>502.5132</v>
      </c>
      <c r="K547" s="21" t="str">
        <f t="shared" si="1"/>
        <v>Dec</v>
      </c>
      <c r="L547" s="21">
        <f t="shared" si="2"/>
        <v>2024</v>
      </c>
      <c r="N547" s="33"/>
      <c r="O547" s="34"/>
    </row>
    <row r="548" ht="22.5" customHeight="1">
      <c r="A548" s="21" t="s">
        <v>2513</v>
      </c>
      <c r="B548" s="21" t="s">
        <v>343</v>
      </c>
      <c r="C548" s="21" t="str">
        <f t="array" ref="C548">XLOOKUP(B548,Customer[Customer_ID],Customer[Name(Cleaned)])</f>
        <v>Christy Vasquez</v>
      </c>
      <c r="D548" s="22" t="str">
        <f>VLOOKUP(B548,Customer[#ALL],6)</f>
        <v>Male</v>
      </c>
      <c r="E548" s="23">
        <f>Sales[Order_Date]</f>
        <v>45502</v>
      </c>
      <c r="F548" s="21" t="str">
        <f>Sales[Store_ID]</f>
        <v>STORE12</v>
      </c>
      <c r="G548" s="21" t="str">
        <f t="array" ref="G548">INDEX(Store[Store_Name],MATCH(F548,Store[Store_ID],0))</f>
        <v>Thomas, Bridges and Harris</v>
      </c>
      <c r="H548" s="21" t="str">
        <f>Sales[Product_ID]</f>
        <v>PROD5</v>
      </c>
      <c r="I548" s="21" t="str">
        <f>VLOOKUP(H548,Products[],2)</f>
        <v>Men's Roll-On Perfume</v>
      </c>
      <c r="J548" s="24">
        <f>Sales[Total_Amount]</f>
        <v>1432.2744</v>
      </c>
      <c r="K548" s="21" t="str">
        <f t="shared" si="1"/>
        <v>Jul</v>
      </c>
      <c r="L548" s="21">
        <f t="shared" si="2"/>
        <v>2024</v>
      </c>
      <c r="N548" s="33"/>
      <c r="O548" s="34"/>
    </row>
    <row r="549" ht="22.5" customHeight="1">
      <c r="A549" s="21" t="s">
        <v>2514</v>
      </c>
      <c r="B549" s="21" t="s">
        <v>92</v>
      </c>
      <c r="C549" s="21" t="str">
        <f t="array" ref="C549">XLOOKUP(B549,Customer[Customer_ID],Customer[Name(Cleaned)])</f>
        <v>Michael Torres</v>
      </c>
      <c r="D549" s="22" t="str">
        <f>VLOOKUP(B549,Customer[#ALL],6)</f>
        <v>Male</v>
      </c>
      <c r="E549" s="23">
        <f>Sales[Order_Date]</f>
        <v>45739</v>
      </c>
      <c r="F549" s="21" t="str">
        <f>Sales[Store_ID]</f>
        <v>STORE9</v>
      </c>
      <c r="G549" s="21" t="str">
        <f t="array" ref="G549">INDEX(Store[Store_Name],MATCH(F549,Store[Store_ID],0))</f>
        <v>Moore, Padilla and Butler</v>
      </c>
      <c r="H549" s="21" t="str">
        <f>Sales[Product_ID]</f>
        <v>PROD54</v>
      </c>
      <c r="I549" s="21" t="str">
        <f>VLOOKUP(H549,Products[],2)</f>
        <v>Sports Stopwatch Pro</v>
      </c>
      <c r="J549" s="24">
        <f>Sales[Total_Amount]</f>
        <v>515.9325</v>
      </c>
      <c r="K549" s="21" t="str">
        <f t="shared" si="1"/>
        <v>Mar</v>
      </c>
      <c r="L549" s="21">
        <f t="shared" si="2"/>
        <v>2025</v>
      </c>
      <c r="N549" s="33"/>
      <c r="O549" s="34"/>
    </row>
    <row r="550" ht="22.5" customHeight="1">
      <c r="A550" s="21" t="s">
        <v>2515</v>
      </c>
      <c r="B550" s="21" t="s">
        <v>161</v>
      </c>
      <c r="C550" s="21" t="str">
        <f t="array" ref="C550">XLOOKUP(B550,Customer[Customer_ID],Customer[Name(Cleaned)])</f>
        <v>Tonya Reynolds</v>
      </c>
      <c r="D550" s="22" t="str">
        <f>VLOOKUP(B550,Customer[#ALL],6)</f>
        <v>Male</v>
      </c>
      <c r="E550" s="23">
        <f>Sales[Order_Date]</f>
        <v>45849</v>
      </c>
      <c r="F550" s="21" t="str">
        <f>Sales[Store_ID]</f>
        <v>STORE2</v>
      </c>
      <c r="G550" s="21" t="str">
        <f t="array" ref="G550">INDEX(Store[Store_Name],MATCH(F550,Store[Store_ID],0))</f>
        <v>Black-Horn</v>
      </c>
      <c r="H550" s="21" t="str">
        <f>Sales[Product_ID]</f>
        <v>PROD71</v>
      </c>
      <c r="I550" s="21" t="str">
        <f>VLOOKUP(H550,Products[],2)</f>
        <v>Hair Repair Oil Treatment</v>
      </c>
      <c r="J550" s="24">
        <f>Sales[Total_Amount]</f>
        <v>2101.0626</v>
      </c>
      <c r="K550" s="21" t="str">
        <f t="shared" si="1"/>
        <v>Jul</v>
      </c>
      <c r="L550" s="21">
        <f t="shared" si="2"/>
        <v>2025</v>
      </c>
      <c r="N550" s="33"/>
      <c r="O550" s="34"/>
    </row>
    <row r="551" ht="22.5" customHeight="1">
      <c r="A551" s="21" t="s">
        <v>2516</v>
      </c>
      <c r="B551" s="21" t="s">
        <v>726</v>
      </c>
      <c r="C551" s="21" t="str">
        <f t="array" ref="C551">XLOOKUP(B551,Customer[Customer_ID],Customer[Name(Cleaned)])</f>
        <v>George Davis</v>
      </c>
      <c r="D551" s="22" t="str">
        <f>VLOOKUP(B551,Customer[#ALL],6)</f>
        <v>Male</v>
      </c>
      <c r="E551" s="23">
        <f>Sales[Order_Date]</f>
        <v>45230</v>
      </c>
      <c r="F551" s="21" t="str">
        <f>Sales[Store_ID]</f>
        <v>STORE3</v>
      </c>
      <c r="G551" s="21" t="str">
        <f t="array" ref="G551">INDEX(Store[Store_Name],MATCH(F551,Store[Store_ID],0))</f>
        <v>Johnson-Wright</v>
      </c>
      <c r="H551" s="21" t="str">
        <f>Sales[Product_ID]</f>
        <v>PROD4</v>
      </c>
      <c r="I551" s="21" t="str">
        <f>VLOOKUP(H551,Products[],2)</f>
        <v>Portable Power Bank</v>
      </c>
      <c r="J551" s="24">
        <f>Sales[Total_Amount]</f>
        <v>359.1965</v>
      </c>
      <c r="K551" s="21" t="str">
        <f t="shared" si="1"/>
        <v>Oct</v>
      </c>
      <c r="L551" s="21">
        <f t="shared" si="2"/>
        <v>2023</v>
      </c>
      <c r="N551" s="33"/>
      <c r="O551" s="34"/>
    </row>
    <row r="552" ht="22.5" customHeight="1">
      <c r="A552" s="21" t="s">
        <v>2517</v>
      </c>
      <c r="B552" s="21" t="s">
        <v>377</v>
      </c>
      <c r="C552" s="21" t="str">
        <f t="array" ref="C552">XLOOKUP(B552,Customer[Customer_ID],Customer[Name(Cleaned)])</f>
        <v>Christopher Lester</v>
      </c>
      <c r="D552" s="22" t="str">
        <f>VLOOKUP(B552,Customer[#ALL],6)</f>
        <v>Female</v>
      </c>
      <c r="E552" s="23">
        <f>Sales[Order_Date]</f>
        <v>45292</v>
      </c>
      <c r="F552" s="21" t="str">
        <f>Sales[Store_ID]</f>
        <v>STORE12</v>
      </c>
      <c r="G552" s="21" t="str">
        <f t="array" ref="G552">INDEX(Store[Store_Name],MATCH(F552,Store[Store_ID],0))</f>
        <v>Thomas, Bridges and Harris</v>
      </c>
      <c r="H552" s="21" t="str">
        <f>Sales[Product_ID]</f>
        <v>PROD17</v>
      </c>
      <c r="I552" s="21" t="str">
        <f>VLOOKUP(H552,Products[],2)</f>
        <v>Soccer Training Cone Set</v>
      </c>
      <c r="J552" s="24">
        <f>Sales[Total_Amount]</f>
        <v>857.1</v>
      </c>
      <c r="K552" s="21" t="str">
        <f t="shared" si="1"/>
        <v>Jan</v>
      </c>
      <c r="L552" s="21">
        <f t="shared" si="2"/>
        <v>2024</v>
      </c>
      <c r="N552" s="33"/>
      <c r="O552" s="34"/>
    </row>
    <row r="553" ht="22.5" customHeight="1">
      <c r="A553" s="21" t="s">
        <v>2518</v>
      </c>
      <c r="B553" s="21" t="s">
        <v>752</v>
      </c>
      <c r="C553" s="21" t="str">
        <f t="array" ref="C553">XLOOKUP(B553,Customer[Customer_ID],Customer[Name(Cleaned)])</f>
        <v>Tanner Thompson</v>
      </c>
      <c r="D553" s="22" t="str">
        <f>VLOOKUP(B553,Customer[#ALL],6)</f>
        <v>Male</v>
      </c>
      <c r="E553" s="23">
        <f>Sales[Order_Date]</f>
        <v>45251</v>
      </c>
      <c r="F553" s="21" t="str">
        <f>Sales[Store_ID]</f>
        <v>STORE15</v>
      </c>
      <c r="G553" s="21" t="str">
        <f t="array" ref="G553">INDEX(Store[Store_Name],MATCH(F553,Store[Store_ID],0))</f>
        <v>Shelton PLC</v>
      </c>
      <c r="H553" s="21" t="str">
        <f>Sales[Product_ID]</f>
        <v>PROD10</v>
      </c>
      <c r="I553" s="21" t="str">
        <f>VLOOKUP(H553,Products[],2)</f>
        <v>Men's Graphic T-Shirt</v>
      </c>
      <c r="J553" s="24">
        <f>Sales[Total_Amount]</f>
        <v>1112.9536</v>
      </c>
      <c r="K553" s="21" t="str">
        <f t="shared" si="1"/>
        <v>Nov</v>
      </c>
      <c r="L553" s="21">
        <f t="shared" si="2"/>
        <v>2023</v>
      </c>
      <c r="N553" s="33"/>
      <c r="O553" s="34"/>
    </row>
    <row r="554" ht="22.5" customHeight="1">
      <c r="A554" s="21" t="s">
        <v>2519</v>
      </c>
      <c r="B554" s="21" t="s">
        <v>47</v>
      </c>
      <c r="C554" s="21" t="str">
        <f t="array" ref="C554">XLOOKUP(B554,Customer[Customer_ID],Customer[Name(Cleaned)])</f>
        <v>Daniel Boyd</v>
      </c>
      <c r="D554" s="22" t="str">
        <f>VLOOKUP(B554,Customer[#ALL],6)</f>
        <v>Male</v>
      </c>
      <c r="E554" s="23">
        <f>Sales[Order_Date]</f>
        <v>45555</v>
      </c>
      <c r="F554" s="21" t="str">
        <f>Sales[Store_ID]</f>
        <v>STORE3</v>
      </c>
      <c r="G554" s="21" t="str">
        <f t="array" ref="G554">INDEX(Store[Store_Name],MATCH(F554,Store[Store_ID],0))</f>
        <v>Johnson-Wright</v>
      </c>
      <c r="H554" s="21" t="str">
        <f>Sales[Product_ID]</f>
        <v>PROD13</v>
      </c>
      <c r="I554" s="21" t="str">
        <f>VLOOKUP(H554,Products[],2)</f>
        <v>USB-C Fast Charger</v>
      </c>
      <c r="J554" s="24">
        <f>Sales[Total_Amount]</f>
        <v>413.5335</v>
      </c>
      <c r="K554" s="21" t="str">
        <f t="shared" si="1"/>
        <v>Sep</v>
      </c>
      <c r="L554" s="21">
        <f t="shared" si="2"/>
        <v>2024</v>
      </c>
      <c r="N554" s="33"/>
      <c r="O554" s="34"/>
    </row>
    <row r="555" ht="22.5" customHeight="1">
      <c r="A555" s="21" t="s">
        <v>2520</v>
      </c>
      <c r="B555" s="21" t="s">
        <v>1056</v>
      </c>
      <c r="C555" s="21" t="str">
        <f t="array" ref="C555">XLOOKUP(B555,Customer[Customer_ID],Customer[Name(Cleaned)])</f>
        <v>Maria Phillips</v>
      </c>
      <c r="D555" s="22" t="str">
        <f>VLOOKUP(B555,Customer[#ALL],6)</f>
        <v>Male</v>
      </c>
      <c r="E555" s="23">
        <f>Sales[Order_Date]</f>
        <v>45385</v>
      </c>
      <c r="F555" s="21" t="str">
        <f>Sales[Store_ID]</f>
        <v>STORE3</v>
      </c>
      <c r="G555" s="21" t="str">
        <f t="array" ref="G555">INDEX(Store[Store_Name],MATCH(F555,Store[Store_ID],0))</f>
        <v>Johnson-Wright</v>
      </c>
      <c r="H555" s="21" t="str">
        <f>Sales[Product_ID]</f>
        <v>PROD4</v>
      </c>
      <c r="I555" s="21" t="str">
        <f>VLOOKUP(H555,Products[],2)</f>
        <v>Portable Power Bank</v>
      </c>
      <c r="J555" s="24">
        <f>Sales[Total_Amount]</f>
        <v>2010.6432</v>
      </c>
      <c r="K555" s="21" t="str">
        <f t="shared" si="1"/>
        <v>Apr</v>
      </c>
      <c r="L555" s="21">
        <f t="shared" si="2"/>
        <v>2024</v>
      </c>
      <c r="N555" s="33"/>
      <c r="O555" s="34"/>
    </row>
    <row r="556" ht="22.5" customHeight="1">
      <c r="A556" s="21" t="s">
        <v>2521</v>
      </c>
      <c r="B556" s="21" t="s">
        <v>993</v>
      </c>
      <c r="C556" s="21" t="str">
        <f t="array" ref="C556">XLOOKUP(B556,Customer[Customer_ID],Customer[Name(Cleaned)])</f>
        <v>Kara Dodson</v>
      </c>
      <c r="D556" s="22" t="str">
        <f>VLOOKUP(B556,Customer[#ALL],6)</f>
        <v>Female</v>
      </c>
      <c r="E556" s="23">
        <f>Sales[Order_Date]</f>
        <v>45787</v>
      </c>
      <c r="F556" s="21" t="str">
        <f>Sales[Store_ID]</f>
        <v>STORE18</v>
      </c>
      <c r="G556" s="21" t="str">
        <f t="array" ref="G556">INDEX(Store[Store_Name],MATCH(F556,Store[Store_ID],0))</f>
        <v>Guerrero-Schmitt</v>
      </c>
      <c r="H556" s="21" t="str">
        <f>Sales[Product_ID]</f>
        <v>PROD74</v>
      </c>
      <c r="I556" s="21" t="str">
        <f>VLOOKUP(H556,Products[],2)</f>
        <v>Bluetooth Car Audio System</v>
      </c>
      <c r="J556" s="24">
        <f>Sales[Total_Amount]</f>
        <v>444.6144</v>
      </c>
      <c r="K556" s="21" t="str">
        <f t="shared" si="1"/>
        <v>May</v>
      </c>
      <c r="L556" s="21">
        <f t="shared" si="2"/>
        <v>2025</v>
      </c>
      <c r="N556" s="33"/>
      <c r="O556" s="34"/>
    </row>
    <row r="557" ht="22.5" customHeight="1">
      <c r="A557" s="21" t="s">
        <v>2522</v>
      </c>
      <c r="B557" s="21" t="s">
        <v>690</v>
      </c>
      <c r="C557" s="21" t="str">
        <f t="array" ref="C557">XLOOKUP(B557,Customer[Customer_ID],Customer[Name(Cleaned)])</f>
        <v>John Perez</v>
      </c>
      <c r="D557" s="22" t="str">
        <f>VLOOKUP(B557,Customer[#ALL],6)</f>
        <v>Female</v>
      </c>
      <c r="E557" s="23">
        <f>Sales[Order_Date]</f>
        <v>45822</v>
      </c>
      <c r="F557" s="21" t="str">
        <f>Sales[Store_ID]</f>
        <v>STORE7</v>
      </c>
      <c r="G557" s="21" t="str">
        <f t="array" ref="G557">INDEX(Store[Store_Name],MATCH(F557,Store[Store_ID],0))</f>
        <v>Martinez-Mullins</v>
      </c>
      <c r="H557" s="21" t="str">
        <f>Sales[Product_ID]</f>
        <v>PROD59</v>
      </c>
      <c r="I557" s="21" t="str">
        <f>VLOOKUP(H557,Products[],2)</f>
        <v>Men's Hair Styling Gel</v>
      </c>
      <c r="J557" s="24">
        <f>Sales[Total_Amount]</f>
        <v>1533.824</v>
      </c>
      <c r="K557" s="21" t="str">
        <f t="shared" si="1"/>
        <v>Jun</v>
      </c>
      <c r="L557" s="21">
        <f t="shared" si="2"/>
        <v>2025</v>
      </c>
      <c r="N557" s="33"/>
      <c r="O557" s="34"/>
    </row>
    <row r="558" ht="22.5" customHeight="1">
      <c r="A558" s="21" t="s">
        <v>2523</v>
      </c>
      <c r="B558" s="21" t="s">
        <v>1447</v>
      </c>
      <c r="C558" s="21" t="str">
        <f t="array" ref="C558">XLOOKUP(B558,Customer[Customer_ID],Customer[Name(Cleaned)])</f>
        <v>David Pierce</v>
      </c>
      <c r="D558" s="22" t="str">
        <f>VLOOKUP(B558,Customer[#ALL],6)</f>
        <v>Male</v>
      </c>
      <c r="E558" s="23">
        <f>Sales[Order_Date]</f>
        <v>45590</v>
      </c>
      <c r="F558" s="21" t="str">
        <f>Sales[Store_ID]</f>
        <v>STORE12</v>
      </c>
      <c r="G558" s="21" t="str">
        <f t="array" ref="G558">INDEX(Store[Store_Name],MATCH(F558,Store[Store_ID],0))</f>
        <v>Thomas, Bridges and Harris</v>
      </c>
      <c r="H558" s="21" t="str">
        <f>Sales[Product_ID]</f>
        <v>PROD41</v>
      </c>
      <c r="I558" s="21" t="str">
        <f>VLOOKUP(H558,Products[],2)</f>
        <v>Yoga Exercise Mat</v>
      </c>
      <c r="J558" s="24">
        <f>Sales[Total_Amount]</f>
        <v>1081.0134</v>
      </c>
      <c r="K558" s="21" t="str">
        <f t="shared" si="1"/>
        <v>Oct</v>
      </c>
      <c r="L558" s="21">
        <f t="shared" si="2"/>
        <v>2024</v>
      </c>
      <c r="N558" s="33"/>
      <c r="O558" s="34"/>
    </row>
    <row r="559" ht="22.5" customHeight="1">
      <c r="A559" s="21" t="s">
        <v>2524</v>
      </c>
      <c r="B559" s="21" t="s">
        <v>1365</v>
      </c>
      <c r="C559" s="21" t="str">
        <f t="array" ref="C559">XLOOKUP(B559,Customer[Customer_ID],Customer[Name(Cleaned)])</f>
        <v>Lindsay Beasley</v>
      </c>
      <c r="D559" s="22" t="str">
        <f>VLOOKUP(B559,Customer[#ALL],6)</f>
        <v>Male</v>
      </c>
      <c r="E559" s="23">
        <f>Sales[Order_Date]</f>
        <v>45636</v>
      </c>
      <c r="F559" s="21" t="str">
        <f>Sales[Store_ID]</f>
        <v>STORE9</v>
      </c>
      <c r="G559" s="21" t="str">
        <f t="array" ref="G559">INDEX(Store[Store_Name],MATCH(F559,Store[Store_ID],0))</f>
        <v>Moore, Padilla and Butler</v>
      </c>
      <c r="H559" s="21" t="str">
        <f>Sales[Product_ID]</f>
        <v>PROD36</v>
      </c>
      <c r="I559" s="21" t="str">
        <f>VLOOKUP(H559,Products[],2)</f>
        <v>Women's Summer Dress</v>
      </c>
      <c r="J559" s="24">
        <f>Sales[Total_Amount]</f>
        <v>2509.4592</v>
      </c>
      <c r="K559" s="21" t="str">
        <f t="shared" si="1"/>
        <v>Dec</v>
      </c>
      <c r="L559" s="21">
        <f t="shared" si="2"/>
        <v>2024</v>
      </c>
      <c r="N559" s="33"/>
      <c r="O559" s="34"/>
    </row>
    <row r="560" ht="22.5" customHeight="1">
      <c r="A560" s="21" t="s">
        <v>2525</v>
      </c>
      <c r="B560" s="21" t="s">
        <v>259</v>
      </c>
      <c r="C560" s="21" t="str">
        <f t="array" ref="C560">XLOOKUP(B560,Customer[Customer_ID],Customer[Name(Cleaned)])</f>
        <v>Mr. Mark Beasley</v>
      </c>
      <c r="D560" s="22" t="str">
        <f>VLOOKUP(B560,Customer[#ALL],6)</f>
        <v>Male</v>
      </c>
      <c r="E560" s="23">
        <f>Sales[Order_Date]</f>
        <v>45433</v>
      </c>
      <c r="F560" s="21" t="str">
        <f>Sales[Store_ID]</f>
        <v>STORE5</v>
      </c>
      <c r="G560" s="21" t="str">
        <f t="array" ref="G560">INDEX(Store[Store_Name],MATCH(F560,Store[Store_ID],0))</f>
        <v>Gray Ltd</v>
      </c>
      <c r="H560" s="21" t="str">
        <f>Sales[Product_ID]</f>
        <v>PROD52</v>
      </c>
      <c r="I560" s="21" t="str">
        <f>VLOOKUP(H560,Products[],2)</f>
        <v>Rugby Ball</v>
      </c>
      <c r="J560" s="24">
        <f>Sales[Total_Amount]</f>
        <v>1194.9504</v>
      </c>
      <c r="K560" s="21" t="str">
        <f t="shared" si="1"/>
        <v>May</v>
      </c>
      <c r="L560" s="21">
        <f t="shared" si="2"/>
        <v>2024</v>
      </c>
      <c r="N560" s="33"/>
      <c r="O560" s="34"/>
    </row>
    <row r="561" ht="22.5" customHeight="1">
      <c r="A561" s="21" t="s">
        <v>2526</v>
      </c>
      <c r="B561" s="21" t="s">
        <v>401</v>
      </c>
      <c r="C561" s="21" t="str">
        <f t="array" ref="C561">XLOOKUP(B561,Customer[Customer_ID],Customer[Name(Cleaned)])</f>
        <v>David Cole</v>
      </c>
      <c r="D561" s="22" t="str">
        <f>VLOOKUP(B561,Customer[#ALL],6)</f>
        <v>Male</v>
      </c>
      <c r="E561" s="23">
        <f>Sales[Order_Date]</f>
        <v>45618</v>
      </c>
      <c r="F561" s="21" t="str">
        <f>Sales[Store_ID]</f>
        <v>STORE11</v>
      </c>
      <c r="G561" s="21" t="str">
        <f t="array" ref="G561">INDEX(Store[Store_Name],MATCH(F561,Store[Store_ID],0))</f>
        <v>Aguirre-Keller</v>
      </c>
      <c r="H561" s="21" t="str">
        <f>Sales[Product_ID]</f>
        <v>PROD99</v>
      </c>
      <c r="I561" s="21" t="str">
        <f>VLOOKUP(H561,Products[],2)</f>
        <v>Stainless Steel Cookware Set</v>
      </c>
      <c r="J561" s="24">
        <f>Sales[Total_Amount]</f>
        <v>618.6936</v>
      </c>
      <c r="K561" s="21" t="str">
        <f t="shared" si="1"/>
        <v>Nov</v>
      </c>
      <c r="L561" s="21">
        <f t="shared" si="2"/>
        <v>2024</v>
      </c>
      <c r="N561" s="33"/>
      <c r="O561" s="34"/>
    </row>
    <row r="562" ht="22.5" customHeight="1">
      <c r="A562" s="21" t="s">
        <v>2527</v>
      </c>
      <c r="B562" s="21" t="s">
        <v>1265</v>
      </c>
      <c r="C562" s="21" t="str">
        <f t="array" ref="C562">XLOOKUP(B562,Customer[Customer_ID],Customer[Name(Cleaned)])</f>
        <v>Terry Moses</v>
      </c>
      <c r="D562" s="22" t="str">
        <f>VLOOKUP(B562,Customer[#ALL],6)</f>
        <v>Male</v>
      </c>
      <c r="E562" s="23">
        <f>Sales[Order_Date]</f>
        <v>45586</v>
      </c>
      <c r="F562" s="21" t="str">
        <f>Sales[Store_ID]</f>
        <v>STORE15</v>
      </c>
      <c r="G562" s="21" t="str">
        <f t="array" ref="G562">INDEX(Store[Store_Name],MATCH(F562,Store[Store_ID],0))</f>
        <v>Shelton PLC</v>
      </c>
      <c r="H562" s="21" t="str">
        <f>Sales[Product_ID]</f>
        <v>PROD65</v>
      </c>
      <c r="I562" s="21" t="str">
        <f>VLOOKUP(H562,Products[],2)</f>
        <v>Adjustable Dumbbells 20kg</v>
      </c>
      <c r="J562" s="24">
        <f>Sales[Total_Amount]</f>
        <v>377.28</v>
      </c>
      <c r="K562" s="21" t="str">
        <f t="shared" si="1"/>
        <v>Oct</v>
      </c>
      <c r="L562" s="21">
        <f t="shared" si="2"/>
        <v>2024</v>
      </c>
      <c r="N562" s="33"/>
      <c r="O562" s="34"/>
    </row>
    <row r="563" ht="22.5" customHeight="1">
      <c r="A563" s="21" t="s">
        <v>2528</v>
      </c>
      <c r="B563" s="21" t="s">
        <v>186</v>
      </c>
      <c r="C563" s="21" t="str">
        <f t="array" ref="C563">XLOOKUP(B563,Customer[Customer_ID],Customer[Name(Cleaned)])</f>
        <v>Michelle Garcia Dds</v>
      </c>
      <c r="D563" s="22" t="str">
        <f>VLOOKUP(B563,Customer[#ALL],6)</f>
        <v>Male</v>
      </c>
      <c r="E563" s="23">
        <f>Sales[Order_Date]</f>
        <v>45548</v>
      </c>
      <c r="F563" s="21" t="str">
        <f>Sales[Store_ID]</f>
        <v>STORE3</v>
      </c>
      <c r="G563" s="21" t="str">
        <f t="array" ref="G563">INDEX(Store[Store_Name],MATCH(F563,Store[Store_ID],0))</f>
        <v>Johnson-Wright</v>
      </c>
      <c r="H563" s="21" t="str">
        <f>Sales[Product_ID]</f>
        <v>PROD28</v>
      </c>
      <c r="I563" s="21" t="str">
        <f>VLOOKUP(H563,Products[],2)</f>
        <v>Sports Stopwatch Timer</v>
      </c>
      <c r="J563" s="24">
        <f>Sales[Total_Amount]</f>
        <v>1630.3392</v>
      </c>
      <c r="K563" s="21" t="str">
        <f t="shared" si="1"/>
        <v>Sep</v>
      </c>
      <c r="L563" s="21">
        <f t="shared" si="2"/>
        <v>2024</v>
      </c>
      <c r="N563" s="33"/>
      <c r="O563" s="34"/>
    </row>
    <row r="564" ht="22.5" customHeight="1">
      <c r="A564" s="21" t="s">
        <v>2529</v>
      </c>
      <c r="B564" s="21" t="s">
        <v>842</v>
      </c>
      <c r="C564" s="21" t="str">
        <f t="array" ref="C564">XLOOKUP(B564,Customer[Customer_ID],Customer[Name(Cleaned)])</f>
        <v>Beth Allen</v>
      </c>
      <c r="D564" s="22" t="str">
        <f>VLOOKUP(B564,Customer[#ALL],6)</f>
        <v>Male</v>
      </c>
      <c r="E564" s="23">
        <f>Sales[Order_Date]</f>
        <v>45772</v>
      </c>
      <c r="F564" s="21" t="str">
        <f>Sales[Store_ID]</f>
        <v>STORE10</v>
      </c>
      <c r="G564" s="21" t="str">
        <f t="array" ref="G564">INDEX(Store[Store_Name],MATCH(F564,Store[Store_ID],0))</f>
        <v>Hill, Wagner and Ballard</v>
      </c>
      <c r="H564" s="21" t="str">
        <f>Sales[Product_ID]</f>
        <v>PROD21</v>
      </c>
      <c r="I564" s="21" t="str">
        <f>VLOOKUP(H564,Products[],2)</f>
        <v>Multi-Purpose Storage Box</v>
      </c>
      <c r="J564" s="24">
        <f>Sales[Total_Amount]</f>
        <v>229.3109</v>
      </c>
      <c r="K564" s="21" t="str">
        <f t="shared" si="1"/>
        <v>Apr</v>
      </c>
      <c r="L564" s="21">
        <f t="shared" si="2"/>
        <v>2025</v>
      </c>
      <c r="N564" s="33"/>
      <c r="O564" s="34"/>
    </row>
    <row r="565" ht="22.5" customHeight="1">
      <c r="A565" s="21" t="s">
        <v>2530</v>
      </c>
      <c r="B565" s="21" t="s">
        <v>730</v>
      </c>
      <c r="C565" s="21" t="str">
        <f t="array" ref="C565">XLOOKUP(B565,Customer[Customer_ID],Customer[Name(Cleaned)])</f>
        <v>Lisa Young</v>
      </c>
      <c r="D565" s="22" t="str">
        <f>VLOOKUP(B565,Customer[#ALL],6)</f>
        <v>Female</v>
      </c>
      <c r="E565" s="23">
        <f>Sales[Order_Date]</f>
        <v>45361</v>
      </c>
      <c r="F565" s="21" t="str">
        <f>Sales[Store_ID]</f>
        <v>STORE19</v>
      </c>
      <c r="G565" s="21" t="str">
        <f t="array" ref="G565">INDEX(Store[Store_Name],MATCH(F565,Store[Store_ID],0))</f>
        <v>Mann-Austin</v>
      </c>
      <c r="H565" s="21" t="str">
        <f>Sales[Product_ID]</f>
        <v>PROD17</v>
      </c>
      <c r="I565" s="21" t="str">
        <f>VLOOKUP(H565,Products[],2)</f>
        <v>Soccer Training Cone Set</v>
      </c>
      <c r="J565" s="24">
        <f>Sales[Total_Amount]</f>
        <v>189.216</v>
      </c>
      <c r="K565" s="21" t="str">
        <f t="shared" si="1"/>
        <v>Mar</v>
      </c>
      <c r="L565" s="21">
        <f t="shared" si="2"/>
        <v>2024</v>
      </c>
      <c r="N565" s="33"/>
      <c r="O565" s="34"/>
    </row>
    <row r="566" ht="22.5" customHeight="1">
      <c r="A566" s="21" t="s">
        <v>2531</v>
      </c>
      <c r="B566" s="21" t="s">
        <v>1396</v>
      </c>
      <c r="C566" s="21" t="str">
        <f t="array" ref="C566">XLOOKUP(B566,Customer[Customer_ID],Customer[Name(Cleaned)])</f>
        <v>Shannon Turner</v>
      </c>
      <c r="D566" s="22" t="str">
        <f>VLOOKUP(B566,Customer[#ALL],6)</f>
        <v>Female</v>
      </c>
      <c r="E566" s="23">
        <f>Sales[Order_Date]</f>
        <v>45235</v>
      </c>
      <c r="F566" s="21" t="str">
        <f>Sales[Store_ID]</f>
        <v>STORE15</v>
      </c>
      <c r="G566" s="21" t="str">
        <f t="array" ref="G566">INDEX(Store[Store_Name],MATCH(F566,Store[Store_ID],0))</f>
        <v>Shelton PLC</v>
      </c>
      <c r="H566" s="21" t="str">
        <f>Sales[Product_ID]</f>
        <v>PROD59</v>
      </c>
      <c r="I566" s="21" t="str">
        <f>VLOOKUP(H566,Products[],2)</f>
        <v>Men's Hair Styling Gel</v>
      </c>
      <c r="J566" s="24">
        <f>Sales[Total_Amount]</f>
        <v>692.3884</v>
      </c>
      <c r="K566" s="21" t="str">
        <f t="shared" si="1"/>
        <v>Nov</v>
      </c>
      <c r="L566" s="21">
        <f t="shared" si="2"/>
        <v>2023</v>
      </c>
      <c r="N566" s="33"/>
      <c r="O566" s="34"/>
    </row>
    <row r="567" ht="22.5" customHeight="1">
      <c r="A567" s="21" t="s">
        <v>2532</v>
      </c>
      <c r="B567" s="21" t="s">
        <v>1462</v>
      </c>
      <c r="C567" s="21" t="str">
        <f t="array" ref="C567">XLOOKUP(B567,Customer[Customer_ID],Customer[Name(Cleaned)])</f>
        <v>James Foster</v>
      </c>
      <c r="D567" s="22" t="str">
        <f>VLOOKUP(B567,Customer[#ALL],6)</f>
        <v>Female</v>
      </c>
      <c r="E567" s="23">
        <f>Sales[Order_Date]</f>
        <v>45864</v>
      </c>
      <c r="F567" s="21" t="str">
        <f>Sales[Store_ID]</f>
        <v>STORE8</v>
      </c>
      <c r="G567" s="21" t="str">
        <f t="array" ref="G567">INDEX(Store[Store_Name],MATCH(F567,Store[Store_ID],0))</f>
        <v>Bean, Jones and Park</v>
      </c>
      <c r="H567" s="21" t="str">
        <f>Sales[Product_ID]</f>
        <v>PROD35</v>
      </c>
      <c r="I567" s="21" t="str">
        <f>VLOOKUP(H567,Products[],2)</f>
        <v>Bedroom Table Lamp</v>
      </c>
      <c r="J567" s="24">
        <f>Sales[Total_Amount]</f>
        <v>1884.54</v>
      </c>
      <c r="K567" s="21" t="str">
        <f t="shared" si="1"/>
        <v>Jul</v>
      </c>
      <c r="L567" s="21">
        <f t="shared" si="2"/>
        <v>2025</v>
      </c>
      <c r="N567" s="33"/>
      <c r="O567" s="34"/>
    </row>
    <row r="568" ht="22.5" customHeight="1">
      <c r="A568" s="21" t="s">
        <v>2533</v>
      </c>
      <c r="B568" s="21" t="s">
        <v>1170</v>
      </c>
      <c r="C568" s="21" t="str">
        <f t="array" ref="C568">XLOOKUP(B568,Customer[Customer_ID],Customer[Name(Cleaned)])</f>
        <v>Gregory Allen</v>
      </c>
      <c r="D568" s="22" t="str">
        <f>VLOOKUP(B568,Customer[#ALL],6)</f>
        <v>Male</v>
      </c>
      <c r="E568" s="23">
        <f>Sales[Order_Date]</f>
        <v>45681</v>
      </c>
      <c r="F568" s="21" t="str">
        <f>Sales[Store_ID]</f>
        <v>STORE15</v>
      </c>
      <c r="G568" s="21" t="str">
        <f t="array" ref="G568">INDEX(Store[Store_Name],MATCH(F568,Store[Store_ID],0))</f>
        <v>Shelton PLC</v>
      </c>
      <c r="H568" s="21" t="str">
        <f>Sales[Product_ID]</f>
        <v>PROD81</v>
      </c>
      <c r="I568" s="21" t="str">
        <f>VLOOKUP(H568,Products[],2)</f>
        <v>Badminton Racket Set</v>
      </c>
      <c r="J568" s="24">
        <f>Sales[Total_Amount]</f>
        <v>906.5034</v>
      </c>
      <c r="K568" s="21" t="str">
        <f t="shared" si="1"/>
        <v>Jan</v>
      </c>
      <c r="L568" s="21">
        <f t="shared" si="2"/>
        <v>2025</v>
      </c>
      <c r="N568" s="33"/>
      <c r="O568" s="34"/>
    </row>
    <row r="569" ht="22.5" customHeight="1">
      <c r="A569" s="21" t="s">
        <v>2534</v>
      </c>
      <c r="B569" s="21" t="s">
        <v>558</v>
      </c>
      <c r="C569" s="21" t="str">
        <f t="array" ref="C569">XLOOKUP(B569,Customer[Customer_ID],Customer[Name(Cleaned)])</f>
        <v>Daniel Rivas</v>
      </c>
      <c r="D569" s="22" t="str">
        <f>VLOOKUP(B569,Customer[#ALL],6)</f>
        <v>Male</v>
      </c>
      <c r="E569" s="23">
        <f>Sales[Order_Date]</f>
        <v>45905</v>
      </c>
      <c r="F569" s="21" t="str">
        <f>Sales[Store_ID]</f>
        <v>STORE14</v>
      </c>
      <c r="G569" s="21" t="str">
        <f t="array" ref="G569">INDEX(Store[Store_Name],MATCH(F569,Store[Store_ID],0))</f>
        <v>Mcdonald Inc</v>
      </c>
      <c r="H569" s="21" t="str">
        <f>Sales[Product_ID]</f>
        <v>PROD48</v>
      </c>
      <c r="I569" s="21" t="str">
        <f>VLOOKUP(H569,Products[],2)</f>
        <v>Car Dashboard Phone Holder</v>
      </c>
      <c r="J569" s="24">
        <f>Sales[Total_Amount]</f>
        <v>716.1336</v>
      </c>
      <c r="K569" s="21" t="str">
        <f t="shared" si="1"/>
        <v>Sep</v>
      </c>
      <c r="L569" s="21">
        <f t="shared" si="2"/>
        <v>2025</v>
      </c>
      <c r="N569" s="33"/>
      <c r="O569" s="34"/>
    </row>
    <row r="570" ht="22.5" customHeight="1">
      <c r="A570" s="21" t="s">
        <v>2535</v>
      </c>
      <c r="B570" s="21" t="s">
        <v>800</v>
      </c>
      <c r="C570" s="21" t="str">
        <f t="array" ref="C570">XLOOKUP(B570,Customer[Customer_ID],Customer[Name(Cleaned)])</f>
        <v>Laura Soto</v>
      </c>
      <c r="D570" s="22" t="str">
        <f>VLOOKUP(B570,Customer[#ALL],6)</f>
        <v>Male</v>
      </c>
      <c r="E570" s="23">
        <f>Sales[Order_Date]</f>
        <v>45765</v>
      </c>
      <c r="F570" s="21" t="str">
        <f>Sales[Store_ID]</f>
        <v>STORE0</v>
      </c>
      <c r="G570" s="21" t="str">
        <f t="array" ref="G570">INDEX(Store[Store_Name],MATCH(F570,Store[Store_ID],0))</f>
        <v>Rivera-Warner</v>
      </c>
      <c r="H570" s="21" t="str">
        <f>Sales[Product_ID]</f>
        <v>PROD90</v>
      </c>
      <c r="I570" s="21" t="str">
        <f>VLOOKUP(H570,Products[],2)</f>
        <v>Gaming Mouse Pad XL</v>
      </c>
      <c r="J570" s="24">
        <f>Sales[Total_Amount]</f>
        <v>137.697</v>
      </c>
      <c r="K570" s="21" t="str">
        <f t="shared" si="1"/>
        <v>Apr</v>
      </c>
      <c r="L570" s="21">
        <f t="shared" si="2"/>
        <v>2025</v>
      </c>
      <c r="N570" s="33"/>
      <c r="O570" s="34"/>
    </row>
    <row r="571" ht="22.5" customHeight="1">
      <c r="A571" s="21" t="s">
        <v>2536</v>
      </c>
      <c r="B571" s="21" t="s">
        <v>104</v>
      </c>
      <c r="C571" s="21" t="str">
        <f t="array" ref="C571">XLOOKUP(B571,Customer[Customer_ID],Customer[Name(Cleaned)])</f>
        <v>Paul Fox</v>
      </c>
      <c r="D571" s="22" t="str">
        <f>VLOOKUP(B571,Customer[#ALL],6)</f>
        <v>Male</v>
      </c>
      <c r="E571" s="23">
        <f>Sales[Order_Date]</f>
        <v>45594</v>
      </c>
      <c r="F571" s="21" t="str">
        <f>Sales[Store_ID]</f>
        <v>STORE8</v>
      </c>
      <c r="G571" s="21" t="str">
        <f t="array" ref="G571">INDEX(Store[Store_Name],MATCH(F571,Store[Store_ID],0))</f>
        <v>Bean, Jones and Park</v>
      </c>
      <c r="H571" s="21" t="str">
        <f>Sales[Product_ID]</f>
        <v>PROD13</v>
      </c>
      <c r="I571" s="21" t="str">
        <f>VLOOKUP(H571,Products[],2)</f>
        <v>USB-C Fast Charger</v>
      </c>
      <c r="J571" s="24">
        <f>Sales[Total_Amount]</f>
        <v>1584.784</v>
      </c>
      <c r="K571" s="21" t="str">
        <f t="shared" si="1"/>
        <v>Oct</v>
      </c>
      <c r="L571" s="21">
        <f t="shared" si="2"/>
        <v>2024</v>
      </c>
      <c r="N571" s="33"/>
      <c r="O571" s="34"/>
    </row>
    <row r="572" ht="22.5" customHeight="1">
      <c r="A572" s="21" t="s">
        <v>2537</v>
      </c>
      <c r="B572" s="21" t="s">
        <v>546</v>
      </c>
      <c r="C572" s="21" t="str">
        <f t="array" ref="C572">XLOOKUP(B572,Customer[Customer_ID],Customer[Name(Cleaned)])</f>
        <v>John Lawson</v>
      </c>
      <c r="D572" s="22" t="str">
        <f>VLOOKUP(B572,Customer[#ALL],6)</f>
        <v>Male</v>
      </c>
      <c r="E572" s="23">
        <f>Sales[Order_Date]</f>
        <v>45821</v>
      </c>
      <c r="F572" s="21" t="str">
        <f>Sales[Store_ID]</f>
        <v>STORE17</v>
      </c>
      <c r="G572" s="21" t="str">
        <f t="array" ref="G572">INDEX(Store[Store_Name],MATCH(F572,Store[Store_ID],0))</f>
        <v>Holloway Ltd</v>
      </c>
      <c r="H572" s="21" t="str">
        <f>Sales[Product_ID]</f>
        <v>PROD58</v>
      </c>
      <c r="I572" s="21" t="str">
        <f>VLOOKUP(H572,Products[],2)</f>
        <v>Womens Cotton Scarf</v>
      </c>
      <c r="J572" s="24">
        <f>Sales[Total_Amount]</f>
        <v>1345.6368</v>
      </c>
      <c r="K572" s="21" t="str">
        <f t="shared" si="1"/>
        <v>Jun</v>
      </c>
      <c r="L572" s="21">
        <f t="shared" si="2"/>
        <v>2025</v>
      </c>
      <c r="N572" s="33"/>
      <c r="O572" s="34"/>
    </row>
    <row r="573" ht="22.5" customHeight="1">
      <c r="A573" s="21" t="s">
        <v>2538</v>
      </c>
      <c r="B573" s="21" t="s">
        <v>815</v>
      </c>
      <c r="C573" s="21" t="str">
        <f t="array" ref="C573">XLOOKUP(B573,Customer[Customer_ID],Customer[Name(Cleaned)])</f>
        <v>Veronica Newman</v>
      </c>
      <c r="D573" s="22" t="str">
        <f>VLOOKUP(B573,Customer[#ALL],6)</f>
        <v>Female</v>
      </c>
      <c r="E573" s="23">
        <f>Sales[Order_Date]</f>
        <v>45691</v>
      </c>
      <c r="F573" s="21" t="str">
        <f>Sales[Store_ID]</f>
        <v>STORE13</v>
      </c>
      <c r="G573" s="21" t="str">
        <f t="array" ref="G573">INDEX(Store[Store_Name],MATCH(F573,Store[Store_ID],0))</f>
        <v>Gardner, Humphrey and Contreras</v>
      </c>
      <c r="H573" s="21" t="str">
        <f>Sales[Product_ID]</f>
        <v>PROD55</v>
      </c>
      <c r="I573" s="21" t="str">
        <f>VLOOKUP(H573,Products[],2)</f>
        <v>Ceramic Plant Pot</v>
      </c>
      <c r="J573" s="24">
        <f>Sales[Total_Amount]</f>
        <v>148.4916</v>
      </c>
      <c r="K573" s="21" t="str">
        <f t="shared" si="1"/>
        <v>Feb</v>
      </c>
      <c r="L573" s="21">
        <f t="shared" si="2"/>
        <v>2025</v>
      </c>
      <c r="N573" s="33"/>
      <c r="O573" s="34"/>
    </row>
    <row r="574" ht="22.5" customHeight="1">
      <c r="A574" s="21" t="s">
        <v>2539</v>
      </c>
      <c r="B574" s="21" t="s">
        <v>352</v>
      </c>
      <c r="C574" s="21" t="str">
        <f t="array" ref="C574">XLOOKUP(B574,Customer[Customer_ID],Customer[Name(Cleaned)])</f>
        <v>Samantha Walker</v>
      </c>
      <c r="D574" s="22" t="str">
        <f>VLOOKUP(B574,Customer[#ALL],6)</f>
        <v>Male</v>
      </c>
      <c r="E574" s="23">
        <f>Sales[Order_Date]</f>
        <v>45860</v>
      </c>
      <c r="F574" s="21" t="str">
        <f>Sales[Store_ID]</f>
        <v>STORE8</v>
      </c>
      <c r="G574" s="21" t="str">
        <f t="array" ref="G574">INDEX(Store[Store_Name],MATCH(F574,Store[Store_ID],0))</f>
        <v>Bean, Jones and Park</v>
      </c>
      <c r="H574" s="21" t="str">
        <f>Sales[Product_ID]</f>
        <v>PROD7</v>
      </c>
      <c r="I574" s="21" t="str">
        <f>VLOOKUP(H574,Products[],2)</f>
        <v>Men's Sports Shorts</v>
      </c>
      <c r="J574" s="24">
        <f>Sales[Total_Amount]</f>
        <v>2936.0144</v>
      </c>
      <c r="K574" s="21" t="str">
        <f t="shared" si="1"/>
        <v>Jul</v>
      </c>
      <c r="L574" s="21">
        <f t="shared" si="2"/>
        <v>2025</v>
      </c>
      <c r="N574" s="33"/>
      <c r="O574" s="34"/>
    </row>
    <row r="575" ht="22.5" customHeight="1">
      <c r="A575" s="21" t="s">
        <v>2540</v>
      </c>
      <c r="B575" s="21" t="s">
        <v>358</v>
      </c>
      <c r="C575" s="21" t="str">
        <f t="array" ref="C575">XLOOKUP(B575,Customer[Customer_ID],Customer[Name(Cleaned)])</f>
        <v>Brittney Morgan</v>
      </c>
      <c r="D575" s="22" t="str">
        <f>VLOOKUP(B575,Customer[#ALL],6)</f>
        <v>Female</v>
      </c>
      <c r="E575" s="23">
        <f>Sales[Order_Date]</f>
        <v>45922</v>
      </c>
      <c r="F575" s="21" t="str">
        <f>Sales[Store_ID]</f>
        <v>STORE16</v>
      </c>
      <c r="G575" s="21" t="str">
        <f t="array" ref="G575">INDEX(Store[Store_Name],MATCH(F575,Store[Store_ID],0))</f>
        <v>Frederick-Wright</v>
      </c>
      <c r="H575" s="21" t="str">
        <f>Sales[Product_ID]</f>
        <v>PROD2</v>
      </c>
      <c r="I575" s="21" t="str">
        <f>VLOOKUP(H575,Products[],2)</f>
        <v>Knee Support Brace</v>
      </c>
      <c r="J575" s="24">
        <f>Sales[Total_Amount]</f>
        <v>328.02</v>
      </c>
      <c r="K575" s="21" t="str">
        <f t="shared" si="1"/>
        <v>Sep</v>
      </c>
      <c r="L575" s="21">
        <f t="shared" si="2"/>
        <v>2025</v>
      </c>
      <c r="N575" s="33"/>
      <c r="O575" s="34"/>
    </row>
    <row r="576" ht="22.5" customHeight="1">
      <c r="A576" s="21" t="s">
        <v>2541</v>
      </c>
      <c r="B576" s="21" t="s">
        <v>1251</v>
      </c>
      <c r="C576" s="21" t="str">
        <f t="array" ref="C576">XLOOKUP(B576,Customer[Customer_ID],Customer[Name(Cleaned)])</f>
        <v>Alexander Byrd</v>
      </c>
      <c r="D576" s="22" t="str">
        <f>VLOOKUP(B576,Customer[#ALL],6)</f>
        <v>Male</v>
      </c>
      <c r="E576" s="23">
        <f>Sales[Order_Date]</f>
        <v>45477</v>
      </c>
      <c r="F576" s="21" t="str">
        <f>Sales[Store_ID]</f>
        <v>STORE4</v>
      </c>
      <c r="G576" s="21" t="str">
        <f t="array" ref="G576">INDEX(Store[Store_Name],MATCH(F576,Store[Store_ID],0))</f>
        <v>Alexander Group</v>
      </c>
      <c r="H576" s="21" t="str">
        <f>Sales[Product_ID]</f>
        <v>PROD61</v>
      </c>
      <c r="I576" s="21" t="str">
        <f>VLOOKUP(H576,Products[],2)</f>
        <v>Tennis Ball 3-Pack</v>
      </c>
      <c r="J576" s="24">
        <f>Sales[Total_Amount]</f>
        <v>944.471</v>
      </c>
      <c r="K576" s="21" t="str">
        <f t="shared" si="1"/>
        <v>Jul</v>
      </c>
      <c r="L576" s="21">
        <f t="shared" si="2"/>
        <v>2024</v>
      </c>
      <c r="N576" s="33"/>
      <c r="O576" s="34"/>
    </row>
    <row r="577" ht="22.5" customHeight="1">
      <c r="A577" s="21" t="s">
        <v>2542</v>
      </c>
      <c r="B577" s="21" t="s">
        <v>1326</v>
      </c>
      <c r="C577" s="21" t="str">
        <f t="array" ref="C577">XLOOKUP(B577,Customer[Customer_ID],Customer[Name(Cleaned)])</f>
        <v>Brittany Edwards Dds</v>
      </c>
      <c r="D577" s="22" t="str">
        <f>VLOOKUP(B577,Customer[#ALL],6)</f>
        <v>Male</v>
      </c>
      <c r="E577" s="23">
        <f>Sales[Order_Date]</f>
        <v>45504</v>
      </c>
      <c r="F577" s="21" t="str">
        <f>Sales[Store_ID]</f>
        <v>STORE13</v>
      </c>
      <c r="G577" s="21" t="str">
        <f t="array" ref="G577">INDEX(Store[Store_Name],MATCH(F577,Store[Store_ID],0))</f>
        <v>Gardner, Humphrey and Contreras</v>
      </c>
      <c r="H577" s="21" t="str">
        <f>Sales[Product_ID]</f>
        <v>PROD20</v>
      </c>
      <c r="I577" s="21" t="str">
        <f>VLOOKUP(H577,Products[],2)</f>
        <v>Outdoor Sports Water Bottle</v>
      </c>
      <c r="J577" s="24">
        <f>Sales[Total_Amount]</f>
        <v>126.5916</v>
      </c>
      <c r="K577" s="21" t="str">
        <f t="shared" si="1"/>
        <v>Jul</v>
      </c>
      <c r="L577" s="21">
        <f t="shared" si="2"/>
        <v>2024</v>
      </c>
      <c r="N577" s="33"/>
      <c r="O577" s="34"/>
    </row>
    <row r="578" ht="22.5" customHeight="1">
      <c r="A578" s="21" t="s">
        <v>2543</v>
      </c>
      <c r="B578" s="21" t="s">
        <v>132</v>
      </c>
      <c r="C578" s="21" t="str">
        <f t="array" ref="C578">XLOOKUP(B578,Customer[Customer_ID],Customer[Name(Cleaned)])</f>
        <v>Jessica Acevedo</v>
      </c>
      <c r="D578" s="22" t="str">
        <f>VLOOKUP(B578,Customer[#ALL],6)</f>
        <v>Male</v>
      </c>
      <c r="E578" s="23">
        <f>Sales[Order_Date]</f>
        <v>45862</v>
      </c>
      <c r="F578" s="21" t="str">
        <f>Sales[Store_ID]</f>
        <v>STORE18</v>
      </c>
      <c r="G578" s="21" t="str">
        <f t="array" ref="G578">INDEX(Store[Store_Name],MATCH(F578,Store[Store_ID],0))</f>
        <v>Guerrero-Schmitt</v>
      </c>
      <c r="H578" s="21" t="str">
        <f>Sales[Product_ID]</f>
        <v>PROD52</v>
      </c>
      <c r="I578" s="21" t="str">
        <f>VLOOKUP(H578,Products[],2)</f>
        <v>Rugby Ball</v>
      </c>
      <c r="J578" s="24">
        <f>Sales[Total_Amount]</f>
        <v>1579.7805</v>
      </c>
      <c r="K578" s="21" t="str">
        <f t="shared" si="1"/>
        <v>Jul</v>
      </c>
      <c r="L578" s="21">
        <f t="shared" si="2"/>
        <v>2025</v>
      </c>
      <c r="N578" s="33"/>
      <c r="O578" s="34"/>
    </row>
    <row r="579" ht="22.5" customHeight="1">
      <c r="A579" s="21" t="s">
        <v>2544</v>
      </c>
      <c r="B579" s="21" t="s">
        <v>1050</v>
      </c>
      <c r="C579" s="21" t="str">
        <f t="array" ref="C579">XLOOKUP(B579,Customer[Customer_ID],Customer[Name(Cleaned)])</f>
        <v>Victor Mcintosh</v>
      </c>
      <c r="D579" s="22" t="str">
        <f>VLOOKUP(B579,Customer[#ALL],6)</f>
        <v>Male</v>
      </c>
      <c r="E579" s="23">
        <f>Sales[Order_Date]</f>
        <v>45579</v>
      </c>
      <c r="F579" s="21" t="str">
        <f>Sales[Store_ID]</f>
        <v>STORE0</v>
      </c>
      <c r="G579" s="21" t="str">
        <f t="array" ref="G579">INDEX(Store[Store_Name],MATCH(F579,Store[Store_ID],0))</f>
        <v>Rivera-Warner</v>
      </c>
      <c r="H579" s="21" t="str">
        <f>Sales[Product_ID]</f>
        <v>PROD64</v>
      </c>
      <c r="I579" s="21" t="str">
        <f>VLOOKUP(H579,Products[],2)</f>
        <v>Matte Lipstick Set</v>
      </c>
      <c r="J579" s="24">
        <f>Sales[Total_Amount]</f>
        <v>682.556</v>
      </c>
      <c r="K579" s="21" t="str">
        <f t="shared" si="1"/>
        <v>Oct</v>
      </c>
      <c r="L579" s="21">
        <f t="shared" si="2"/>
        <v>2024</v>
      </c>
      <c r="N579" s="33"/>
      <c r="O579" s="34"/>
    </row>
    <row r="580" ht="22.5" customHeight="1">
      <c r="A580" s="21" t="s">
        <v>2545</v>
      </c>
      <c r="B580" s="21" t="s">
        <v>947</v>
      </c>
      <c r="C580" s="21" t="str">
        <f t="array" ref="C580">XLOOKUP(B580,Customer[Customer_ID],Customer[Name(Cleaned)])</f>
        <v>Lisa Chandler</v>
      </c>
      <c r="D580" s="22" t="str">
        <f>VLOOKUP(B580,Customer[#ALL],6)</f>
        <v>Female</v>
      </c>
      <c r="E580" s="23">
        <f>Sales[Order_Date]</f>
        <v>45658</v>
      </c>
      <c r="F580" s="21" t="str">
        <f>Sales[Store_ID]</f>
        <v>STORE18</v>
      </c>
      <c r="G580" s="21" t="str">
        <f t="array" ref="G580">INDEX(Store[Store_Name],MATCH(F580,Store[Store_ID],0))</f>
        <v>Guerrero-Schmitt</v>
      </c>
      <c r="H580" s="21" t="str">
        <f>Sales[Product_ID]</f>
        <v>PROD20</v>
      </c>
      <c r="I580" s="21" t="str">
        <f>VLOOKUP(H580,Products[],2)</f>
        <v>Outdoor Sports Water Bottle</v>
      </c>
      <c r="J580" s="24">
        <f>Sales[Total_Amount]</f>
        <v>1877.6688</v>
      </c>
      <c r="K580" s="21" t="str">
        <f t="shared" si="1"/>
        <v>Jan</v>
      </c>
      <c r="L580" s="21">
        <f t="shared" si="2"/>
        <v>2025</v>
      </c>
      <c r="N580" s="33"/>
      <c r="O580" s="34"/>
    </row>
    <row r="581" ht="22.5" customHeight="1">
      <c r="A581" s="21" t="s">
        <v>2546</v>
      </c>
      <c r="B581" s="21" t="s">
        <v>579</v>
      </c>
      <c r="C581" s="21" t="str">
        <f t="array" ref="C581">XLOOKUP(B581,Customer[Customer_ID],Customer[Name(Cleaned)])</f>
        <v>Amy Wilson</v>
      </c>
      <c r="D581" s="22" t="str">
        <f>VLOOKUP(B581,Customer[#ALL],6)</f>
        <v>Male</v>
      </c>
      <c r="E581" s="23">
        <f>Sales[Order_Date]</f>
        <v>45664</v>
      </c>
      <c r="F581" s="21" t="str">
        <f>Sales[Store_ID]</f>
        <v>STORE6</v>
      </c>
      <c r="G581" s="21" t="str">
        <f t="array" ref="G581">INDEX(Store[Store_Name],MATCH(F581,Store[Store_ID],0))</f>
        <v>Benson-Elliott</v>
      </c>
      <c r="H581" s="21" t="str">
        <f>Sales[Product_ID]</f>
        <v>PROD94</v>
      </c>
      <c r="I581" s="21" t="str">
        <f>VLOOKUP(H581,Products[],2)</f>
        <v>Vitamin E Body Lotion</v>
      </c>
      <c r="J581" s="24">
        <f>Sales[Total_Amount]</f>
        <v>1289.61</v>
      </c>
      <c r="K581" s="21" t="str">
        <f t="shared" si="1"/>
        <v>Jan</v>
      </c>
      <c r="L581" s="21">
        <f t="shared" si="2"/>
        <v>2025</v>
      </c>
      <c r="N581" s="33"/>
      <c r="O581" s="34"/>
    </row>
    <row r="582" ht="22.5" customHeight="1">
      <c r="A582" s="21" t="s">
        <v>2547</v>
      </c>
      <c r="B582" s="21" t="s">
        <v>794</v>
      </c>
      <c r="C582" s="21" t="str">
        <f t="array" ref="C582">XLOOKUP(B582,Customer[Customer_ID],Customer[Name(Cleaned)])</f>
        <v>Brian Hammond</v>
      </c>
      <c r="D582" s="22" t="str">
        <f>VLOOKUP(B582,Customer[#ALL],6)</f>
        <v>Male</v>
      </c>
      <c r="E582" s="23">
        <f>Sales[Order_Date]</f>
        <v>45798</v>
      </c>
      <c r="F582" s="21" t="str">
        <f>Sales[Store_ID]</f>
        <v>STORE19</v>
      </c>
      <c r="G582" s="21" t="str">
        <f t="array" ref="G582">INDEX(Store[Store_Name],MATCH(F582,Store[Store_ID],0))</f>
        <v>Mann-Austin</v>
      </c>
      <c r="H582" s="21" t="str">
        <f>Sales[Product_ID]</f>
        <v>PROD69</v>
      </c>
      <c r="I582" s="21" t="str">
        <f>VLOOKUP(H582,Products[],2)</f>
        <v>Men's Sports Shorts</v>
      </c>
      <c r="J582" s="24">
        <f>Sales[Total_Amount]</f>
        <v>193.5572</v>
      </c>
      <c r="K582" s="21" t="str">
        <f t="shared" si="1"/>
        <v>May</v>
      </c>
      <c r="L582" s="21">
        <f t="shared" si="2"/>
        <v>2025</v>
      </c>
      <c r="N582" s="33"/>
      <c r="O582" s="34"/>
    </row>
    <row r="583" ht="22.5" customHeight="1">
      <c r="A583" s="21" t="s">
        <v>2548</v>
      </c>
      <c r="B583" s="21" t="s">
        <v>383</v>
      </c>
      <c r="C583" s="21" t="str">
        <f t="array" ref="C583">XLOOKUP(B583,Customer[Customer_ID],Customer[Name(Cleaned)])</f>
        <v>Howard Summers</v>
      </c>
      <c r="D583" s="22" t="str">
        <f>VLOOKUP(B583,Customer[#ALL],6)</f>
        <v>Male</v>
      </c>
      <c r="E583" s="23">
        <f>Sales[Order_Date]</f>
        <v>45936</v>
      </c>
      <c r="F583" s="21" t="str">
        <f>Sales[Store_ID]</f>
        <v>STORE16</v>
      </c>
      <c r="G583" s="21" t="str">
        <f t="array" ref="G583">INDEX(Store[Store_Name],MATCH(F583,Store[Store_ID],0))</f>
        <v>Frederick-Wright</v>
      </c>
      <c r="H583" s="21" t="str">
        <f>Sales[Product_ID]</f>
        <v>PROD65</v>
      </c>
      <c r="I583" s="21" t="str">
        <f>VLOOKUP(H583,Products[],2)</f>
        <v>Adjustable Dumbbells 20kg</v>
      </c>
      <c r="J583" s="24">
        <f>Sales[Total_Amount]</f>
        <v>1631.2854</v>
      </c>
      <c r="K583" s="21" t="str">
        <f t="shared" si="1"/>
        <v>Oct</v>
      </c>
      <c r="L583" s="21">
        <f t="shared" si="2"/>
        <v>2025</v>
      </c>
      <c r="N583" s="33"/>
      <c r="O583" s="34"/>
    </row>
    <row r="584" ht="22.5" customHeight="1">
      <c r="A584" s="21" t="s">
        <v>2549</v>
      </c>
      <c r="B584" s="21" t="s">
        <v>216</v>
      </c>
      <c r="C584" s="21" t="str">
        <f t="array" ref="C584">XLOOKUP(B584,Customer[Customer_ID],Customer[Name(Cleaned)])</f>
        <v>Wayne Mcpherson</v>
      </c>
      <c r="D584" s="22" t="str">
        <f>VLOOKUP(B584,Customer[#ALL],6)</f>
        <v>Male</v>
      </c>
      <c r="E584" s="23">
        <f>Sales[Order_Date]</f>
        <v>45344</v>
      </c>
      <c r="F584" s="21" t="str">
        <f>Sales[Store_ID]</f>
        <v>STORE12</v>
      </c>
      <c r="G584" s="21" t="str">
        <f t="array" ref="G584">INDEX(Store[Store_Name],MATCH(F584,Store[Store_ID],0))</f>
        <v>Thomas, Bridges and Harris</v>
      </c>
      <c r="H584" s="21" t="str">
        <f>Sales[Product_ID]</f>
        <v>PROD21</v>
      </c>
      <c r="I584" s="21" t="str">
        <f>VLOOKUP(H584,Products[],2)</f>
        <v>Multi-Purpose Storage Box</v>
      </c>
      <c r="J584" s="24">
        <f>Sales[Total_Amount]</f>
        <v>392.0272</v>
      </c>
      <c r="K584" s="21" t="str">
        <f t="shared" si="1"/>
        <v>Feb</v>
      </c>
      <c r="L584" s="21">
        <f t="shared" si="2"/>
        <v>2024</v>
      </c>
      <c r="N584" s="33"/>
      <c r="O584" s="34"/>
    </row>
    <row r="585" ht="22.5" customHeight="1">
      <c r="A585" s="21" t="s">
        <v>2550</v>
      </c>
      <c r="B585" s="21" t="s">
        <v>82</v>
      </c>
      <c r="C585" s="21" t="str">
        <f t="array" ref="C585">XLOOKUP(B585,Customer[Customer_ID],Customer[Name(Cleaned)])</f>
        <v>John Scott</v>
      </c>
      <c r="D585" s="22" t="str">
        <f>VLOOKUP(B585,Customer[#ALL],6)</f>
        <v>Male</v>
      </c>
      <c r="E585" s="23">
        <f>Sales[Order_Date]</f>
        <v>45329</v>
      </c>
      <c r="F585" s="21" t="str">
        <f>Sales[Store_ID]</f>
        <v>STORE19</v>
      </c>
      <c r="G585" s="21" t="str">
        <f t="array" ref="G585">INDEX(Store[Store_Name],MATCH(F585,Store[Store_ID],0))</f>
        <v>Mann-Austin</v>
      </c>
      <c r="H585" s="21" t="str">
        <f>Sales[Product_ID]</f>
        <v>PROD16</v>
      </c>
      <c r="I585" s="21" t="str">
        <f>VLOOKUP(H585,Products[],2)</f>
        <v>Beard Grooming Kit</v>
      </c>
      <c r="J585" s="24">
        <f>Sales[Total_Amount]</f>
        <v>576.973</v>
      </c>
      <c r="K585" s="21" t="str">
        <f t="shared" si="1"/>
        <v>Feb</v>
      </c>
      <c r="L585" s="21">
        <f t="shared" si="2"/>
        <v>2024</v>
      </c>
      <c r="N585" s="33"/>
      <c r="O585" s="34"/>
    </row>
    <row r="586" ht="22.5" customHeight="1">
      <c r="A586" s="21" t="s">
        <v>2551</v>
      </c>
      <c r="B586" s="21" t="s">
        <v>1071</v>
      </c>
      <c r="C586" s="21" t="str">
        <f t="array" ref="C586">XLOOKUP(B586,Customer[Customer_ID],Customer[Name(Cleaned)])</f>
        <v>John Jones</v>
      </c>
      <c r="D586" s="22" t="str">
        <f>VLOOKUP(B586,Customer[#ALL],6)</f>
        <v>Male</v>
      </c>
      <c r="E586" s="23">
        <f>Sales[Order_Date]</f>
        <v>45895</v>
      </c>
      <c r="F586" s="21" t="str">
        <f>Sales[Store_ID]</f>
        <v>STORE14</v>
      </c>
      <c r="G586" s="21" t="str">
        <f t="array" ref="G586">INDEX(Store[Store_Name],MATCH(F586,Store[Store_ID],0))</f>
        <v>Mcdonald Inc</v>
      </c>
      <c r="H586" s="21" t="str">
        <f>Sales[Product_ID]</f>
        <v>PROD74</v>
      </c>
      <c r="I586" s="21" t="str">
        <f>VLOOKUP(H586,Products[],2)</f>
        <v>Bluetooth Car Audio System</v>
      </c>
      <c r="J586" s="24">
        <f>Sales[Total_Amount]</f>
        <v>953.4876</v>
      </c>
      <c r="K586" s="21" t="str">
        <f t="shared" si="1"/>
        <v>Aug</v>
      </c>
      <c r="L586" s="21">
        <f t="shared" si="2"/>
        <v>2025</v>
      </c>
      <c r="N586" s="33"/>
      <c r="O586" s="34"/>
    </row>
    <row r="587" ht="22.5" customHeight="1">
      <c r="A587" s="21" t="s">
        <v>2552</v>
      </c>
      <c r="B587" s="21" t="s">
        <v>672</v>
      </c>
      <c r="C587" s="21" t="str">
        <f t="array" ref="C587">XLOOKUP(B587,Customer[Customer_ID],Customer[Name(Cleaned)])</f>
        <v>Christina Garcia</v>
      </c>
      <c r="D587" s="22" t="str">
        <f>VLOOKUP(B587,Customer[#ALL],6)</f>
        <v>Male</v>
      </c>
      <c r="E587" s="23">
        <f>Sales[Order_Date]</f>
        <v>45239</v>
      </c>
      <c r="F587" s="21" t="str">
        <f>Sales[Store_ID]</f>
        <v>STORE15</v>
      </c>
      <c r="G587" s="21" t="str">
        <f t="array" ref="G587">INDEX(Store[Store_Name],MATCH(F587,Store[Store_ID],0))</f>
        <v>Shelton PLC</v>
      </c>
      <c r="H587" s="21" t="str">
        <f>Sales[Product_ID]</f>
        <v>PROD39</v>
      </c>
      <c r="I587" s="21" t="str">
        <f>VLOOKUP(H587,Products[],2)</f>
        <v>Portable Power Bank</v>
      </c>
      <c r="J587" s="24">
        <f>Sales[Total_Amount]</f>
        <v>1136.7584</v>
      </c>
      <c r="K587" s="21" t="str">
        <f t="shared" si="1"/>
        <v>Nov</v>
      </c>
      <c r="L587" s="21">
        <f t="shared" si="2"/>
        <v>2023</v>
      </c>
      <c r="N587" s="33"/>
      <c r="O587" s="34"/>
    </row>
    <row r="588" ht="22.5" customHeight="1">
      <c r="A588" s="21" t="s">
        <v>2553</v>
      </c>
      <c r="B588" s="21" t="s">
        <v>952</v>
      </c>
      <c r="C588" s="21" t="str">
        <f t="array" ref="C588">XLOOKUP(B588,Customer[Customer_ID],Customer[Name(Cleaned)])</f>
        <v>Jared Moran</v>
      </c>
      <c r="D588" s="22" t="str">
        <f>VLOOKUP(B588,Customer[#ALL],6)</f>
        <v>Male</v>
      </c>
      <c r="E588" s="23">
        <f>Sales[Order_Date]</f>
        <v>45296</v>
      </c>
      <c r="F588" s="21" t="str">
        <f>Sales[Store_ID]</f>
        <v>STORE18</v>
      </c>
      <c r="G588" s="21" t="str">
        <f t="array" ref="G588">INDEX(Store[Store_Name],MATCH(F588,Store[Store_ID],0))</f>
        <v>Guerrero-Schmitt</v>
      </c>
      <c r="H588" s="21" t="str">
        <f>Sales[Product_ID]</f>
        <v>PROD23</v>
      </c>
      <c r="I588" s="21" t="str">
        <f>VLOOKUP(H588,Products[],2)</f>
        <v>Men's Formal Shirt</v>
      </c>
      <c r="J588" s="24">
        <f>Sales[Total_Amount]</f>
        <v>468.7832</v>
      </c>
      <c r="K588" s="21" t="str">
        <f t="shared" si="1"/>
        <v>Jan</v>
      </c>
      <c r="L588" s="21">
        <f t="shared" si="2"/>
        <v>2024</v>
      </c>
      <c r="N588" s="33"/>
      <c r="O588" s="34"/>
    </row>
    <row r="589" ht="22.5" customHeight="1">
      <c r="A589" s="21" t="s">
        <v>2554</v>
      </c>
      <c r="B589" s="21" t="s">
        <v>616</v>
      </c>
      <c r="C589" s="21" t="str">
        <f t="array" ref="C589">XLOOKUP(B589,Customer[Customer_ID],Customer[Name(Cleaned)])</f>
        <v>Mario Jacobs</v>
      </c>
      <c r="D589" s="22" t="str">
        <f>VLOOKUP(B589,Customer[#ALL],6)</f>
        <v>Female</v>
      </c>
      <c r="E589" s="23">
        <f>Sales[Order_Date]</f>
        <v>45672</v>
      </c>
      <c r="F589" s="21" t="str">
        <f>Sales[Store_ID]</f>
        <v>STORE18</v>
      </c>
      <c r="G589" s="21" t="str">
        <f t="array" ref="G589">INDEX(Store[Store_Name],MATCH(F589,Store[Store_ID],0))</f>
        <v>Guerrero-Schmitt</v>
      </c>
      <c r="H589" s="21" t="str">
        <f>Sales[Product_ID]</f>
        <v>PROD40</v>
      </c>
      <c r="I589" s="21" t="str">
        <f>VLOOKUP(H589,Products[],2)</f>
        <v>Noise-Canceling Headphones</v>
      </c>
      <c r="J589" s="24">
        <f>Sales[Total_Amount]</f>
        <v>385.6788</v>
      </c>
      <c r="K589" s="21" t="str">
        <f t="shared" si="1"/>
        <v>Jan</v>
      </c>
      <c r="L589" s="21">
        <f t="shared" si="2"/>
        <v>2025</v>
      </c>
      <c r="N589" s="33"/>
      <c r="O589" s="34"/>
    </row>
    <row r="590" ht="22.5" customHeight="1">
      <c r="A590" s="21" t="s">
        <v>2555</v>
      </c>
      <c r="B590" s="21" t="s">
        <v>723</v>
      </c>
      <c r="C590" s="21" t="str">
        <f t="array" ref="C590">XLOOKUP(B590,Customer[Customer_ID],Customer[Name(Cleaned)])</f>
        <v>Jordan Wells</v>
      </c>
      <c r="D590" s="22" t="str">
        <f>VLOOKUP(B590,Customer[#ALL],6)</f>
        <v>Male</v>
      </c>
      <c r="E590" s="23">
        <f>Sales[Order_Date]</f>
        <v>45499</v>
      </c>
      <c r="F590" s="21" t="str">
        <f>Sales[Store_ID]</f>
        <v>STORE8</v>
      </c>
      <c r="G590" s="21" t="str">
        <f t="array" ref="G590">INDEX(Store[Store_Name],MATCH(F590,Store[Store_ID],0))</f>
        <v>Bean, Jones and Park</v>
      </c>
      <c r="H590" s="21" t="str">
        <f>Sales[Product_ID]</f>
        <v>PROD53</v>
      </c>
      <c r="I590" s="21" t="str">
        <f>VLOOKUP(H590,Products[],2)</f>
        <v>Men's Track Pants</v>
      </c>
      <c r="J590" s="24">
        <f>Sales[Total_Amount]</f>
        <v>1084.7936</v>
      </c>
      <c r="K590" s="21" t="str">
        <f t="shared" si="1"/>
        <v>Jul</v>
      </c>
      <c r="L590" s="21">
        <f t="shared" si="2"/>
        <v>2024</v>
      </c>
      <c r="N590" s="33"/>
      <c r="O590" s="34"/>
    </row>
    <row r="591" ht="22.5" customHeight="1">
      <c r="A591" s="21" t="s">
        <v>2556</v>
      </c>
      <c r="B591" s="21" t="s">
        <v>306</v>
      </c>
      <c r="C591" s="21" t="str">
        <f t="array" ref="C591">XLOOKUP(B591,Customer[Customer_ID],Customer[Name(Cleaned)])</f>
        <v>George Rosario</v>
      </c>
      <c r="D591" s="22" t="str">
        <f>VLOOKUP(B591,Customer[#ALL],6)</f>
        <v>Female</v>
      </c>
      <c r="E591" s="23">
        <f>Sales[Order_Date]</f>
        <v>45434</v>
      </c>
      <c r="F591" s="21" t="str">
        <f>Sales[Store_ID]</f>
        <v>STORE9</v>
      </c>
      <c r="G591" s="21" t="str">
        <f t="array" ref="G591">INDEX(Store[Store_Name],MATCH(F591,Store[Store_ID],0))</f>
        <v>Moore, Padilla and Butler</v>
      </c>
      <c r="H591" s="21" t="str">
        <f>Sales[Product_ID]</f>
        <v>PROD3</v>
      </c>
      <c r="I591" s="21" t="str">
        <f>VLOOKUP(H591,Products[],2)</f>
        <v>Fabric Sofa Throw Blanket</v>
      </c>
      <c r="J591" s="24">
        <f>Sales[Total_Amount]</f>
        <v>1616.8104</v>
      </c>
      <c r="K591" s="21" t="str">
        <f t="shared" si="1"/>
        <v>May</v>
      </c>
      <c r="L591" s="21">
        <f t="shared" si="2"/>
        <v>2024</v>
      </c>
      <c r="N591" s="33"/>
      <c r="O591" s="34"/>
    </row>
    <row r="592" ht="22.5" customHeight="1">
      <c r="A592" s="21" t="s">
        <v>2557</v>
      </c>
      <c r="B592" s="21" t="s">
        <v>145</v>
      </c>
      <c r="C592" s="21" t="str">
        <f t="array" ref="C592">XLOOKUP(B592,Customer[Customer_ID],Customer[Name(Cleaned)])</f>
        <v>Christopher Olson</v>
      </c>
      <c r="D592" s="22" t="str">
        <f>VLOOKUP(B592,Customer[#ALL],6)</f>
        <v>Male</v>
      </c>
      <c r="E592" s="23">
        <f>Sales[Order_Date]</f>
        <v>45893</v>
      </c>
      <c r="F592" s="21" t="str">
        <f>Sales[Store_ID]</f>
        <v>STORE19</v>
      </c>
      <c r="G592" s="21" t="str">
        <f t="array" ref="G592">INDEX(Store[Store_Name],MATCH(F592,Store[Store_ID],0))</f>
        <v>Mann-Austin</v>
      </c>
      <c r="H592" s="21" t="str">
        <f>Sales[Product_ID]</f>
        <v>PROD41</v>
      </c>
      <c r="I592" s="21" t="str">
        <f>VLOOKUP(H592,Products[],2)</f>
        <v>Yoga Exercise Mat</v>
      </c>
      <c r="J592" s="24">
        <f>Sales[Total_Amount]</f>
        <v>753.504</v>
      </c>
      <c r="K592" s="21" t="str">
        <f t="shared" si="1"/>
        <v>Aug</v>
      </c>
      <c r="L592" s="21">
        <f t="shared" si="2"/>
        <v>2025</v>
      </c>
      <c r="N592" s="33"/>
      <c r="O592" s="34"/>
    </row>
    <row r="593" ht="22.5" customHeight="1">
      <c r="A593" s="21" t="s">
        <v>2558</v>
      </c>
      <c r="B593" s="21" t="s">
        <v>1005</v>
      </c>
      <c r="C593" s="21" t="str">
        <f t="array" ref="C593">XLOOKUP(B593,Customer[Customer_ID],Customer[Name(Cleaned)])</f>
        <v>Elizabeth Johnson</v>
      </c>
      <c r="D593" s="22" t="str">
        <f>VLOOKUP(B593,Customer[#ALL],6)</f>
        <v>Male</v>
      </c>
      <c r="E593" s="23">
        <f>Sales[Order_Date]</f>
        <v>45579</v>
      </c>
      <c r="F593" s="21" t="str">
        <f>Sales[Store_ID]</f>
        <v>STORE19</v>
      </c>
      <c r="G593" s="21" t="str">
        <f t="array" ref="G593">INDEX(Store[Store_Name],MATCH(F593,Store[Store_ID],0))</f>
        <v>Mann-Austin</v>
      </c>
      <c r="H593" s="21" t="str">
        <f>Sales[Product_ID]</f>
        <v>PROD11</v>
      </c>
      <c r="I593" s="21" t="str">
        <f>VLOOKUP(H593,Products[],2)</f>
        <v>Men's Graphic T-Shirt</v>
      </c>
      <c r="J593" s="24">
        <f>Sales[Total_Amount]</f>
        <v>1491.7896</v>
      </c>
      <c r="K593" s="21" t="str">
        <f t="shared" si="1"/>
        <v>Oct</v>
      </c>
      <c r="L593" s="21">
        <f t="shared" si="2"/>
        <v>2024</v>
      </c>
      <c r="N593" s="33"/>
      <c r="O593" s="34"/>
    </row>
    <row r="594" ht="22.5" customHeight="1">
      <c r="A594" s="21" t="s">
        <v>2559</v>
      </c>
      <c r="B594" s="21" t="s">
        <v>800</v>
      </c>
      <c r="C594" s="21" t="str">
        <f t="array" ref="C594">XLOOKUP(B594,Customer[Customer_ID],Customer[Name(Cleaned)])</f>
        <v>Laura Soto</v>
      </c>
      <c r="D594" s="22" t="str">
        <f>VLOOKUP(B594,Customer[#ALL],6)</f>
        <v>Male</v>
      </c>
      <c r="E594" s="23">
        <f>Sales[Order_Date]</f>
        <v>45346</v>
      </c>
      <c r="F594" s="21" t="str">
        <f>Sales[Store_ID]</f>
        <v>STORE14</v>
      </c>
      <c r="G594" s="21" t="str">
        <f t="array" ref="G594">INDEX(Store[Store_Name],MATCH(F594,Store[Store_ID],0))</f>
        <v>Mcdonald Inc</v>
      </c>
      <c r="H594" s="21" t="str">
        <f>Sales[Product_ID]</f>
        <v>PROD40</v>
      </c>
      <c r="I594" s="21" t="str">
        <f>VLOOKUP(H594,Products[],2)</f>
        <v>Noise-Canceling Headphones</v>
      </c>
      <c r="J594" s="24">
        <f>Sales[Total_Amount]</f>
        <v>184.2291</v>
      </c>
      <c r="K594" s="21" t="str">
        <f t="shared" si="1"/>
        <v>Feb</v>
      </c>
      <c r="L594" s="21">
        <f t="shared" si="2"/>
        <v>2024</v>
      </c>
      <c r="N594" s="33"/>
      <c r="O594" s="34"/>
    </row>
    <row r="595" ht="22.5" customHeight="1">
      <c r="A595" s="21" t="s">
        <v>2560</v>
      </c>
      <c r="B595" s="21" t="s">
        <v>340</v>
      </c>
      <c r="C595" s="21" t="str">
        <f t="array" ref="C595">XLOOKUP(B595,Customer[Customer_ID],Customer[Name(Cleaned)])</f>
        <v>Robert Jackson</v>
      </c>
      <c r="D595" s="22" t="str">
        <f>VLOOKUP(B595,Customer[#ALL],6)</f>
        <v>Male</v>
      </c>
      <c r="E595" s="23">
        <f>Sales[Order_Date]</f>
        <v>45613</v>
      </c>
      <c r="F595" s="21" t="str">
        <f>Sales[Store_ID]</f>
        <v>STORE3</v>
      </c>
      <c r="G595" s="21" t="str">
        <f t="array" ref="G595">INDEX(Store[Store_Name],MATCH(F595,Store[Store_ID],0))</f>
        <v>Johnson-Wright</v>
      </c>
      <c r="H595" s="21" t="str">
        <f>Sales[Product_ID]</f>
        <v>PROD96</v>
      </c>
      <c r="I595" s="21" t="str">
        <f>VLOOKUP(H595,Products[],2)</f>
        <v>Women's Formal Blazer</v>
      </c>
      <c r="J595" s="24">
        <f>Sales[Total_Amount]</f>
        <v>2801.19</v>
      </c>
      <c r="K595" s="21" t="str">
        <f t="shared" si="1"/>
        <v>Nov</v>
      </c>
      <c r="L595" s="21">
        <f t="shared" si="2"/>
        <v>2024</v>
      </c>
      <c r="N595" s="33"/>
      <c r="O595" s="34"/>
    </row>
    <row r="596" ht="22.5" customHeight="1">
      <c r="A596" s="21" t="s">
        <v>2561</v>
      </c>
      <c r="B596" s="21" t="s">
        <v>531</v>
      </c>
      <c r="C596" s="21" t="str">
        <f t="array" ref="C596">XLOOKUP(B596,Customer[Customer_ID],Customer[Name(Cleaned)])</f>
        <v>Curtis Haynes</v>
      </c>
      <c r="D596" s="22" t="str">
        <f>VLOOKUP(B596,Customer[#ALL],6)</f>
        <v>Male</v>
      </c>
      <c r="E596" s="23">
        <f>Sales[Order_Date]</f>
        <v>45928</v>
      </c>
      <c r="F596" s="21" t="str">
        <f>Sales[Store_ID]</f>
        <v>STORE16</v>
      </c>
      <c r="G596" s="21" t="str">
        <f t="array" ref="G596">INDEX(Store[Store_Name],MATCH(F596,Store[Store_ID],0))</f>
        <v>Frederick-Wright</v>
      </c>
      <c r="H596" s="21" t="str">
        <f>Sales[Product_ID]</f>
        <v>PROD85</v>
      </c>
      <c r="I596" s="21" t="str">
        <f>VLOOKUP(H596,Products[],2)</f>
        <v>Women's Beanie Hat</v>
      </c>
      <c r="J596" s="24">
        <f>Sales[Total_Amount]</f>
        <v>1587.4998</v>
      </c>
      <c r="K596" s="21" t="str">
        <f t="shared" si="1"/>
        <v>Sep</v>
      </c>
      <c r="L596" s="21">
        <f t="shared" si="2"/>
        <v>2025</v>
      </c>
      <c r="N596" s="33"/>
      <c r="O596" s="34"/>
    </row>
    <row r="597" ht="22.5" customHeight="1">
      <c r="A597" s="21" t="s">
        <v>2562</v>
      </c>
      <c r="B597" s="21" t="s">
        <v>1182</v>
      </c>
      <c r="C597" s="21" t="str">
        <f t="array" ref="C597">XLOOKUP(B597,Customer[Customer_ID],Customer[Name(Cleaned)])</f>
        <v>James Orozco</v>
      </c>
      <c r="D597" s="22" t="str">
        <f>VLOOKUP(B597,Customer[#ALL],6)</f>
        <v>Male</v>
      </c>
      <c r="E597" s="23">
        <f>Sales[Order_Date]</f>
        <v>45619</v>
      </c>
      <c r="F597" s="21" t="str">
        <f>Sales[Store_ID]</f>
        <v>STORE18</v>
      </c>
      <c r="G597" s="21" t="str">
        <f t="array" ref="G597">INDEX(Store[Store_Name],MATCH(F597,Store[Store_ID],0))</f>
        <v>Guerrero-Schmitt</v>
      </c>
      <c r="H597" s="21" t="str">
        <f>Sales[Product_ID]</f>
        <v>PROD59</v>
      </c>
      <c r="I597" s="21" t="str">
        <f>VLOOKUP(H597,Products[],2)</f>
        <v>Men's Hair Styling Gel</v>
      </c>
      <c r="J597" s="24">
        <f>Sales[Total_Amount]</f>
        <v>2465.9856</v>
      </c>
      <c r="K597" s="21" t="str">
        <f t="shared" si="1"/>
        <v>Nov</v>
      </c>
      <c r="L597" s="21">
        <f t="shared" si="2"/>
        <v>2024</v>
      </c>
      <c r="N597" s="33"/>
      <c r="O597" s="34"/>
    </row>
    <row r="598" ht="22.5" customHeight="1">
      <c r="A598" s="21" t="s">
        <v>2563</v>
      </c>
      <c r="B598" s="21" t="s">
        <v>872</v>
      </c>
      <c r="C598" s="21" t="str">
        <f t="array" ref="C598">XLOOKUP(B598,Customer[Customer_ID],Customer[Name(Cleaned)])</f>
        <v>Tyrone Olson</v>
      </c>
      <c r="D598" s="22" t="str">
        <f>VLOOKUP(B598,Customer[#ALL],6)</f>
        <v>Male</v>
      </c>
      <c r="E598" s="23">
        <f>Sales[Order_Date]</f>
        <v>45533</v>
      </c>
      <c r="F598" s="21" t="str">
        <f>Sales[Store_ID]</f>
        <v>STORE17</v>
      </c>
      <c r="G598" s="21" t="str">
        <f t="array" ref="G598">INDEX(Store[Store_Name],MATCH(F598,Store[Store_ID],0))</f>
        <v>Holloway Ltd</v>
      </c>
      <c r="H598" s="21" t="str">
        <f>Sales[Product_ID]</f>
        <v>PROD59</v>
      </c>
      <c r="I598" s="21" t="str">
        <f>VLOOKUP(H598,Products[],2)</f>
        <v>Men's Hair Styling Gel</v>
      </c>
      <c r="J598" s="24">
        <f>Sales[Total_Amount]</f>
        <v>189.244</v>
      </c>
      <c r="K598" s="21" t="str">
        <f t="shared" si="1"/>
        <v>Aug</v>
      </c>
      <c r="L598" s="21">
        <f t="shared" si="2"/>
        <v>2024</v>
      </c>
      <c r="N598" s="33"/>
      <c r="O598" s="34"/>
    </row>
    <row r="599" ht="22.5" customHeight="1">
      <c r="A599" s="21" t="s">
        <v>2564</v>
      </c>
      <c r="B599" s="21" t="s">
        <v>161</v>
      </c>
      <c r="C599" s="21" t="str">
        <f t="array" ref="C599">XLOOKUP(B599,Customer[Customer_ID],Customer[Name(Cleaned)])</f>
        <v>Tonya Reynolds</v>
      </c>
      <c r="D599" s="22" t="str">
        <f>VLOOKUP(B599,Customer[#ALL],6)</f>
        <v>Male</v>
      </c>
      <c r="E599" s="23">
        <f>Sales[Order_Date]</f>
        <v>45781</v>
      </c>
      <c r="F599" s="21" t="str">
        <f>Sales[Store_ID]</f>
        <v>STORE16</v>
      </c>
      <c r="G599" s="21" t="str">
        <f t="array" ref="G599">INDEX(Store[Store_Name],MATCH(F599,Store[Store_ID],0))</f>
        <v>Frederick-Wright</v>
      </c>
      <c r="H599" s="21" t="str">
        <f>Sales[Product_ID]</f>
        <v>PROD11</v>
      </c>
      <c r="I599" s="21" t="str">
        <f>VLOOKUP(H599,Products[],2)</f>
        <v>Men's Graphic T-Shirt</v>
      </c>
      <c r="J599" s="24">
        <f>Sales[Total_Amount]</f>
        <v>1898.2482</v>
      </c>
      <c r="K599" s="21" t="str">
        <f t="shared" si="1"/>
        <v>May</v>
      </c>
      <c r="L599" s="21">
        <f t="shared" si="2"/>
        <v>2025</v>
      </c>
      <c r="N599" s="33"/>
      <c r="O599" s="34"/>
    </row>
    <row r="600" ht="22.5" customHeight="1">
      <c r="A600" s="21" t="s">
        <v>2565</v>
      </c>
      <c r="B600" s="21" t="s">
        <v>690</v>
      </c>
      <c r="C600" s="21" t="str">
        <f t="array" ref="C600">XLOOKUP(B600,Customer[Customer_ID],Customer[Name(Cleaned)])</f>
        <v>John Perez</v>
      </c>
      <c r="D600" s="22" t="str">
        <f>VLOOKUP(B600,Customer[#ALL],6)</f>
        <v>Female</v>
      </c>
      <c r="E600" s="23">
        <f>Sales[Order_Date]</f>
        <v>45378</v>
      </c>
      <c r="F600" s="21" t="str">
        <f>Sales[Store_ID]</f>
        <v>STORE16</v>
      </c>
      <c r="G600" s="21" t="str">
        <f t="array" ref="G600">INDEX(Store[Store_Name],MATCH(F600,Store[Store_ID],0))</f>
        <v>Frederick-Wright</v>
      </c>
      <c r="H600" s="21" t="str">
        <f>Sales[Product_ID]</f>
        <v>PROD78</v>
      </c>
      <c r="I600" s="21" t="str">
        <f>VLOOKUP(H600,Products[],2)</f>
        <v>Essential Oil Diffuser</v>
      </c>
      <c r="J600" s="24">
        <f>Sales[Total_Amount]</f>
        <v>860.3196</v>
      </c>
      <c r="K600" s="21" t="str">
        <f t="shared" si="1"/>
        <v>Mar</v>
      </c>
      <c r="L600" s="21">
        <f t="shared" si="2"/>
        <v>2024</v>
      </c>
      <c r="N600" s="33"/>
      <c r="O600" s="34"/>
    </row>
    <row r="601" ht="22.5" customHeight="1">
      <c r="A601" s="21" t="s">
        <v>2566</v>
      </c>
      <c r="B601" s="21" t="s">
        <v>1032</v>
      </c>
      <c r="C601" s="21" t="str">
        <f t="array" ref="C601">XLOOKUP(B601,Customer[Customer_ID],Customer[Name(Cleaned)])</f>
        <v>Kristy Dunlap</v>
      </c>
      <c r="D601" s="22" t="str">
        <f>VLOOKUP(B601,Customer[#ALL],6)</f>
        <v>Male</v>
      </c>
      <c r="E601" s="23">
        <f>Sales[Order_Date]</f>
        <v>45688</v>
      </c>
      <c r="F601" s="21" t="str">
        <f>Sales[Store_ID]</f>
        <v>STORE5</v>
      </c>
      <c r="G601" s="21" t="str">
        <f t="array" ref="G601">INDEX(Store[Store_Name],MATCH(F601,Store[Store_ID],0))</f>
        <v>Gray Ltd</v>
      </c>
      <c r="H601" s="21" t="str">
        <f>Sales[Product_ID]</f>
        <v>PROD9</v>
      </c>
      <c r="I601" s="21" t="str">
        <f>VLOOKUP(H601,Products[],2)</f>
        <v>Face Foundation Kit</v>
      </c>
      <c r="J601" s="24">
        <f>Sales[Total_Amount]</f>
        <v>1220.022</v>
      </c>
      <c r="K601" s="21" t="str">
        <f t="shared" si="1"/>
        <v>Jan</v>
      </c>
      <c r="L601" s="21">
        <f t="shared" si="2"/>
        <v>2025</v>
      </c>
      <c r="N601" s="33"/>
      <c r="O601" s="34"/>
    </row>
    <row r="602" ht="22.5" customHeight="1">
      <c r="A602" s="21" t="s">
        <v>2567</v>
      </c>
      <c r="B602" s="21" t="s">
        <v>47</v>
      </c>
      <c r="C602" s="21" t="str">
        <f t="array" ref="C602">XLOOKUP(B602,Customer[Customer_ID],Customer[Name(Cleaned)])</f>
        <v>Daniel Boyd</v>
      </c>
      <c r="D602" s="22" t="str">
        <f>VLOOKUP(B602,Customer[#ALL],6)</f>
        <v>Male</v>
      </c>
      <c r="E602" s="23">
        <f>Sales[Order_Date]</f>
        <v>45927</v>
      </c>
      <c r="F602" s="21" t="str">
        <f>Sales[Store_ID]</f>
        <v>STORE17</v>
      </c>
      <c r="G602" s="21" t="str">
        <f t="array" ref="G602">INDEX(Store[Store_Name],MATCH(F602,Store[Store_ID],0))</f>
        <v>Holloway Ltd</v>
      </c>
      <c r="H602" s="21" t="str">
        <f>Sales[Product_ID]</f>
        <v>PROD54</v>
      </c>
      <c r="I602" s="21" t="str">
        <f>VLOOKUP(H602,Products[],2)</f>
        <v>Sports Stopwatch Pro</v>
      </c>
      <c r="J602" s="24">
        <f>Sales[Total_Amount]</f>
        <v>1261.638</v>
      </c>
      <c r="K602" s="21" t="str">
        <f t="shared" si="1"/>
        <v>Sep</v>
      </c>
      <c r="L602" s="21">
        <f t="shared" si="2"/>
        <v>2025</v>
      </c>
      <c r="N602" s="33"/>
      <c r="O602" s="34"/>
    </row>
    <row r="603" ht="22.5" customHeight="1">
      <c r="A603" s="21" t="s">
        <v>2568</v>
      </c>
      <c r="B603" s="21" t="s">
        <v>272</v>
      </c>
      <c r="C603" s="21" t="str">
        <f t="array" ref="C603">XLOOKUP(B603,Customer[Customer_ID],Customer[Name(Cleaned)])</f>
        <v>Tonya Burch</v>
      </c>
      <c r="D603" s="22" t="str">
        <f>VLOOKUP(B603,Customer[#ALL],6)</f>
        <v>Male</v>
      </c>
      <c r="E603" s="23">
        <f>Sales[Order_Date]</f>
        <v>45775</v>
      </c>
      <c r="F603" s="21" t="str">
        <f>Sales[Store_ID]</f>
        <v>STORE12</v>
      </c>
      <c r="G603" s="21" t="str">
        <f t="array" ref="G603">INDEX(Store[Store_Name],MATCH(F603,Store[Store_ID],0))</f>
        <v>Thomas, Bridges and Harris</v>
      </c>
      <c r="H603" s="21" t="str">
        <f>Sales[Product_ID]</f>
        <v>PROD15</v>
      </c>
      <c r="I603" s="21" t="str">
        <f>VLOOKUP(H603,Products[],2)</f>
        <v>4K Home Projector</v>
      </c>
      <c r="J603" s="24">
        <f>Sales[Total_Amount]</f>
        <v>3332.0888</v>
      </c>
      <c r="K603" s="21" t="str">
        <f t="shared" si="1"/>
        <v>Apr</v>
      </c>
      <c r="L603" s="21">
        <f t="shared" si="2"/>
        <v>2025</v>
      </c>
      <c r="N603" s="33"/>
      <c r="O603" s="34"/>
    </row>
    <row r="604" ht="22.5" customHeight="1">
      <c r="A604" s="21" t="s">
        <v>2569</v>
      </c>
      <c r="B604" s="21" t="s">
        <v>1276</v>
      </c>
      <c r="C604" s="21" t="str">
        <f t="array" ref="C604">XLOOKUP(B604,Customer[Customer_ID],Customer[Name(Cleaned)])</f>
        <v>Eric Wolfe</v>
      </c>
      <c r="D604" s="22" t="str">
        <f>VLOOKUP(B604,Customer[#ALL],6)</f>
        <v>Male</v>
      </c>
      <c r="E604" s="23">
        <f>Sales[Order_Date]</f>
        <v>45613</v>
      </c>
      <c r="F604" s="21" t="str">
        <f>Sales[Store_ID]</f>
        <v>STORE2</v>
      </c>
      <c r="G604" s="21" t="str">
        <f t="array" ref="G604">INDEX(Store[Store_Name],MATCH(F604,Store[Store_ID],0))</f>
        <v>Black-Horn</v>
      </c>
      <c r="H604" s="21" t="str">
        <f>Sales[Product_ID]</f>
        <v>PROD48</v>
      </c>
      <c r="I604" s="21" t="str">
        <f>VLOOKUP(H604,Products[],2)</f>
        <v>Car Dashboard Phone Holder</v>
      </c>
      <c r="J604" s="24">
        <f>Sales[Total_Amount]</f>
        <v>300.2022</v>
      </c>
      <c r="K604" s="21" t="str">
        <f t="shared" si="1"/>
        <v>Nov</v>
      </c>
      <c r="L604" s="21">
        <f t="shared" si="2"/>
        <v>2024</v>
      </c>
      <c r="N604" s="33"/>
      <c r="O604" s="34"/>
    </row>
    <row r="605" ht="22.5" customHeight="1">
      <c r="A605" s="21" t="s">
        <v>2570</v>
      </c>
      <c r="B605" s="21" t="s">
        <v>1508</v>
      </c>
      <c r="C605" s="21" t="str">
        <f t="array" ref="C605">XLOOKUP(B605,Customer[Customer_ID],Customer[Name(Cleaned)])</f>
        <v>Sara Ingram</v>
      </c>
      <c r="D605" s="22" t="str">
        <f>VLOOKUP(B605,Customer[#ALL],6)</f>
        <v>Male</v>
      </c>
      <c r="E605" s="23">
        <f>Sales[Order_Date]</f>
        <v>45849</v>
      </c>
      <c r="F605" s="21" t="str">
        <f>Sales[Store_ID]</f>
        <v>STORE16</v>
      </c>
      <c r="G605" s="21" t="str">
        <f t="array" ref="G605">INDEX(Store[Store_Name],MATCH(F605,Store[Store_ID],0))</f>
        <v>Frederick-Wright</v>
      </c>
      <c r="H605" s="21" t="str">
        <f>Sales[Product_ID]</f>
        <v>PROD76</v>
      </c>
      <c r="I605" s="21" t="str">
        <f>VLOOKUP(H605,Products[],2)</f>
        <v>Wireless Mouse</v>
      </c>
      <c r="J605" s="24">
        <f>Sales[Total_Amount]</f>
        <v>502.107</v>
      </c>
      <c r="K605" s="21" t="str">
        <f t="shared" si="1"/>
        <v>Jul</v>
      </c>
      <c r="L605" s="21">
        <f t="shared" si="2"/>
        <v>2025</v>
      </c>
      <c r="N605" s="33"/>
      <c r="O605" s="34"/>
    </row>
    <row r="606" ht="22.5" customHeight="1">
      <c r="A606" s="21" t="s">
        <v>2571</v>
      </c>
      <c r="B606" s="21" t="s">
        <v>579</v>
      </c>
      <c r="C606" s="21" t="str">
        <f t="array" ref="C606">XLOOKUP(B606,Customer[Customer_ID],Customer[Name(Cleaned)])</f>
        <v>Amy Wilson</v>
      </c>
      <c r="D606" s="22" t="str">
        <f>VLOOKUP(B606,Customer[#ALL],6)</f>
        <v>Male</v>
      </c>
      <c r="E606" s="23">
        <f>Sales[Order_Date]</f>
        <v>45573</v>
      </c>
      <c r="F606" s="21" t="str">
        <f>Sales[Store_ID]</f>
        <v>STORE6</v>
      </c>
      <c r="G606" s="21" t="str">
        <f t="array" ref="G606">INDEX(Store[Store_Name],MATCH(F606,Store[Store_ID],0))</f>
        <v>Benson-Elliott</v>
      </c>
      <c r="H606" s="21" t="str">
        <f>Sales[Product_ID]</f>
        <v>PROD40</v>
      </c>
      <c r="I606" s="21" t="str">
        <f>VLOOKUP(H606,Products[],2)</f>
        <v>Noise-Canceling Headphones</v>
      </c>
      <c r="J606" s="24">
        <f>Sales[Total_Amount]</f>
        <v>269.0166</v>
      </c>
      <c r="K606" s="21" t="str">
        <f t="shared" si="1"/>
        <v>Oct</v>
      </c>
      <c r="L606" s="21">
        <f t="shared" si="2"/>
        <v>2024</v>
      </c>
      <c r="N606" s="33"/>
      <c r="O606" s="34"/>
    </row>
    <row r="607" ht="22.5" customHeight="1">
      <c r="A607" s="21" t="s">
        <v>2572</v>
      </c>
      <c r="B607" s="21" t="s">
        <v>812</v>
      </c>
      <c r="C607" s="21" t="str">
        <f t="array" ref="C607">XLOOKUP(B607,Customer[Customer_ID],Customer[Name(Cleaned)])</f>
        <v>Lauren George</v>
      </c>
      <c r="D607" s="22" t="str">
        <f>VLOOKUP(B607,Customer[#ALL],6)</f>
        <v>Male</v>
      </c>
      <c r="E607" s="23">
        <f>Sales[Order_Date]</f>
        <v>45356</v>
      </c>
      <c r="F607" s="21" t="str">
        <f>Sales[Store_ID]</f>
        <v>STORE7</v>
      </c>
      <c r="G607" s="21" t="str">
        <f t="array" ref="G607">INDEX(Store[Store_Name],MATCH(F607,Store[Store_ID],0))</f>
        <v>Martinez-Mullins</v>
      </c>
      <c r="H607" s="21" t="str">
        <f>Sales[Product_ID]</f>
        <v>PROD48</v>
      </c>
      <c r="I607" s="21" t="str">
        <f>VLOOKUP(H607,Products[],2)</f>
        <v>Car Dashboard Phone Holder</v>
      </c>
      <c r="J607" s="24">
        <f>Sales[Total_Amount]</f>
        <v>1823.1948</v>
      </c>
      <c r="K607" s="21" t="str">
        <f t="shared" si="1"/>
        <v>Mar</v>
      </c>
      <c r="L607" s="21">
        <f t="shared" si="2"/>
        <v>2024</v>
      </c>
      <c r="N607" s="33"/>
      <c r="O607" s="34"/>
    </row>
    <row r="608" ht="22.5" customHeight="1">
      <c r="A608" s="21" t="s">
        <v>2573</v>
      </c>
      <c r="B608" s="21" t="s">
        <v>1128</v>
      </c>
      <c r="C608" s="21" t="str">
        <f t="array" ref="C608">XLOOKUP(B608,Customer[Customer_ID],Customer[Name(Cleaned)])</f>
        <v>Carlos Flores</v>
      </c>
      <c r="D608" s="22" t="str">
        <f>VLOOKUP(B608,Customer[#ALL],6)</f>
        <v>Female</v>
      </c>
      <c r="E608" s="23">
        <f>Sales[Order_Date]</f>
        <v>45326</v>
      </c>
      <c r="F608" s="21" t="str">
        <f>Sales[Store_ID]</f>
        <v>STORE11</v>
      </c>
      <c r="G608" s="21" t="str">
        <f t="array" ref="G608">INDEX(Store[Store_Name],MATCH(F608,Store[Store_ID],0))</f>
        <v>Aguirre-Keller</v>
      </c>
      <c r="H608" s="21" t="str">
        <f>Sales[Product_ID]</f>
        <v>PROD1</v>
      </c>
      <c r="I608" s="21" t="str">
        <f>VLOOKUP(H608,Products[],2)</f>
        <v>Men's Graphic T-Shirt</v>
      </c>
      <c r="J608" s="24">
        <f>Sales[Total_Amount]</f>
        <v>905.85</v>
      </c>
      <c r="K608" s="21" t="str">
        <f t="shared" si="1"/>
        <v>Feb</v>
      </c>
      <c r="L608" s="21">
        <f t="shared" si="2"/>
        <v>2024</v>
      </c>
      <c r="N608" s="33"/>
      <c r="O608" s="34"/>
    </row>
    <row r="609" ht="22.5" customHeight="1">
      <c r="A609" s="21" t="s">
        <v>2574</v>
      </c>
      <c r="B609" s="21" t="s">
        <v>1459</v>
      </c>
      <c r="C609" s="21" t="str">
        <f t="array" ref="C609">XLOOKUP(B609,Customer[Customer_ID],Customer[Name(Cleaned)])</f>
        <v>Gregory Curtis</v>
      </c>
      <c r="D609" s="22" t="str">
        <f>VLOOKUP(B609,Customer[#ALL],6)</f>
        <v>Female</v>
      </c>
      <c r="E609" s="23">
        <f>Sales[Order_Date]</f>
        <v>45361</v>
      </c>
      <c r="F609" s="21" t="str">
        <f>Sales[Store_ID]</f>
        <v>STORE12</v>
      </c>
      <c r="G609" s="21" t="str">
        <f t="array" ref="G609">INDEX(Store[Store_Name],MATCH(F609,Store[Store_ID],0))</f>
        <v>Thomas, Bridges and Harris</v>
      </c>
      <c r="H609" s="21" t="str">
        <f>Sales[Product_ID]</f>
        <v>PROD99</v>
      </c>
      <c r="I609" s="21" t="str">
        <f>VLOOKUP(H609,Products[],2)</f>
        <v>Stainless Steel Cookware Set</v>
      </c>
      <c r="J609" s="24">
        <f>Sales[Total_Amount]</f>
        <v>2019.6945</v>
      </c>
      <c r="K609" s="21" t="str">
        <f t="shared" si="1"/>
        <v>Mar</v>
      </c>
      <c r="L609" s="21">
        <f t="shared" si="2"/>
        <v>2024</v>
      </c>
      <c r="N609" s="33"/>
      <c r="O609" s="34"/>
    </row>
    <row r="610" ht="22.5" customHeight="1">
      <c r="A610" s="21" t="s">
        <v>2575</v>
      </c>
      <c r="B610" s="21" t="s">
        <v>687</v>
      </c>
      <c r="C610" s="21" t="str">
        <f t="array" ref="C610">XLOOKUP(B610,Customer[Customer_ID],Customer[Name(Cleaned)])</f>
        <v>Jacqueline Pacheco</v>
      </c>
      <c r="D610" s="22" t="str">
        <f>VLOOKUP(B610,Customer[#ALL],6)</f>
        <v>Male</v>
      </c>
      <c r="E610" s="23">
        <f>Sales[Order_Date]</f>
        <v>45926</v>
      </c>
      <c r="F610" s="21" t="str">
        <f>Sales[Store_ID]</f>
        <v>STORE3</v>
      </c>
      <c r="G610" s="21" t="str">
        <f t="array" ref="G610">INDEX(Store[Store_Name],MATCH(F610,Store[Store_ID],0))</f>
        <v>Johnson-Wright</v>
      </c>
      <c r="H610" s="21" t="str">
        <f>Sales[Product_ID]</f>
        <v>PROD96</v>
      </c>
      <c r="I610" s="21" t="str">
        <f>VLOOKUP(H610,Products[],2)</f>
        <v>Women's Formal Blazer</v>
      </c>
      <c r="J610" s="24">
        <f>Sales[Total_Amount]</f>
        <v>980.3544</v>
      </c>
      <c r="K610" s="21" t="str">
        <f t="shared" si="1"/>
        <v>Sep</v>
      </c>
      <c r="L610" s="21">
        <f t="shared" si="2"/>
        <v>2025</v>
      </c>
      <c r="N610" s="33"/>
      <c r="O610" s="34"/>
    </row>
    <row r="611" ht="22.5" customHeight="1">
      <c r="A611" s="21" t="s">
        <v>2576</v>
      </c>
      <c r="B611" s="21" t="s">
        <v>349</v>
      </c>
      <c r="C611" s="21" t="str">
        <f t="array" ref="C611">XLOOKUP(B611,Customer[Customer_ID],Customer[Name(Cleaned)])</f>
        <v>Amy Fowler</v>
      </c>
      <c r="D611" s="22" t="str">
        <f>VLOOKUP(B611,Customer[#ALL],6)</f>
        <v>Male</v>
      </c>
      <c r="E611" s="23">
        <f>Sales[Order_Date]</f>
        <v>45839</v>
      </c>
      <c r="F611" s="21" t="str">
        <f>Sales[Store_ID]</f>
        <v>STORE1</v>
      </c>
      <c r="G611" s="21" t="str">
        <f t="array" ref="G611">INDEX(Store[Store_Name],MATCH(F611,Store[Store_ID],0))</f>
        <v>Martinez, Adkins and Johnson</v>
      </c>
      <c r="H611" s="21" t="str">
        <f>Sales[Product_ID]</f>
        <v>PROD88</v>
      </c>
      <c r="I611" s="21" t="str">
        <f>VLOOKUP(H611,Products[],2)</f>
        <v>Sports Wrist Sweatbands</v>
      </c>
      <c r="J611" s="24">
        <f>Sales[Total_Amount]</f>
        <v>136.0996</v>
      </c>
      <c r="K611" s="21" t="str">
        <f t="shared" si="1"/>
        <v>Jul</v>
      </c>
      <c r="L611" s="21">
        <f t="shared" si="2"/>
        <v>2025</v>
      </c>
      <c r="N611" s="33"/>
      <c r="O611" s="34"/>
    </row>
    <row r="612" ht="22.5" customHeight="1">
      <c r="A612" s="21" t="s">
        <v>2577</v>
      </c>
      <c r="B612" s="21" t="s">
        <v>717</v>
      </c>
      <c r="C612" s="21" t="str">
        <f t="array" ref="C612">XLOOKUP(B612,Customer[Customer_ID],Customer[Name(Cleaned)])</f>
        <v>Kathy Copeland</v>
      </c>
      <c r="D612" s="22" t="str">
        <f>VLOOKUP(B612,Customer[#ALL],6)</f>
        <v>Female</v>
      </c>
      <c r="E612" s="23">
        <f>Sales[Order_Date]</f>
        <v>45434</v>
      </c>
      <c r="F612" s="21" t="str">
        <f>Sales[Store_ID]</f>
        <v>STORE19</v>
      </c>
      <c r="G612" s="21" t="str">
        <f t="array" ref="G612">INDEX(Store[Store_Name],MATCH(F612,Store[Store_ID],0))</f>
        <v>Mann-Austin</v>
      </c>
      <c r="H612" s="21" t="str">
        <f>Sales[Product_ID]</f>
        <v>PROD43</v>
      </c>
      <c r="I612" s="21" t="str">
        <f>VLOOKUP(H612,Products[],2)</f>
        <v>USB External Hard Drive</v>
      </c>
      <c r="J612" s="24">
        <f>Sales[Total_Amount]</f>
        <v>641.9169</v>
      </c>
      <c r="K612" s="21" t="str">
        <f t="shared" si="1"/>
        <v>May</v>
      </c>
      <c r="L612" s="21">
        <f t="shared" si="2"/>
        <v>2024</v>
      </c>
      <c r="N612" s="33"/>
      <c r="O612" s="34"/>
    </row>
    <row r="613" ht="22.5" customHeight="1">
      <c r="A613" s="21" t="s">
        <v>2578</v>
      </c>
      <c r="B613" s="21" t="s">
        <v>389</v>
      </c>
      <c r="C613" s="21" t="str">
        <f t="array" ref="C613">XLOOKUP(B613,Customer[Customer_ID],Customer[Name(Cleaned)])</f>
        <v>Travis Holland</v>
      </c>
      <c r="D613" s="22" t="str">
        <f>VLOOKUP(B613,Customer[#ALL],6)</f>
        <v>Female</v>
      </c>
      <c r="E613" s="23">
        <f>Sales[Order_Date]</f>
        <v>45819</v>
      </c>
      <c r="F613" s="21" t="str">
        <f>Sales[Store_ID]</f>
        <v>STORE7</v>
      </c>
      <c r="G613" s="21" t="str">
        <f t="array" ref="G613">INDEX(Store[Store_Name],MATCH(F613,Store[Store_ID],0))</f>
        <v>Martinez-Mullins</v>
      </c>
      <c r="H613" s="21" t="str">
        <f>Sales[Product_ID]</f>
        <v>PROD94</v>
      </c>
      <c r="I613" s="21" t="str">
        <f>VLOOKUP(H613,Products[],2)</f>
        <v>Vitamin E Body Lotion</v>
      </c>
      <c r="J613" s="24">
        <f>Sales[Total_Amount]</f>
        <v>248.1783</v>
      </c>
      <c r="K613" s="21" t="str">
        <f t="shared" si="1"/>
        <v>Jun</v>
      </c>
      <c r="L613" s="21">
        <f t="shared" si="2"/>
        <v>2025</v>
      </c>
      <c r="N613" s="33"/>
      <c r="O613" s="34"/>
    </row>
    <row r="614" ht="22.5" customHeight="1">
      <c r="A614" s="21" t="s">
        <v>2579</v>
      </c>
      <c r="B614" s="21" t="s">
        <v>730</v>
      </c>
      <c r="C614" s="21" t="str">
        <f t="array" ref="C614">XLOOKUP(B614,Customer[Customer_ID],Customer[Name(Cleaned)])</f>
        <v>Lisa Young</v>
      </c>
      <c r="D614" s="22" t="str">
        <f>VLOOKUP(B614,Customer[#ALL],6)</f>
        <v>Female</v>
      </c>
      <c r="E614" s="23">
        <f>Sales[Order_Date]</f>
        <v>45553</v>
      </c>
      <c r="F614" s="21" t="str">
        <f>Sales[Store_ID]</f>
        <v>STORE1</v>
      </c>
      <c r="G614" s="21" t="str">
        <f t="array" ref="G614">INDEX(Store[Store_Name],MATCH(F614,Store[Store_ID],0))</f>
        <v>Martinez, Adkins and Johnson</v>
      </c>
      <c r="H614" s="21" t="str">
        <f>Sales[Product_ID]</f>
        <v>PROD62</v>
      </c>
      <c r="I614" s="21" t="str">
        <f>VLOOKUP(H614,Products[],2)</f>
        <v>Laptop Cooling Pad</v>
      </c>
      <c r="J614" s="24">
        <f>Sales[Total_Amount]</f>
        <v>230.1252</v>
      </c>
      <c r="K614" s="21" t="str">
        <f t="shared" si="1"/>
        <v>Sep</v>
      </c>
      <c r="L614" s="21">
        <f t="shared" si="2"/>
        <v>2024</v>
      </c>
      <c r="N614" s="33"/>
      <c r="O614" s="34"/>
    </row>
    <row r="615" ht="22.5" customHeight="1">
      <c r="A615" s="21" t="s">
        <v>2580</v>
      </c>
      <c r="B615" s="21" t="s">
        <v>984</v>
      </c>
      <c r="C615" s="21" t="str">
        <f t="array" ref="C615">XLOOKUP(B615,Customer[Customer_ID],Customer[Name(Cleaned)])</f>
        <v>Brandy Thompson</v>
      </c>
      <c r="D615" s="22" t="str">
        <f>VLOOKUP(B615,Customer[#ALL],6)</f>
        <v>Male</v>
      </c>
      <c r="E615" s="23">
        <f>Sales[Order_Date]</f>
        <v>45745</v>
      </c>
      <c r="F615" s="21" t="str">
        <f>Sales[Store_ID]</f>
        <v>STORE12</v>
      </c>
      <c r="G615" s="21" t="str">
        <f t="array" ref="G615">INDEX(Store[Store_Name],MATCH(F615,Store[Store_ID],0))</f>
        <v>Thomas, Bridges and Harris</v>
      </c>
      <c r="H615" s="21" t="str">
        <f>Sales[Product_ID]</f>
        <v>PROD93</v>
      </c>
      <c r="I615" s="21" t="str">
        <f>VLOOKUP(H615,Products[],2)</f>
        <v>USB-C Laptop Charger</v>
      </c>
      <c r="J615" s="24">
        <f>Sales[Total_Amount]</f>
        <v>3077.5992</v>
      </c>
      <c r="K615" s="21" t="str">
        <f t="shared" si="1"/>
        <v>Mar</v>
      </c>
      <c r="L615" s="21">
        <f t="shared" si="2"/>
        <v>2025</v>
      </c>
      <c r="N615" s="33"/>
      <c r="O615" s="34"/>
    </row>
    <row r="616" ht="22.5" customHeight="1">
      <c r="A616" s="21" t="s">
        <v>2581</v>
      </c>
      <c r="B616" s="21" t="s">
        <v>1368</v>
      </c>
      <c r="C616" s="21" t="str">
        <f t="array" ref="C616">XLOOKUP(B616,Customer[Customer_ID],Customer[Name(Cleaned)])</f>
        <v>Sharon Simpson</v>
      </c>
      <c r="D616" s="22" t="str">
        <f>VLOOKUP(B616,Customer[#ALL],6)</f>
        <v>Female</v>
      </c>
      <c r="E616" s="23">
        <f>Sales[Order_Date]</f>
        <v>45258</v>
      </c>
      <c r="F616" s="21" t="str">
        <f>Sales[Store_ID]</f>
        <v>STORE2</v>
      </c>
      <c r="G616" s="21" t="str">
        <f t="array" ref="G616">INDEX(Store[Store_Name],MATCH(F616,Store[Store_ID],0))</f>
        <v>Black-Horn</v>
      </c>
      <c r="H616" s="21" t="str">
        <f>Sales[Product_ID]</f>
        <v>PROD40</v>
      </c>
      <c r="I616" s="21" t="str">
        <f>VLOOKUP(H616,Products[],2)</f>
        <v>Noise-Canceling Headphones</v>
      </c>
      <c r="J616" s="24">
        <f>Sales[Total_Amount]</f>
        <v>169.728</v>
      </c>
      <c r="K616" s="21" t="str">
        <f t="shared" si="1"/>
        <v>Nov</v>
      </c>
      <c r="L616" s="21">
        <f t="shared" si="2"/>
        <v>2023</v>
      </c>
      <c r="N616" s="33"/>
      <c r="O616" s="34"/>
    </row>
    <row r="617" ht="22.5" customHeight="1">
      <c r="A617" s="21" t="s">
        <v>2582</v>
      </c>
      <c r="B617" s="21" t="s">
        <v>1523</v>
      </c>
      <c r="C617" s="21" t="str">
        <f t="array" ref="C617">XLOOKUP(B617,Customer[Customer_ID],Customer[Name(Cleaned)])</f>
        <v>Scott Harris</v>
      </c>
      <c r="D617" s="22" t="str">
        <f>VLOOKUP(B617,Customer[#ALL],6)</f>
        <v>Female</v>
      </c>
      <c r="E617" s="23">
        <f>Sales[Order_Date]</f>
        <v>45435</v>
      </c>
      <c r="F617" s="21" t="str">
        <f>Sales[Store_ID]</f>
        <v>STORE14</v>
      </c>
      <c r="G617" s="21" t="str">
        <f t="array" ref="G617">INDEX(Store[Store_Name],MATCH(F617,Store[Store_ID],0))</f>
        <v>Mcdonald Inc</v>
      </c>
      <c r="H617" s="21" t="str">
        <f>Sales[Product_ID]</f>
        <v>PROD84</v>
      </c>
      <c r="I617" s="21" t="str">
        <f>VLOOKUP(H617,Products[],2)</f>
        <v>Wooden Bookshelf</v>
      </c>
      <c r="J617" s="24">
        <f>Sales[Total_Amount]</f>
        <v>37.328</v>
      </c>
      <c r="K617" s="21" t="str">
        <f t="shared" si="1"/>
        <v>May</v>
      </c>
      <c r="L617" s="21">
        <f t="shared" si="2"/>
        <v>2024</v>
      </c>
      <c r="N617" s="33"/>
      <c r="O617" s="34"/>
    </row>
    <row r="618" ht="22.5" customHeight="1">
      <c r="A618" s="21" t="s">
        <v>2583</v>
      </c>
      <c r="B618" s="21" t="s">
        <v>47</v>
      </c>
      <c r="C618" s="21" t="str">
        <f t="array" ref="C618">XLOOKUP(B618,Customer[Customer_ID],Customer[Name(Cleaned)])</f>
        <v>Daniel Boyd</v>
      </c>
      <c r="D618" s="22" t="str">
        <f>VLOOKUP(B618,Customer[#ALL],6)</f>
        <v>Male</v>
      </c>
      <c r="E618" s="23">
        <f>Sales[Order_Date]</f>
        <v>45447</v>
      </c>
      <c r="F618" s="21" t="str">
        <f>Sales[Store_ID]</f>
        <v>STORE11</v>
      </c>
      <c r="G618" s="21" t="str">
        <f t="array" ref="G618">INDEX(Store[Store_Name],MATCH(F618,Store[Store_ID],0))</f>
        <v>Aguirre-Keller</v>
      </c>
      <c r="H618" s="21" t="str">
        <f>Sales[Product_ID]</f>
        <v>PROD73</v>
      </c>
      <c r="I618" s="21" t="str">
        <f>VLOOKUP(H618,Products[],2)</f>
        <v>Shin Guards – Adult</v>
      </c>
      <c r="J618" s="24">
        <f>Sales[Total_Amount]</f>
        <v>2474.208</v>
      </c>
      <c r="K618" s="21" t="str">
        <f t="shared" si="1"/>
        <v>Jun</v>
      </c>
      <c r="L618" s="21">
        <f t="shared" si="2"/>
        <v>2024</v>
      </c>
      <c r="N618" s="33"/>
      <c r="O618" s="34"/>
    </row>
    <row r="619" ht="22.5" customHeight="1">
      <c r="A619" s="21" t="s">
        <v>2584</v>
      </c>
      <c r="B619" s="21" t="s">
        <v>1200</v>
      </c>
      <c r="C619" s="21" t="str">
        <f t="array" ref="C619">XLOOKUP(B619,Customer[Customer_ID],Customer[Name(Cleaned)])</f>
        <v>Tanya Lopez</v>
      </c>
      <c r="D619" s="22" t="str">
        <f>VLOOKUP(B619,Customer[#ALL],6)</f>
        <v>Male</v>
      </c>
      <c r="E619" s="23">
        <f>Sales[Order_Date]</f>
        <v>45724</v>
      </c>
      <c r="F619" s="21" t="str">
        <f>Sales[Store_ID]</f>
        <v>STORE14</v>
      </c>
      <c r="G619" s="21" t="str">
        <f t="array" ref="G619">INDEX(Store[Store_Name],MATCH(F619,Store[Store_ID],0))</f>
        <v>Mcdonald Inc</v>
      </c>
      <c r="H619" s="21" t="str">
        <f>Sales[Product_ID]</f>
        <v>PROD18</v>
      </c>
      <c r="I619" s="21" t="str">
        <f>VLOOKUP(H619,Products[],2)</f>
        <v>Women's Denim Jeans</v>
      </c>
      <c r="J619" s="24">
        <f>Sales[Total_Amount]</f>
        <v>1065.4896</v>
      </c>
      <c r="K619" s="21" t="str">
        <f t="shared" si="1"/>
        <v>Mar</v>
      </c>
      <c r="L619" s="21">
        <f t="shared" si="2"/>
        <v>2025</v>
      </c>
      <c r="N619" s="33"/>
      <c r="O619" s="34"/>
    </row>
    <row r="620" ht="22.5" customHeight="1">
      <c r="A620" s="21" t="s">
        <v>2585</v>
      </c>
      <c r="B620" s="21" t="s">
        <v>839</v>
      </c>
      <c r="C620" s="21" t="str">
        <f t="array" ref="C620">XLOOKUP(B620,Customer[Customer_ID],Customer[Name(Cleaned)])</f>
        <v>Sarah Stewart</v>
      </c>
      <c r="D620" s="22" t="str">
        <f>VLOOKUP(B620,Customer[#ALL],6)</f>
        <v>Male</v>
      </c>
      <c r="E620" s="23">
        <f>Sales[Order_Date]</f>
        <v>45338</v>
      </c>
      <c r="F620" s="21" t="str">
        <f>Sales[Store_ID]</f>
        <v>STORE13</v>
      </c>
      <c r="G620" s="21" t="str">
        <f t="array" ref="G620">INDEX(Store[Store_Name],MATCH(F620,Store[Store_ID],0))</f>
        <v>Gardner, Humphrey and Contreras</v>
      </c>
      <c r="H620" s="21" t="str">
        <f>Sales[Product_ID]</f>
        <v>PROD25</v>
      </c>
      <c r="I620" s="21" t="str">
        <f>VLOOKUP(H620,Products[],2)</f>
        <v>Women's Scarf Set</v>
      </c>
      <c r="J620" s="24">
        <f>Sales[Total_Amount]</f>
        <v>706.7788</v>
      </c>
      <c r="K620" s="21" t="str">
        <f t="shared" si="1"/>
        <v>Feb</v>
      </c>
      <c r="L620" s="21">
        <f t="shared" si="2"/>
        <v>2024</v>
      </c>
      <c r="N620" s="33"/>
      <c r="O620" s="34"/>
    </row>
    <row r="621" ht="22.5" customHeight="1">
      <c r="A621" s="21" t="s">
        <v>2586</v>
      </c>
      <c r="B621" s="21" t="s">
        <v>1020</v>
      </c>
      <c r="C621" s="21" t="str">
        <f t="array" ref="C621">XLOOKUP(B621,Customer[Customer_ID],Customer[Name(Cleaned)])</f>
        <v>Casey Simpson</v>
      </c>
      <c r="D621" s="22" t="str">
        <f>VLOOKUP(B621,Customer[#ALL],6)</f>
        <v>Female</v>
      </c>
      <c r="E621" s="23">
        <f>Sales[Order_Date]</f>
        <v>45252</v>
      </c>
      <c r="F621" s="21" t="str">
        <f>Sales[Store_ID]</f>
        <v>STORE6</v>
      </c>
      <c r="G621" s="21" t="str">
        <f t="array" ref="G621">INDEX(Store[Store_Name],MATCH(F621,Store[Store_ID],0))</f>
        <v>Benson-Elliott</v>
      </c>
      <c r="H621" s="21" t="str">
        <f>Sales[Product_ID]</f>
        <v>PROD30</v>
      </c>
      <c r="I621" s="21" t="str">
        <f>VLOOKUP(H621,Products[],2)</f>
        <v>Stainless Steel Cutlery Set</v>
      </c>
      <c r="J621" s="24">
        <f>Sales[Total_Amount]</f>
        <v>3393.88</v>
      </c>
      <c r="K621" s="21" t="str">
        <f t="shared" si="1"/>
        <v>Nov</v>
      </c>
      <c r="L621" s="21">
        <f t="shared" si="2"/>
        <v>2023</v>
      </c>
      <c r="N621" s="33"/>
      <c r="O621" s="34"/>
    </row>
    <row r="622" ht="22.5" customHeight="1">
      <c r="A622" s="21" t="s">
        <v>2587</v>
      </c>
      <c r="B622" s="21" t="s">
        <v>1532</v>
      </c>
      <c r="C622" s="21" t="str">
        <f t="array" ref="C622">XLOOKUP(B622,Customer[Customer_ID],Customer[Name(Cleaned)])</f>
        <v>Amanda Powell</v>
      </c>
      <c r="D622" s="22" t="str">
        <f>VLOOKUP(B622,Customer[#ALL],6)</f>
        <v>Female</v>
      </c>
      <c r="E622" s="23">
        <f>Sales[Order_Date]</f>
        <v>45606</v>
      </c>
      <c r="F622" s="21" t="str">
        <f>Sales[Store_ID]</f>
        <v>STORE0</v>
      </c>
      <c r="G622" s="21" t="str">
        <f t="array" ref="G622">INDEX(Store[Store_Name],MATCH(F622,Store[Store_ID],0))</f>
        <v>Rivera-Warner</v>
      </c>
      <c r="H622" s="21" t="str">
        <f>Sales[Product_ID]</f>
        <v>PROD36</v>
      </c>
      <c r="I622" s="21" t="str">
        <f>VLOOKUP(H622,Products[],2)</f>
        <v>Women's Summer Dress</v>
      </c>
      <c r="J622" s="24">
        <f>Sales[Total_Amount]</f>
        <v>878.5062</v>
      </c>
      <c r="K622" s="21" t="str">
        <f t="shared" si="1"/>
        <v>Nov</v>
      </c>
      <c r="L622" s="21">
        <f t="shared" si="2"/>
        <v>2024</v>
      </c>
      <c r="N622" s="33"/>
      <c r="O622" s="34"/>
    </row>
    <row r="623" ht="22.5" customHeight="1">
      <c r="A623" s="21" t="s">
        <v>2588</v>
      </c>
      <c r="B623" s="21" t="s">
        <v>999</v>
      </c>
      <c r="C623" s="21" t="str">
        <f t="array" ref="C623">XLOOKUP(B623,Customer[Customer_ID],Customer[Name(Cleaned)])</f>
        <v>Jason Mullins</v>
      </c>
      <c r="D623" s="22" t="str">
        <f>VLOOKUP(B623,Customer[#ALL],6)</f>
        <v>Male</v>
      </c>
      <c r="E623" s="23">
        <f>Sales[Order_Date]</f>
        <v>45524</v>
      </c>
      <c r="F623" s="21" t="str">
        <f>Sales[Store_ID]</f>
        <v>STORE12</v>
      </c>
      <c r="G623" s="21" t="str">
        <f t="array" ref="G623">INDEX(Store[Store_Name],MATCH(F623,Store[Store_ID],0))</f>
        <v>Thomas, Bridges and Harris</v>
      </c>
      <c r="H623" s="21" t="str">
        <f>Sales[Product_ID]</f>
        <v>PROD37</v>
      </c>
      <c r="I623" s="21" t="str">
        <f>VLOOKUP(H623,Products[],2)</f>
        <v>Men's Casual Sneakers</v>
      </c>
      <c r="J623" s="24">
        <f>Sales[Total_Amount]</f>
        <v>958.9536</v>
      </c>
      <c r="K623" s="21" t="str">
        <f t="shared" si="1"/>
        <v>Aug</v>
      </c>
      <c r="L623" s="21">
        <f t="shared" si="2"/>
        <v>2024</v>
      </c>
      <c r="N623" s="33"/>
      <c r="O623" s="34"/>
    </row>
    <row r="624" ht="22.5" customHeight="1">
      <c r="A624" s="21" t="s">
        <v>2589</v>
      </c>
      <c r="B624" s="21" t="s">
        <v>100</v>
      </c>
      <c r="C624" s="21" t="str">
        <f t="array" ref="C624">XLOOKUP(B624,Customer[Customer_ID],Customer[Name(Cleaned)])</f>
        <v>Jeff Martinez</v>
      </c>
      <c r="D624" s="22" t="str">
        <f>VLOOKUP(B624,Customer[#ALL],6)</f>
        <v>Male</v>
      </c>
      <c r="E624" s="23">
        <f>Sales[Order_Date]</f>
        <v>45934</v>
      </c>
      <c r="F624" s="21" t="str">
        <f>Sales[Store_ID]</f>
        <v>STORE0</v>
      </c>
      <c r="G624" s="21" t="str">
        <f t="array" ref="G624">INDEX(Store[Store_Name],MATCH(F624,Store[Store_ID],0))</f>
        <v>Rivera-Warner</v>
      </c>
      <c r="H624" s="21" t="str">
        <f>Sales[Product_ID]</f>
        <v>PROD46</v>
      </c>
      <c r="I624" s="21" t="str">
        <f>VLOOKUP(H624,Products[],2)</f>
        <v>Men's Winter Jacket</v>
      </c>
      <c r="J624" s="24">
        <f>Sales[Total_Amount]</f>
        <v>287.3962</v>
      </c>
      <c r="K624" s="21" t="str">
        <f t="shared" si="1"/>
        <v>Oct</v>
      </c>
      <c r="L624" s="21">
        <f t="shared" si="2"/>
        <v>2025</v>
      </c>
      <c r="N624" s="33"/>
      <c r="O624" s="34"/>
    </row>
    <row r="625" ht="22.5" customHeight="1">
      <c r="A625" s="21" t="s">
        <v>2590</v>
      </c>
      <c r="B625" s="21" t="s">
        <v>1131</v>
      </c>
      <c r="C625" s="21" t="str">
        <f t="array" ref="C625">XLOOKUP(B625,Customer[Customer_ID],Customer[Name(Cleaned)])</f>
        <v>Steve Hunt</v>
      </c>
      <c r="D625" s="22" t="str">
        <f>VLOOKUP(B625,Customer[#ALL],6)</f>
        <v>Female</v>
      </c>
      <c r="E625" s="23">
        <f>Sales[Order_Date]</f>
        <v>45539</v>
      </c>
      <c r="F625" s="21" t="str">
        <f>Sales[Store_ID]</f>
        <v>STORE18</v>
      </c>
      <c r="G625" s="21" t="str">
        <f t="array" ref="G625">INDEX(Store[Store_Name],MATCH(F625,Store[Store_ID],0))</f>
        <v>Guerrero-Schmitt</v>
      </c>
      <c r="H625" s="21" t="str">
        <f>Sales[Product_ID]</f>
        <v>PROD12</v>
      </c>
      <c r="I625" s="21" t="str">
        <f>VLOOKUP(H625,Products[],2)</f>
        <v>Hair Strengthening Shampoo</v>
      </c>
      <c r="J625" s="24">
        <f>Sales[Total_Amount]</f>
        <v>487.8535</v>
      </c>
      <c r="K625" s="21" t="str">
        <f t="shared" si="1"/>
        <v>Sep</v>
      </c>
      <c r="L625" s="21">
        <f t="shared" si="2"/>
        <v>2024</v>
      </c>
      <c r="N625" s="33"/>
      <c r="O625" s="34"/>
    </row>
    <row r="626" ht="22.5" customHeight="1">
      <c r="A626" s="21" t="s">
        <v>2591</v>
      </c>
      <c r="B626" s="21" t="s">
        <v>1020</v>
      </c>
      <c r="C626" s="21" t="str">
        <f t="array" ref="C626">XLOOKUP(B626,Customer[Customer_ID],Customer[Name(Cleaned)])</f>
        <v>Casey Simpson</v>
      </c>
      <c r="D626" s="22" t="str">
        <f>VLOOKUP(B626,Customer[#ALL],6)</f>
        <v>Female</v>
      </c>
      <c r="E626" s="23">
        <f>Sales[Order_Date]</f>
        <v>45494</v>
      </c>
      <c r="F626" s="21" t="str">
        <f>Sales[Store_ID]</f>
        <v>STORE0</v>
      </c>
      <c r="G626" s="21" t="str">
        <f t="array" ref="G626">INDEX(Store[Store_Name],MATCH(F626,Store[Store_ID],0))</f>
        <v>Rivera-Warner</v>
      </c>
      <c r="H626" s="21" t="str">
        <f>Sales[Product_ID]</f>
        <v>PROD49</v>
      </c>
      <c r="I626" s="21" t="str">
        <f>VLOOKUP(H626,Products[],2)</f>
        <v>Men's Roll-On Perfume</v>
      </c>
      <c r="J626" s="24">
        <f>Sales[Total_Amount]</f>
        <v>1843.04</v>
      </c>
      <c r="K626" s="21" t="str">
        <f t="shared" si="1"/>
        <v>Jul</v>
      </c>
      <c r="L626" s="21">
        <f t="shared" si="2"/>
        <v>2024</v>
      </c>
      <c r="N626" s="33"/>
      <c r="O626" s="34"/>
    </row>
    <row r="627" ht="22.5" customHeight="1">
      <c r="A627" s="21" t="s">
        <v>2592</v>
      </c>
      <c r="B627" s="21" t="s">
        <v>693</v>
      </c>
      <c r="C627" s="21" t="str">
        <f t="array" ref="C627">XLOOKUP(B627,Customer[Customer_ID],Customer[Name(Cleaned)])</f>
        <v>Joan Johnson</v>
      </c>
      <c r="D627" s="22" t="str">
        <f>VLOOKUP(B627,Customer[#ALL],6)</f>
        <v>Male</v>
      </c>
      <c r="E627" s="23">
        <f>Sales[Order_Date]</f>
        <v>45555</v>
      </c>
      <c r="F627" s="21" t="str">
        <f>Sales[Store_ID]</f>
        <v>STORE15</v>
      </c>
      <c r="G627" s="21" t="str">
        <f t="array" ref="G627">INDEX(Store[Store_Name],MATCH(F627,Store[Store_ID],0))</f>
        <v>Shelton PLC</v>
      </c>
      <c r="H627" s="21" t="str">
        <f>Sales[Product_ID]</f>
        <v>PROD48</v>
      </c>
      <c r="I627" s="21" t="str">
        <f>VLOOKUP(H627,Products[],2)</f>
        <v>Car Dashboard Phone Holder</v>
      </c>
      <c r="J627" s="24">
        <f>Sales[Total_Amount]</f>
        <v>129.7248</v>
      </c>
      <c r="K627" s="21" t="str">
        <f t="shared" si="1"/>
        <v>Sep</v>
      </c>
      <c r="L627" s="21">
        <f t="shared" si="2"/>
        <v>2024</v>
      </c>
      <c r="N627" s="33"/>
      <c r="O627" s="34"/>
    </row>
    <row r="628" ht="22.5" customHeight="1">
      <c r="A628" s="21" t="s">
        <v>2593</v>
      </c>
      <c r="B628" s="21" t="s">
        <v>723</v>
      </c>
      <c r="C628" s="21" t="str">
        <f t="array" ref="C628">XLOOKUP(B628,Customer[Customer_ID],Customer[Name(Cleaned)])</f>
        <v>Jordan Wells</v>
      </c>
      <c r="D628" s="22" t="str">
        <f>VLOOKUP(B628,Customer[#ALL],6)</f>
        <v>Male</v>
      </c>
      <c r="E628" s="23">
        <f>Sales[Order_Date]</f>
        <v>45281</v>
      </c>
      <c r="F628" s="21" t="str">
        <f>Sales[Store_ID]</f>
        <v>STORE3</v>
      </c>
      <c r="G628" s="21" t="str">
        <f t="array" ref="G628">INDEX(Store[Store_Name],MATCH(F628,Store[Store_ID],0))</f>
        <v>Johnson-Wright</v>
      </c>
      <c r="H628" s="21" t="str">
        <f>Sales[Product_ID]</f>
        <v>PROD56</v>
      </c>
      <c r="I628" s="21" t="str">
        <f>VLOOKUP(H628,Products[],2)</f>
        <v>Premium Blanket Throw</v>
      </c>
      <c r="J628" s="24">
        <f>Sales[Total_Amount]</f>
        <v>1407.6018</v>
      </c>
      <c r="K628" s="21" t="str">
        <f t="shared" si="1"/>
        <v>Dec</v>
      </c>
      <c r="L628" s="21">
        <f t="shared" si="2"/>
        <v>2023</v>
      </c>
      <c r="N628" s="33"/>
      <c r="O628" s="34"/>
    </row>
    <row r="629" ht="22.5" customHeight="1">
      <c r="A629" s="21" t="s">
        <v>2594</v>
      </c>
      <c r="B629" s="21" t="s">
        <v>1230</v>
      </c>
      <c r="C629" s="21" t="str">
        <f t="array" ref="C629">XLOOKUP(B629,Customer[Customer_ID],Customer[Name(Cleaned)])</f>
        <v>Cynthia Lopez</v>
      </c>
      <c r="D629" s="22" t="str">
        <f>VLOOKUP(B629,Customer[#ALL],6)</f>
        <v>Female</v>
      </c>
      <c r="E629" s="23">
        <f>Sales[Order_Date]</f>
        <v>45582</v>
      </c>
      <c r="F629" s="21" t="str">
        <f>Sales[Store_ID]</f>
        <v>STORE0</v>
      </c>
      <c r="G629" s="21" t="str">
        <f t="array" ref="G629">INDEX(Store[Store_Name],MATCH(F629,Store[Store_ID],0))</f>
        <v>Rivera-Warner</v>
      </c>
      <c r="H629" s="21" t="str">
        <f>Sales[Product_ID]</f>
        <v>PROD17</v>
      </c>
      <c r="I629" s="21" t="str">
        <f>VLOOKUP(H629,Products[],2)</f>
        <v>Soccer Training Cone Set</v>
      </c>
      <c r="J629" s="24">
        <f>Sales[Total_Amount]</f>
        <v>349.2225</v>
      </c>
      <c r="K629" s="21" t="str">
        <f t="shared" si="1"/>
        <v>Oct</v>
      </c>
      <c r="L629" s="21">
        <f t="shared" si="2"/>
        <v>2024</v>
      </c>
      <c r="N629" s="33"/>
      <c r="O629" s="34"/>
    </row>
    <row r="630" ht="22.5" customHeight="1">
      <c r="A630" s="21" t="s">
        <v>2595</v>
      </c>
      <c r="B630" s="21" t="s">
        <v>189</v>
      </c>
      <c r="C630" s="21" t="str">
        <f t="array" ref="C630">XLOOKUP(B630,Customer[Customer_ID],Customer[Name(Cleaned)])</f>
        <v>Gina Knight</v>
      </c>
      <c r="D630" s="22" t="str">
        <f>VLOOKUP(B630,Customer[#ALL],6)</f>
        <v>Male</v>
      </c>
      <c r="E630" s="23">
        <f>Sales[Order_Date]</f>
        <v>45372</v>
      </c>
      <c r="F630" s="21" t="str">
        <f>Sales[Store_ID]</f>
        <v>STORE16</v>
      </c>
      <c r="G630" s="21" t="str">
        <f t="array" ref="G630">INDEX(Store[Store_Name],MATCH(F630,Store[Store_ID],0))</f>
        <v>Frederick-Wright</v>
      </c>
      <c r="H630" s="21" t="str">
        <f>Sales[Product_ID]</f>
        <v>PROD76</v>
      </c>
      <c r="I630" s="21" t="str">
        <f>VLOOKUP(H630,Products[],2)</f>
        <v>Wireless Mouse</v>
      </c>
      <c r="J630" s="24">
        <f>Sales[Total_Amount]</f>
        <v>1243.1224</v>
      </c>
      <c r="K630" s="21" t="str">
        <f t="shared" si="1"/>
        <v>Mar</v>
      </c>
      <c r="L630" s="21">
        <f t="shared" si="2"/>
        <v>2024</v>
      </c>
      <c r="N630" s="33"/>
      <c r="O630" s="34"/>
    </row>
    <row r="631" ht="22.5" customHeight="1">
      <c r="A631" s="21" t="s">
        <v>2596</v>
      </c>
      <c r="B631" s="21" t="s">
        <v>1308</v>
      </c>
      <c r="C631" s="21" t="str">
        <f t="array" ref="C631">XLOOKUP(B631,Customer[Customer_ID],Customer[Name(Cleaned)])</f>
        <v>Jennifer Myers</v>
      </c>
      <c r="D631" s="22" t="str">
        <f>VLOOKUP(B631,Customer[#ALL],6)</f>
        <v>Female</v>
      </c>
      <c r="E631" s="23">
        <f>Sales[Order_Date]</f>
        <v>45458</v>
      </c>
      <c r="F631" s="21" t="str">
        <f>Sales[Store_ID]</f>
        <v>STORE6</v>
      </c>
      <c r="G631" s="21" t="str">
        <f t="array" ref="G631">INDEX(Store[Store_Name],MATCH(F631,Store[Store_ID],0))</f>
        <v>Benson-Elliott</v>
      </c>
      <c r="H631" s="21" t="str">
        <f>Sales[Product_ID]</f>
        <v>PROD33</v>
      </c>
      <c r="I631" s="21" t="str">
        <f>VLOOKUP(H631,Products[],2)</f>
        <v>Modern Wall Clock</v>
      </c>
      <c r="J631" s="24">
        <f>Sales[Total_Amount]</f>
        <v>661.4708</v>
      </c>
      <c r="K631" s="21" t="str">
        <f t="shared" si="1"/>
        <v>Jun</v>
      </c>
      <c r="L631" s="21">
        <f t="shared" si="2"/>
        <v>2024</v>
      </c>
      <c r="N631" s="33"/>
      <c r="O631" s="34"/>
    </row>
    <row r="632" ht="22.5" customHeight="1">
      <c r="A632" s="21" t="s">
        <v>2597</v>
      </c>
      <c r="B632" s="21" t="s">
        <v>1191</v>
      </c>
      <c r="C632" s="21" t="str">
        <f t="array" ref="C632">XLOOKUP(B632,Customer[Customer_ID],Customer[Name(Cleaned)])</f>
        <v>Michele Burke</v>
      </c>
      <c r="D632" s="22" t="str">
        <f>VLOOKUP(B632,Customer[#ALL],6)</f>
        <v>Female</v>
      </c>
      <c r="E632" s="23">
        <f>Sales[Order_Date]</f>
        <v>45943</v>
      </c>
      <c r="F632" s="21" t="str">
        <f>Sales[Store_ID]</f>
        <v>STORE10</v>
      </c>
      <c r="G632" s="21" t="str">
        <f t="array" ref="G632">INDEX(Store[Store_Name],MATCH(F632,Store[Store_ID],0))</f>
        <v>Hill, Wagner and Ballard</v>
      </c>
      <c r="H632" s="21" t="str">
        <f>Sales[Product_ID]</f>
        <v>PROD14</v>
      </c>
      <c r="I632" s="21" t="str">
        <f>VLOOKUP(H632,Products[],2)</f>
        <v>Decorative Wall Mirror</v>
      </c>
      <c r="J632" s="24">
        <f>Sales[Total_Amount]</f>
        <v>1081.04</v>
      </c>
      <c r="K632" s="21" t="str">
        <f t="shared" si="1"/>
        <v>Oct</v>
      </c>
      <c r="L632" s="21">
        <f t="shared" si="2"/>
        <v>2025</v>
      </c>
      <c r="N632" s="33"/>
      <c r="O632" s="34"/>
    </row>
    <row r="633" ht="22.5" customHeight="1">
      <c r="A633" s="21" t="s">
        <v>2598</v>
      </c>
      <c r="B633" s="21" t="s">
        <v>1071</v>
      </c>
      <c r="C633" s="21" t="str">
        <f t="array" ref="C633">XLOOKUP(B633,Customer[Customer_ID],Customer[Name(Cleaned)])</f>
        <v>John Jones</v>
      </c>
      <c r="D633" s="22" t="str">
        <f>VLOOKUP(B633,Customer[#ALL],6)</f>
        <v>Male</v>
      </c>
      <c r="E633" s="23">
        <f>Sales[Order_Date]</f>
        <v>45374</v>
      </c>
      <c r="F633" s="21" t="str">
        <f>Sales[Store_ID]</f>
        <v>STORE15</v>
      </c>
      <c r="G633" s="21" t="str">
        <f t="array" ref="G633">INDEX(Store[Store_Name],MATCH(F633,Store[Store_ID],0))</f>
        <v>Shelton PLC</v>
      </c>
      <c r="H633" s="21" t="str">
        <f>Sales[Product_ID]</f>
        <v>PROD95</v>
      </c>
      <c r="I633" s="21" t="str">
        <f>VLOOKUP(H633,Products[],2)</f>
        <v>Sports Stopwatch Basic</v>
      </c>
      <c r="J633" s="24">
        <f>Sales[Total_Amount]</f>
        <v>1023.264</v>
      </c>
      <c r="K633" s="21" t="str">
        <f t="shared" si="1"/>
        <v>Mar</v>
      </c>
      <c r="L633" s="21">
        <f t="shared" si="2"/>
        <v>2024</v>
      </c>
      <c r="N633" s="33"/>
      <c r="O633" s="34"/>
    </row>
    <row r="634" ht="22.5" customHeight="1">
      <c r="A634" s="21" t="s">
        <v>2599</v>
      </c>
      <c r="B634" s="21" t="s">
        <v>705</v>
      </c>
      <c r="C634" s="21" t="str">
        <f t="array" ref="C634">XLOOKUP(B634,Customer[Customer_ID],Customer[Name(Cleaned)])</f>
        <v>Stuart Johnson</v>
      </c>
      <c r="D634" s="22" t="str">
        <f>VLOOKUP(B634,Customer[#ALL],6)</f>
        <v>Male</v>
      </c>
      <c r="E634" s="23">
        <f>Sales[Order_Date]</f>
        <v>45374</v>
      </c>
      <c r="F634" s="21" t="str">
        <f>Sales[Store_ID]</f>
        <v>STORE3</v>
      </c>
      <c r="G634" s="21" t="str">
        <f t="array" ref="G634">INDEX(Store[Store_Name],MATCH(F634,Store[Store_ID],0))</f>
        <v>Johnson-Wright</v>
      </c>
      <c r="H634" s="21" t="str">
        <f>Sales[Product_ID]</f>
        <v>PROD1</v>
      </c>
      <c r="I634" s="21" t="str">
        <f>VLOOKUP(H634,Products[],2)</f>
        <v>Men's Graphic T-Shirt</v>
      </c>
      <c r="J634" s="24">
        <f>Sales[Total_Amount]</f>
        <v>77.2932</v>
      </c>
      <c r="K634" s="21" t="str">
        <f t="shared" si="1"/>
        <v>Mar</v>
      </c>
      <c r="L634" s="21">
        <f t="shared" si="2"/>
        <v>2024</v>
      </c>
      <c r="N634" s="33"/>
      <c r="O634" s="34"/>
    </row>
    <row r="635" ht="22.5" customHeight="1">
      <c r="A635" s="21" t="s">
        <v>2600</v>
      </c>
      <c r="B635" s="21" t="s">
        <v>1308</v>
      </c>
      <c r="C635" s="21" t="str">
        <f t="array" ref="C635">XLOOKUP(B635,Customer[Customer_ID],Customer[Name(Cleaned)])</f>
        <v>Jennifer Myers</v>
      </c>
      <c r="D635" s="22" t="str">
        <f>VLOOKUP(B635,Customer[#ALL],6)</f>
        <v>Female</v>
      </c>
      <c r="E635" s="23">
        <f>Sales[Order_Date]</f>
        <v>45789</v>
      </c>
      <c r="F635" s="21" t="str">
        <f>Sales[Store_ID]</f>
        <v>STORE10</v>
      </c>
      <c r="G635" s="21" t="str">
        <f t="array" ref="G635">INDEX(Store[Store_Name],MATCH(F635,Store[Store_ID],0))</f>
        <v>Hill, Wagner and Ballard</v>
      </c>
      <c r="H635" s="21" t="str">
        <f>Sales[Product_ID]</f>
        <v>PROD6</v>
      </c>
      <c r="I635" s="21" t="str">
        <f>VLOOKUP(H635,Products[],2)</f>
        <v>Men's Hair Styling Gel</v>
      </c>
      <c r="J635" s="24">
        <f>Sales[Total_Amount]</f>
        <v>1302.3672</v>
      </c>
      <c r="K635" s="21" t="str">
        <f t="shared" si="1"/>
        <v>May</v>
      </c>
      <c r="L635" s="21">
        <f t="shared" si="2"/>
        <v>2025</v>
      </c>
      <c r="N635" s="33"/>
      <c r="O635" s="34"/>
    </row>
    <row r="636" ht="22.5" customHeight="1">
      <c r="A636" s="21" t="s">
        <v>2601</v>
      </c>
      <c r="B636" s="21" t="s">
        <v>404</v>
      </c>
      <c r="C636" s="21" t="str">
        <f t="array" ref="C636">XLOOKUP(B636,Customer[Customer_ID],Customer[Name(Cleaned)])</f>
        <v>Edward Hall</v>
      </c>
      <c r="D636" s="22" t="str">
        <f>VLOOKUP(B636,Customer[#ALL],6)</f>
        <v>Female</v>
      </c>
      <c r="E636" s="23">
        <f>Sales[Order_Date]</f>
        <v>45452</v>
      </c>
      <c r="F636" s="21" t="str">
        <f>Sales[Store_ID]</f>
        <v>STORE10</v>
      </c>
      <c r="G636" s="21" t="str">
        <f t="array" ref="G636">INDEX(Store[Store_Name],MATCH(F636,Store[Store_ID],0))</f>
        <v>Hill, Wagner and Ballard</v>
      </c>
      <c r="H636" s="21" t="str">
        <f>Sales[Product_ID]</f>
        <v>PROD65</v>
      </c>
      <c r="I636" s="21" t="str">
        <f>VLOOKUP(H636,Products[],2)</f>
        <v>Adjustable Dumbbells 20kg</v>
      </c>
      <c r="J636" s="24">
        <f>Sales[Total_Amount]</f>
        <v>2677.062</v>
      </c>
      <c r="K636" s="21" t="str">
        <f t="shared" si="1"/>
        <v>Jun</v>
      </c>
      <c r="L636" s="21">
        <f t="shared" si="2"/>
        <v>2024</v>
      </c>
      <c r="N636" s="33"/>
      <c r="O636" s="34"/>
    </row>
    <row r="637" ht="22.5" customHeight="1">
      <c r="A637" s="21" t="s">
        <v>2602</v>
      </c>
      <c r="B637" s="21" t="s">
        <v>355</v>
      </c>
      <c r="C637" s="21" t="str">
        <f t="array" ref="C637">XLOOKUP(B637,Customer[Customer_ID],Customer[Name(Cleaned)])</f>
        <v>David Cobb</v>
      </c>
      <c r="D637" s="22" t="str">
        <f>VLOOKUP(B637,Customer[#ALL],6)</f>
        <v>Female</v>
      </c>
      <c r="E637" s="23">
        <f>Sales[Order_Date]</f>
        <v>45883</v>
      </c>
      <c r="F637" s="21" t="str">
        <f>Sales[Store_ID]</f>
        <v>STORE5</v>
      </c>
      <c r="G637" s="21" t="str">
        <f t="array" ref="G637">INDEX(Store[Store_Name],MATCH(F637,Store[Store_ID],0))</f>
        <v>Gray Ltd</v>
      </c>
      <c r="H637" s="21" t="str">
        <f>Sales[Product_ID]</f>
        <v>PROD55</v>
      </c>
      <c r="I637" s="21" t="str">
        <f>VLOOKUP(H637,Products[],2)</f>
        <v>Ceramic Plant Pot</v>
      </c>
      <c r="J637" s="24">
        <f>Sales[Total_Amount]</f>
        <v>79.776</v>
      </c>
      <c r="K637" s="21" t="str">
        <f t="shared" si="1"/>
        <v>Aug</v>
      </c>
      <c r="L637" s="21">
        <f t="shared" si="2"/>
        <v>2025</v>
      </c>
      <c r="N637" s="33"/>
      <c r="O637" s="34"/>
    </row>
    <row r="638" ht="22.5" customHeight="1">
      <c r="A638" s="21" t="s">
        <v>2603</v>
      </c>
      <c r="B638" s="21" t="s">
        <v>138</v>
      </c>
      <c r="C638" s="21" t="str">
        <f t="array" ref="C638">XLOOKUP(B638,Customer[Customer_ID],Customer[Name(Cleaned)])</f>
        <v>Mike Jennings</v>
      </c>
      <c r="D638" s="22" t="str">
        <f>VLOOKUP(B638,Customer[#ALL],6)</f>
        <v>Male</v>
      </c>
      <c r="E638" s="23">
        <f>Sales[Order_Date]</f>
        <v>45284</v>
      </c>
      <c r="F638" s="21" t="str">
        <f>Sales[Store_ID]</f>
        <v>STORE19</v>
      </c>
      <c r="G638" s="21" t="str">
        <f t="array" ref="G638">INDEX(Store[Store_Name],MATCH(F638,Store[Store_ID],0))</f>
        <v>Mann-Austin</v>
      </c>
      <c r="H638" s="21" t="str">
        <f>Sales[Product_ID]</f>
        <v>PROD27</v>
      </c>
      <c r="I638" s="21" t="str">
        <f>VLOOKUP(H638,Products[],2)</f>
        <v>Decorative Floor Vase</v>
      </c>
      <c r="J638" s="24">
        <f>Sales[Total_Amount]</f>
        <v>2434.0672</v>
      </c>
      <c r="K638" s="21" t="str">
        <f t="shared" si="1"/>
        <v>Dec</v>
      </c>
      <c r="L638" s="21">
        <f t="shared" si="2"/>
        <v>2023</v>
      </c>
      <c r="N638" s="33"/>
      <c r="O638" s="34"/>
    </row>
    <row r="639" ht="22.5" customHeight="1">
      <c r="A639" s="21" t="s">
        <v>2604</v>
      </c>
      <c r="B639" s="21" t="s">
        <v>800</v>
      </c>
      <c r="C639" s="21" t="str">
        <f t="array" ref="C639">XLOOKUP(B639,Customer[Customer_ID],Customer[Name(Cleaned)])</f>
        <v>Laura Soto</v>
      </c>
      <c r="D639" s="22" t="str">
        <f>VLOOKUP(B639,Customer[#ALL],6)</f>
        <v>Male</v>
      </c>
      <c r="E639" s="23">
        <f>Sales[Order_Date]</f>
        <v>45325</v>
      </c>
      <c r="F639" s="21" t="str">
        <f>Sales[Store_ID]</f>
        <v>STORE13</v>
      </c>
      <c r="G639" s="21" t="str">
        <f t="array" ref="G639">INDEX(Store[Store_Name],MATCH(F639,Store[Store_ID],0))</f>
        <v>Gardner, Humphrey and Contreras</v>
      </c>
      <c r="H639" s="21" t="str">
        <f>Sales[Product_ID]</f>
        <v>PROD3</v>
      </c>
      <c r="I639" s="21" t="str">
        <f>VLOOKUP(H639,Products[],2)</f>
        <v>Fabric Sofa Throw Blanket</v>
      </c>
      <c r="J639" s="24">
        <f>Sales[Total_Amount]</f>
        <v>2733.2268</v>
      </c>
      <c r="K639" s="21" t="str">
        <f t="shared" si="1"/>
        <v>Feb</v>
      </c>
      <c r="L639" s="21">
        <f t="shared" si="2"/>
        <v>2024</v>
      </c>
      <c r="N639" s="33"/>
      <c r="O639" s="34"/>
    </row>
    <row r="640" ht="22.5" customHeight="1">
      <c r="A640" s="21" t="s">
        <v>2605</v>
      </c>
      <c r="B640" s="21" t="s">
        <v>135</v>
      </c>
      <c r="C640" s="21" t="str">
        <f t="array" ref="C640">XLOOKUP(B640,Customer[Customer_ID],Customer[Name(Cleaned)])</f>
        <v>Sarah Vance</v>
      </c>
      <c r="D640" s="22" t="str">
        <f>VLOOKUP(B640,Customer[#ALL],6)</f>
        <v>Female</v>
      </c>
      <c r="E640" s="23">
        <f>Sales[Order_Date]</f>
        <v>45465</v>
      </c>
      <c r="F640" s="21" t="str">
        <f>Sales[Store_ID]</f>
        <v>STORE14</v>
      </c>
      <c r="G640" s="21" t="str">
        <f t="array" ref="G640">INDEX(Store[Store_Name],MATCH(F640,Store[Store_ID],0))</f>
        <v>Mcdonald Inc</v>
      </c>
      <c r="H640" s="21" t="str">
        <f>Sales[Product_ID]</f>
        <v>PROD39</v>
      </c>
      <c r="I640" s="21" t="str">
        <f>VLOOKUP(H640,Products[],2)</f>
        <v>Portable Power Bank</v>
      </c>
      <c r="J640" s="24">
        <f>Sales[Total_Amount]</f>
        <v>361.162</v>
      </c>
      <c r="K640" s="21" t="str">
        <f t="shared" si="1"/>
        <v>Jun</v>
      </c>
      <c r="L640" s="21">
        <f t="shared" si="2"/>
        <v>2024</v>
      </c>
      <c r="N640" s="33"/>
      <c r="O640" s="34"/>
    </row>
    <row r="641" ht="22.5" customHeight="1">
      <c r="A641" s="21" t="s">
        <v>2606</v>
      </c>
      <c r="B641" s="21" t="s">
        <v>1359</v>
      </c>
      <c r="C641" s="21" t="str">
        <f t="array" ref="C641">XLOOKUP(B641,Customer[Customer_ID],Customer[Name(Cleaned)])</f>
        <v>Thomas Moore</v>
      </c>
      <c r="D641" s="22" t="str">
        <f>VLOOKUP(B641,Customer[#ALL],6)</f>
        <v>Male</v>
      </c>
      <c r="E641" s="23">
        <f>Sales[Order_Date]</f>
        <v>45612</v>
      </c>
      <c r="F641" s="21" t="str">
        <f>Sales[Store_ID]</f>
        <v>STORE9</v>
      </c>
      <c r="G641" s="21" t="str">
        <f t="array" ref="G641">INDEX(Store[Store_Name],MATCH(F641,Store[Store_ID],0))</f>
        <v>Moore, Padilla and Butler</v>
      </c>
      <c r="H641" s="21" t="str">
        <f>Sales[Product_ID]</f>
        <v>PROD91</v>
      </c>
      <c r="I641" s="21" t="str">
        <f>VLOOKUP(H641,Products[],2)</f>
        <v>Women's High Heels</v>
      </c>
      <c r="J641" s="24">
        <f>Sales[Total_Amount]</f>
        <v>1758.294</v>
      </c>
      <c r="K641" s="21" t="str">
        <f t="shared" si="1"/>
        <v>Nov</v>
      </c>
      <c r="L641" s="21">
        <f t="shared" si="2"/>
        <v>2024</v>
      </c>
      <c r="N641" s="33"/>
      <c r="O641" s="34"/>
    </row>
    <row r="642" ht="22.5" customHeight="1">
      <c r="A642" s="21" t="s">
        <v>2607</v>
      </c>
      <c r="B642" s="21" t="s">
        <v>884</v>
      </c>
      <c r="C642" s="21" t="str">
        <f t="array" ref="C642">XLOOKUP(B642,Customer[Customer_ID],Customer[Name(Cleaned)])</f>
        <v>Samantha Robinson</v>
      </c>
      <c r="D642" s="22" t="str">
        <f>VLOOKUP(B642,Customer[#ALL],6)</f>
        <v>Female</v>
      </c>
      <c r="E642" s="23">
        <f>Sales[Order_Date]</f>
        <v>45472</v>
      </c>
      <c r="F642" s="21" t="str">
        <f>Sales[Store_ID]</f>
        <v>STORE2</v>
      </c>
      <c r="G642" s="21" t="str">
        <f t="array" ref="G642">INDEX(Store[Store_Name],MATCH(F642,Store[Store_ID],0))</f>
        <v>Black-Horn</v>
      </c>
      <c r="H642" s="21" t="str">
        <f>Sales[Product_ID]</f>
        <v>PROD64</v>
      </c>
      <c r="I642" s="21" t="str">
        <f>VLOOKUP(H642,Products[],2)</f>
        <v>Matte Lipstick Set</v>
      </c>
      <c r="J642" s="24">
        <f>Sales[Total_Amount]</f>
        <v>605.501</v>
      </c>
      <c r="K642" s="21" t="str">
        <f t="shared" si="1"/>
        <v>Jun</v>
      </c>
      <c r="L642" s="21">
        <f t="shared" si="2"/>
        <v>2024</v>
      </c>
      <c r="N642" s="33"/>
      <c r="O642" s="34"/>
    </row>
    <row r="643" ht="22.5" customHeight="1">
      <c r="A643" s="21" t="s">
        <v>2608</v>
      </c>
      <c r="B643" s="21" t="s">
        <v>1074</v>
      </c>
      <c r="C643" s="21" t="str">
        <f t="array" ref="C643">XLOOKUP(B643,Customer[Customer_ID],Customer[Name(Cleaned)])</f>
        <v>Carol Lewis</v>
      </c>
      <c r="D643" s="22" t="str">
        <f>VLOOKUP(B643,Customer[#ALL],6)</f>
        <v>Male</v>
      </c>
      <c r="E643" s="23">
        <f>Sales[Order_Date]</f>
        <v>45897</v>
      </c>
      <c r="F643" s="21" t="str">
        <f>Sales[Store_ID]</f>
        <v>STORE13</v>
      </c>
      <c r="G643" s="21" t="str">
        <f t="array" ref="G643">INDEX(Store[Store_Name],MATCH(F643,Store[Store_ID],0))</f>
        <v>Gardner, Humphrey and Contreras</v>
      </c>
      <c r="H643" s="21" t="str">
        <f>Sales[Product_ID]</f>
        <v>PROD67</v>
      </c>
      <c r="I643" s="21" t="str">
        <f>VLOOKUP(H643,Products[],2)</f>
        <v>Smart LED Light Strip</v>
      </c>
      <c r="J643" s="24">
        <f>Sales[Total_Amount]</f>
        <v>362.3235</v>
      </c>
      <c r="K643" s="21" t="str">
        <f t="shared" si="1"/>
        <v>Aug</v>
      </c>
      <c r="L643" s="21">
        <f t="shared" si="2"/>
        <v>2025</v>
      </c>
      <c r="N643" s="33"/>
      <c r="O643" s="34"/>
    </row>
    <row r="644" ht="22.5" customHeight="1">
      <c r="A644" s="21" t="s">
        <v>2609</v>
      </c>
      <c r="B644" s="21" t="s">
        <v>1488</v>
      </c>
      <c r="C644" s="21" t="str">
        <f t="array" ref="C644">XLOOKUP(B644,Customer[Customer_ID],Customer[Name(Cleaned)])</f>
        <v>Earl Smith Dds</v>
      </c>
      <c r="D644" s="22" t="str">
        <f>VLOOKUP(B644,Customer[#ALL],6)</f>
        <v>Female</v>
      </c>
      <c r="E644" s="23">
        <f>Sales[Order_Date]</f>
        <v>45241</v>
      </c>
      <c r="F644" s="21" t="str">
        <f>Sales[Store_ID]</f>
        <v>STORE6</v>
      </c>
      <c r="G644" s="21" t="str">
        <f t="array" ref="G644">INDEX(Store[Store_Name],MATCH(F644,Store[Store_ID],0))</f>
        <v>Benson-Elliott</v>
      </c>
      <c r="H644" s="21" t="str">
        <f>Sales[Product_ID]</f>
        <v>PROD7</v>
      </c>
      <c r="I644" s="21" t="str">
        <f>VLOOKUP(H644,Products[],2)</f>
        <v>Men's Sports Shorts</v>
      </c>
      <c r="J644" s="24">
        <f>Sales[Total_Amount]</f>
        <v>1455.1326</v>
      </c>
      <c r="K644" s="21" t="str">
        <f t="shared" si="1"/>
        <v>Nov</v>
      </c>
      <c r="L644" s="21">
        <f t="shared" si="2"/>
        <v>2023</v>
      </c>
      <c r="N644" s="33"/>
      <c r="O644" s="34"/>
    </row>
    <row r="645" ht="22.5" customHeight="1">
      <c r="A645" s="21" t="s">
        <v>2610</v>
      </c>
      <c r="B645" s="21" t="s">
        <v>368</v>
      </c>
      <c r="C645" s="21" t="str">
        <f t="array" ref="C645">XLOOKUP(B645,Customer[Customer_ID],Customer[Name(Cleaned)])</f>
        <v>Colleen Maynard</v>
      </c>
      <c r="D645" s="22" t="str">
        <f>VLOOKUP(B645,Customer[#ALL],6)</f>
        <v>Female</v>
      </c>
      <c r="E645" s="23">
        <f>Sales[Order_Date]</f>
        <v>45851</v>
      </c>
      <c r="F645" s="21" t="str">
        <f>Sales[Store_ID]</f>
        <v>STORE12</v>
      </c>
      <c r="G645" s="21" t="str">
        <f t="array" ref="G645">INDEX(Store[Store_Name],MATCH(F645,Store[Store_ID],0))</f>
        <v>Thomas, Bridges and Harris</v>
      </c>
      <c r="H645" s="21" t="str">
        <f>Sales[Product_ID]</f>
        <v>PROD20</v>
      </c>
      <c r="I645" s="21" t="str">
        <f>VLOOKUP(H645,Products[],2)</f>
        <v>Outdoor Sports Water Bottle</v>
      </c>
      <c r="J645" s="24">
        <f>Sales[Total_Amount]</f>
        <v>2320.2784</v>
      </c>
      <c r="K645" s="21" t="str">
        <f t="shared" si="1"/>
        <v>Jul</v>
      </c>
      <c r="L645" s="21">
        <f t="shared" si="2"/>
        <v>2025</v>
      </c>
      <c r="N645" s="33"/>
      <c r="O645" s="34"/>
    </row>
    <row r="646" ht="22.5" customHeight="1">
      <c r="A646" s="21" t="s">
        <v>2611</v>
      </c>
      <c r="B646" s="21" t="s">
        <v>377</v>
      </c>
      <c r="C646" s="21" t="str">
        <f t="array" ref="C646">XLOOKUP(B646,Customer[Customer_ID],Customer[Name(Cleaned)])</f>
        <v>Christopher Lester</v>
      </c>
      <c r="D646" s="22" t="str">
        <f>VLOOKUP(B646,Customer[#ALL],6)</f>
        <v>Female</v>
      </c>
      <c r="E646" s="23">
        <f>Sales[Order_Date]</f>
        <v>45572</v>
      </c>
      <c r="F646" s="21" t="str">
        <f>Sales[Store_ID]</f>
        <v>STORE1</v>
      </c>
      <c r="G646" s="21" t="str">
        <f t="array" ref="G646">INDEX(Store[Store_Name],MATCH(F646,Store[Store_ID],0))</f>
        <v>Martinez, Adkins and Johnson</v>
      </c>
      <c r="H646" s="21" t="str">
        <f>Sales[Product_ID]</f>
        <v>PROD46</v>
      </c>
      <c r="I646" s="21" t="str">
        <f>VLOOKUP(H646,Products[],2)</f>
        <v>Men's Winter Jacket</v>
      </c>
      <c r="J646" s="24">
        <f>Sales[Total_Amount]</f>
        <v>324.03</v>
      </c>
      <c r="K646" s="21" t="str">
        <f t="shared" si="1"/>
        <v>Oct</v>
      </c>
      <c r="L646" s="21">
        <f t="shared" si="2"/>
        <v>2024</v>
      </c>
      <c r="N646" s="33"/>
      <c r="O646" s="34"/>
    </row>
    <row r="647" ht="22.5" customHeight="1">
      <c r="A647" s="21" t="s">
        <v>2612</v>
      </c>
      <c r="B647" s="21" t="s">
        <v>132</v>
      </c>
      <c r="C647" s="21" t="str">
        <f t="array" ref="C647">XLOOKUP(B647,Customer[Customer_ID],Customer[Name(Cleaned)])</f>
        <v>Jessica Acevedo</v>
      </c>
      <c r="D647" s="22" t="str">
        <f>VLOOKUP(B647,Customer[#ALL],6)</f>
        <v>Male</v>
      </c>
      <c r="E647" s="23">
        <f>Sales[Order_Date]</f>
        <v>45774</v>
      </c>
      <c r="F647" s="21" t="str">
        <f>Sales[Store_ID]</f>
        <v>STORE10</v>
      </c>
      <c r="G647" s="21" t="str">
        <f t="array" ref="G647">INDEX(Store[Store_Name],MATCH(F647,Store[Store_ID],0))</f>
        <v>Hill, Wagner and Ballard</v>
      </c>
      <c r="H647" s="21" t="str">
        <f>Sales[Product_ID]</f>
        <v>PROD31</v>
      </c>
      <c r="I647" s="21" t="str">
        <f>VLOOKUP(H647,Products[],2)</f>
        <v>Basketball</v>
      </c>
      <c r="J647" s="24">
        <f>Sales[Total_Amount]</f>
        <v>1202.4012</v>
      </c>
      <c r="K647" s="21" t="str">
        <f t="shared" si="1"/>
        <v>Apr</v>
      </c>
      <c r="L647" s="21">
        <f t="shared" si="2"/>
        <v>2025</v>
      </c>
      <c r="N647" s="33"/>
      <c r="O647" s="34"/>
    </row>
    <row r="648" ht="22.5" customHeight="1">
      <c r="A648" s="21" t="s">
        <v>2613</v>
      </c>
      <c r="B648" s="21" t="s">
        <v>1170</v>
      </c>
      <c r="C648" s="21" t="str">
        <f t="array" ref="C648">XLOOKUP(B648,Customer[Customer_ID],Customer[Name(Cleaned)])</f>
        <v>Gregory Allen</v>
      </c>
      <c r="D648" s="22" t="str">
        <f>VLOOKUP(B648,Customer[#ALL],6)</f>
        <v>Male</v>
      </c>
      <c r="E648" s="23">
        <f>Sales[Order_Date]</f>
        <v>45601</v>
      </c>
      <c r="F648" s="21" t="str">
        <f>Sales[Store_ID]</f>
        <v>STORE11</v>
      </c>
      <c r="G648" s="21" t="str">
        <f t="array" ref="G648">INDEX(Store[Store_Name],MATCH(F648,Store[Store_ID],0))</f>
        <v>Aguirre-Keller</v>
      </c>
      <c r="H648" s="21" t="str">
        <f>Sales[Product_ID]</f>
        <v>PROD28</v>
      </c>
      <c r="I648" s="21" t="str">
        <f>VLOOKUP(H648,Products[],2)</f>
        <v>Sports Stopwatch Timer</v>
      </c>
      <c r="J648" s="24">
        <f>Sales[Total_Amount]</f>
        <v>93.9092</v>
      </c>
      <c r="K648" s="21" t="str">
        <f t="shared" si="1"/>
        <v>Nov</v>
      </c>
      <c r="L648" s="21">
        <f t="shared" si="2"/>
        <v>2024</v>
      </c>
      <c r="N648" s="33"/>
      <c r="O648" s="34"/>
    </row>
    <row r="649" ht="22.5" customHeight="1">
      <c r="A649" s="21" t="s">
        <v>2614</v>
      </c>
      <c r="B649" s="21" t="s">
        <v>358</v>
      </c>
      <c r="C649" s="21" t="str">
        <f t="array" ref="C649">XLOOKUP(B649,Customer[Customer_ID],Customer[Name(Cleaned)])</f>
        <v>Brittney Morgan</v>
      </c>
      <c r="D649" s="22" t="str">
        <f>VLOOKUP(B649,Customer[#ALL],6)</f>
        <v>Female</v>
      </c>
      <c r="E649" s="23">
        <f>Sales[Order_Date]</f>
        <v>45921</v>
      </c>
      <c r="F649" s="21" t="str">
        <f>Sales[Store_ID]</f>
        <v>STORE12</v>
      </c>
      <c r="G649" s="21" t="str">
        <f t="array" ref="G649">INDEX(Store[Store_Name],MATCH(F649,Store[Store_ID],0))</f>
        <v>Thomas, Bridges and Harris</v>
      </c>
      <c r="H649" s="21" t="str">
        <f>Sales[Product_ID]</f>
        <v>PROD58</v>
      </c>
      <c r="I649" s="21" t="str">
        <f>VLOOKUP(H649,Products[],2)</f>
        <v>Womens Cotton Scarf</v>
      </c>
      <c r="J649" s="24">
        <f>Sales[Total_Amount]</f>
        <v>863.6026</v>
      </c>
      <c r="K649" s="21" t="str">
        <f t="shared" si="1"/>
        <v>Sep</v>
      </c>
      <c r="L649" s="21">
        <f t="shared" si="2"/>
        <v>2025</v>
      </c>
      <c r="N649" s="33"/>
      <c r="O649" s="34"/>
    </row>
    <row r="650" ht="22.5" customHeight="1">
      <c r="A650" s="21" t="s">
        <v>2615</v>
      </c>
      <c r="B650" s="21" t="s">
        <v>984</v>
      </c>
      <c r="C650" s="21" t="str">
        <f t="array" ref="C650">XLOOKUP(B650,Customer[Customer_ID],Customer[Name(Cleaned)])</f>
        <v>Brandy Thompson</v>
      </c>
      <c r="D650" s="22" t="str">
        <f>VLOOKUP(B650,Customer[#ALL],6)</f>
        <v>Male</v>
      </c>
      <c r="E650" s="23">
        <f>Sales[Order_Date]</f>
        <v>45268</v>
      </c>
      <c r="F650" s="21" t="str">
        <f>Sales[Store_ID]</f>
        <v>STORE10</v>
      </c>
      <c r="G650" s="21" t="str">
        <f t="array" ref="G650">INDEX(Store[Store_Name],MATCH(F650,Store[Store_ID],0))</f>
        <v>Hill, Wagner and Ballard</v>
      </c>
      <c r="H650" s="21" t="str">
        <f>Sales[Product_ID]</f>
        <v>PROD46</v>
      </c>
      <c r="I650" s="21" t="str">
        <f>VLOOKUP(H650,Products[],2)</f>
        <v>Men's Winter Jacket</v>
      </c>
      <c r="J650" s="24">
        <f>Sales[Total_Amount]</f>
        <v>167.76</v>
      </c>
      <c r="K650" s="21" t="str">
        <f t="shared" si="1"/>
        <v>Dec</v>
      </c>
      <c r="L650" s="21">
        <f t="shared" si="2"/>
        <v>2023</v>
      </c>
      <c r="N650" s="33"/>
      <c r="O650" s="34"/>
    </row>
    <row r="651" ht="22.5" customHeight="1">
      <c r="A651" s="21" t="s">
        <v>2616</v>
      </c>
      <c r="B651" s="21" t="s">
        <v>1041</v>
      </c>
      <c r="C651" s="21" t="str">
        <f t="array" ref="C651">XLOOKUP(B651,Customer[Customer_ID],Customer[Name(Cleaned)])</f>
        <v>Robert King</v>
      </c>
      <c r="D651" s="22" t="str">
        <f>VLOOKUP(B651,Customer[#ALL],6)</f>
        <v>Male</v>
      </c>
      <c r="E651" s="23">
        <f>Sales[Order_Date]</f>
        <v>45402</v>
      </c>
      <c r="F651" s="21" t="str">
        <f>Sales[Store_ID]</f>
        <v>STORE0</v>
      </c>
      <c r="G651" s="21" t="str">
        <f t="array" ref="G651">INDEX(Store[Store_Name],MATCH(F651,Store[Store_ID],0))</f>
        <v>Rivera-Warner</v>
      </c>
      <c r="H651" s="21" t="str">
        <f>Sales[Product_ID]</f>
        <v>PROD92</v>
      </c>
      <c r="I651" s="21" t="str">
        <f>VLOOKUP(H651,Products[],2)</f>
        <v>Microwave Oven</v>
      </c>
      <c r="J651" s="24">
        <f>Sales[Total_Amount]</f>
        <v>579.2495</v>
      </c>
      <c r="K651" s="21" t="str">
        <f t="shared" si="1"/>
        <v>Apr</v>
      </c>
      <c r="L651" s="21">
        <f t="shared" si="2"/>
        <v>2024</v>
      </c>
      <c r="N651" s="33"/>
      <c r="O651" s="34"/>
    </row>
    <row r="652" ht="22.5" customHeight="1">
      <c r="A652" s="21" t="s">
        <v>2617</v>
      </c>
      <c r="B652" s="21" t="s">
        <v>1378</v>
      </c>
      <c r="C652" s="21" t="str">
        <f t="array" ref="C652">XLOOKUP(B652,Customer[Customer_ID],Customer[Name(Cleaned)])</f>
        <v>Tammy Trevino</v>
      </c>
      <c r="D652" s="22" t="str">
        <f>VLOOKUP(B652,Customer[#ALL],6)</f>
        <v>Female</v>
      </c>
      <c r="E652" s="23">
        <f>Sales[Order_Date]</f>
        <v>45667</v>
      </c>
      <c r="F652" s="21" t="str">
        <f>Sales[Store_ID]</f>
        <v>STORE17</v>
      </c>
      <c r="G652" s="21" t="str">
        <f t="array" ref="G652">INDEX(Store[Store_Name],MATCH(F652,Store[Store_ID],0))</f>
        <v>Holloway Ltd</v>
      </c>
      <c r="H652" s="21" t="str">
        <f>Sales[Product_ID]</f>
        <v>PROD76</v>
      </c>
      <c r="I652" s="21" t="str">
        <f>VLOOKUP(H652,Products[],2)</f>
        <v>Wireless Mouse</v>
      </c>
      <c r="J652" s="24">
        <f>Sales[Total_Amount]</f>
        <v>1578.978</v>
      </c>
      <c r="K652" s="21" t="str">
        <f t="shared" si="1"/>
        <v>Jan</v>
      </c>
      <c r="L652" s="21">
        <f t="shared" si="2"/>
        <v>2025</v>
      </c>
      <c r="N652" s="33"/>
      <c r="O652" s="34"/>
    </row>
    <row r="653" ht="22.5" customHeight="1">
      <c r="A653" s="21" t="s">
        <v>2618</v>
      </c>
      <c r="B653" s="21" t="s">
        <v>1017</v>
      </c>
      <c r="C653" s="21" t="str">
        <f t="array" ref="C653">XLOOKUP(B653,Customer[Customer_ID],Customer[Name(Cleaned)])</f>
        <v>Madison Wright</v>
      </c>
      <c r="D653" s="22" t="str">
        <f>VLOOKUP(B653,Customer[#ALL],6)</f>
        <v>Female</v>
      </c>
      <c r="E653" s="23">
        <f>Sales[Order_Date]</f>
        <v>45902</v>
      </c>
      <c r="F653" s="21" t="str">
        <f>Sales[Store_ID]</f>
        <v>STORE5</v>
      </c>
      <c r="G653" s="21" t="str">
        <f t="array" ref="G653">INDEX(Store[Store_Name],MATCH(F653,Store[Store_ID],0))</f>
        <v>Gray Ltd</v>
      </c>
      <c r="H653" s="21" t="str">
        <f>Sales[Product_ID]</f>
        <v>PROD78</v>
      </c>
      <c r="I653" s="21" t="str">
        <f>VLOOKUP(H653,Products[],2)</f>
        <v>Essential Oil Diffuser</v>
      </c>
      <c r="J653" s="24">
        <f>Sales[Total_Amount]</f>
        <v>758.0366</v>
      </c>
      <c r="K653" s="21" t="str">
        <f t="shared" si="1"/>
        <v>Sep</v>
      </c>
      <c r="L653" s="21">
        <f t="shared" si="2"/>
        <v>2025</v>
      </c>
      <c r="N653" s="33"/>
      <c r="O653" s="34"/>
    </row>
    <row r="654" ht="22.5" customHeight="1">
      <c r="A654" s="21" t="s">
        <v>2619</v>
      </c>
      <c r="B654" s="21" t="s">
        <v>1029</v>
      </c>
      <c r="C654" s="21" t="str">
        <f t="array" ref="C654">XLOOKUP(B654,Customer[Customer_ID],Customer[Name(Cleaned)])</f>
        <v>Samuel Arias</v>
      </c>
      <c r="D654" s="22" t="str">
        <f>VLOOKUP(B654,Customer[#ALL],6)</f>
        <v>Female</v>
      </c>
      <c r="E654" s="23">
        <f>Sales[Order_Date]</f>
        <v>45589</v>
      </c>
      <c r="F654" s="21" t="str">
        <f>Sales[Store_ID]</f>
        <v>STORE15</v>
      </c>
      <c r="G654" s="21" t="str">
        <f t="array" ref="G654">INDEX(Store[Store_Name],MATCH(F654,Store[Store_ID],0))</f>
        <v>Shelton PLC</v>
      </c>
      <c r="H654" s="21" t="str">
        <f>Sales[Product_ID]</f>
        <v>PROD83</v>
      </c>
      <c r="I654" s="21" t="str">
        <f>VLOOKUP(H654,Products[],2)</f>
        <v>Hydrating Face Cleanser</v>
      </c>
      <c r="J654" s="24">
        <f>Sales[Total_Amount]</f>
        <v>140.72</v>
      </c>
      <c r="K654" s="21" t="str">
        <f t="shared" si="1"/>
        <v>Oct</v>
      </c>
      <c r="L654" s="21">
        <f t="shared" si="2"/>
        <v>2024</v>
      </c>
      <c r="N654" s="33"/>
      <c r="O654" s="34"/>
    </row>
    <row r="655" ht="22.5" customHeight="1">
      <c r="A655" s="21" t="s">
        <v>2620</v>
      </c>
      <c r="B655" s="21" t="s">
        <v>122</v>
      </c>
      <c r="C655" s="21" t="str">
        <f t="array" ref="C655">XLOOKUP(B655,Customer[Customer_ID],Customer[Name(Cleaned)])</f>
        <v>Leslie Johnson</v>
      </c>
      <c r="D655" s="22" t="str">
        <f>VLOOKUP(B655,Customer[#ALL],6)</f>
        <v>Female</v>
      </c>
      <c r="E655" s="23">
        <f>Sales[Order_Date]</f>
        <v>45668</v>
      </c>
      <c r="F655" s="21" t="str">
        <f>Sales[Store_ID]</f>
        <v>STORE6</v>
      </c>
      <c r="G655" s="21" t="str">
        <f t="array" ref="G655">INDEX(Store[Store_Name],MATCH(F655,Store[Store_ID],0))</f>
        <v>Benson-Elliott</v>
      </c>
      <c r="H655" s="21" t="str">
        <f>Sales[Product_ID]</f>
        <v>PROD19</v>
      </c>
      <c r="I655" s="21" t="str">
        <f>VLOOKUP(H655,Products[],2)</f>
        <v>Knee Support Brace</v>
      </c>
      <c r="J655" s="24">
        <f>Sales[Total_Amount]</f>
        <v>1176.945</v>
      </c>
      <c r="K655" s="21" t="str">
        <f t="shared" si="1"/>
        <v>Jan</v>
      </c>
      <c r="L655" s="21">
        <f t="shared" si="2"/>
        <v>2025</v>
      </c>
      <c r="N655" s="33"/>
      <c r="O655" s="34"/>
    </row>
    <row r="656" ht="22.5" customHeight="1">
      <c r="A656" s="21" t="s">
        <v>2621</v>
      </c>
      <c r="B656" s="21" t="s">
        <v>733</v>
      </c>
      <c r="C656" s="21" t="str">
        <f t="array" ref="C656">XLOOKUP(B656,Customer[Customer_ID],Customer[Name(Cleaned)])</f>
        <v>Alejandro Doyle</v>
      </c>
      <c r="D656" s="22" t="str">
        <f>VLOOKUP(B656,Customer[#ALL],6)</f>
        <v>Female</v>
      </c>
      <c r="E656" s="23">
        <f>Sales[Order_Date]</f>
        <v>45300</v>
      </c>
      <c r="F656" s="21" t="str">
        <f>Sales[Store_ID]</f>
        <v>STORE5</v>
      </c>
      <c r="G656" s="21" t="str">
        <f t="array" ref="G656">INDEX(Store[Store_Name],MATCH(F656,Store[Store_ID],0))</f>
        <v>Gray Ltd</v>
      </c>
      <c r="H656" s="21" t="str">
        <f>Sales[Product_ID]</f>
        <v>PROD83</v>
      </c>
      <c r="I656" s="21" t="str">
        <f>VLOOKUP(H656,Products[],2)</f>
        <v>Hydrating Face Cleanser</v>
      </c>
      <c r="J656" s="24">
        <f>Sales[Total_Amount]</f>
        <v>229.614</v>
      </c>
      <c r="K656" s="21" t="str">
        <f t="shared" si="1"/>
        <v>Jan</v>
      </c>
      <c r="L656" s="21">
        <f t="shared" si="2"/>
        <v>2024</v>
      </c>
      <c r="N656" s="33"/>
      <c r="O656" s="34"/>
    </row>
    <row r="657" ht="22.5" customHeight="1">
      <c r="A657" s="21" t="s">
        <v>2622</v>
      </c>
      <c r="B657" s="21" t="s">
        <v>507</v>
      </c>
      <c r="C657" s="21" t="str">
        <f t="array" ref="C657">XLOOKUP(B657,Customer[Customer_ID],Customer[Name(Cleaned)])</f>
        <v>Rhonda Young</v>
      </c>
      <c r="D657" s="22" t="str">
        <f>VLOOKUP(B657,Customer[#ALL],6)</f>
        <v>Male</v>
      </c>
      <c r="E657" s="23">
        <f>Sales[Order_Date]</f>
        <v>45757</v>
      </c>
      <c r="F657" s="21" t="str">
        <f>Sales[Store_ID]</f>
        <v>STORE8</v>
      </c>
      <c r="G657" s="21" t="str">
        <f t="array" ref="G657">INDEX(Store[Store_Name],MATCH(F657,Store[Store_ID],0))</f>
        <v>Bean, Jones and Park</v>
      </c>
      <c r="H657" s="21" t="str">
        <f>Sales[Product_ID]</f>
        <v>PROD22</v>
      </c>
      <c r="I657" s="21" t="str">
        <f>VLOOKUP(H657,Products[],2)</f>
        <v>Carbon Fiber Tennis Racket</v>
      </c>
      <c r="J657" s="24">
        <f>Sales[Total_Amount]</f>
        <v>2103.1764</v>
      </c>
      <c r="K657" s="21" t="str">
        <f t="shared" si="1"/>
        <v>Apr</v>
      </c>
      <c r="L657" s="21">
        <f t="shared" si="2"/>
        <v>2025</v>
      </c>
      <c r="N657" s="33"/>
      <c r="O657" s="34"/>
    </row>
    <row r="658" ht="22.5" customHeight="1">
      <c r="A658" s="21" t="s">
        <v>2623</v>
      </c>
      <c r="B658" s="21" t="s">
        <v>145</v>
      </c>
      <c r="C658" s="21" t="str">
        <f t="array" ref="C658">XLOOKUP(B658,Customer[Customer_ID],Customer[Name(Cleaned)])</f>
        <v>Christopher Olson</v>
      </c>
      <c r="D658" s="22" t="str">
        <f>VLOOKUP(B658,Customer[#ALL],6)</f>
        <v>Male</v>
      </c>
      <c r="E658" s="23">
        <f>Sales[Order_Date]</f>
        <v>45235</v>
      </c>
      <c r="F658" s="21" t="str">
        <f>Sales[Store_ID]</f>
        <v>STORE4</v>
      </c>
      <c r="G658" s="21" t="str">
        <f t="array" ref="G658">INDEX(Store[Store_Name],MATCH(F658,Store[Store_ID],0))</f>
        <v>Alexander Group</v>
      </c>
      <c r="H658" s="21" t="str">
        <f>Sales[Product_ID]</f>
        <v>PROD36</v>
      </c>
      <c r="I658" s="21" t="str">
        <f>VLOOKUP(H658,Products[],2)</f>
        <v>Women's Summer Dress</v>
      </c>
      <c r="J658" s="24">
        <f>Sales[Total_Amount]</f>
        <v>1801.419</v>
      </c>
      <c r="K658" s="21" t="str">
        <f t="shared" si="1"/>
        <v>Nov</v>
      </c>
      <c r="L658" s="21">
        <f t="shared" si="2"/>
        <v>2023</v>
      </c>
      <c r="N658" s="33"/>
      <c r="O658" s="34"/>
    </row>
    <row r="659" ht="22.5" customHeight="1">
      <c r="A659" s="21" t="s">
        <v>2624</v>
      </c>
      <c r="B659" s="21" t="s">
        <v>1245</v>
      </c>
      <c r="C659" s="21" t="str">
        <f t="array" ref="C659">XLOOKUP(B659,Customer[Customer_ID],Customer[Name(Cleaned)])</f>
        <v>Alejandro Evans</v>
      </c>
      <c r="D659" s="22" t="str">
        <f>VLOOKUP(B659,Customer[#ALL],6)</f>
        <v>Male</v>
      </c>
      <c r="E659" s="23">
        <f>Sales[Order_Date]</f>
        <v>45454</v>
      </c>
      <c r="F659" s="21" t="str">
        <f>Sales[Store_ID]</f>
        <v>STORE16</v>
      </c>
      <c r="G659" s="21" t="str">
        <f t="array" ref="G659">INDEX(Store[Store_Name],MATCH(F659,Store[Store_ID],0))</f>
        <v>Frederick-Wright</v>
      </c>
      <c r="H659" s="21" t="str">
        <f>Sales[Product_ID]</f>
        <v>PROD89</v>
      </c>
      <c r="I659" s="21" t="str">
        <f>VLOOKUP(H659,Products[],2)</f>
        <v>Face Foundation Kit</v>
      </c>
      <c r="J659" s="24">
        <f>Sales[Total_Amount]</f>
        <v>193.1234</v>
      </c>
      <c r="K659" s="21" t="str">
        <f t="shared" si="1"/>
        <v>Jun</v>
      </c>
      <c r="L659" s="21">
        <f t="shared" si="2"/>
        <v>2024</v>
      </c>
      <c r="N659" s="33"/>
      <c r="O659" s="34"/>
    </row>
    <row r="660" ht="22.5" customHeight="1">
      <c r="A660" s="21" t="s">
        <v>2625</v>
      </c>
      <c r="B660" s="21" t="s">
        <v>1291</v>
      </c>
      <c r="C660" s="21" t="str">
        <f t="array" ref="C660">XLOOKUP(B660,Customer[Customer_ID],Customer[Name(Cleaned)])</f>
        <v>Jackie Thompson</v>
      </c>
      <c r="D660" s="22" t="str">
        <f>VLOOKUP(B660,Customer[#ALL],6)</f>
        <v>Male</v>
      </c>
      <c r="E660" s="23">
        <f>Sales[Order_Date]</f>
        <v>45749</v>
      </c>
      <c r="F660" s="21" t="str">
        <f>Sales[Store_ID]</f>
        <v>STORE19</v>
      </c>
      <c r="G660" s="21" t="str">
        <f t="array" ref="G660">INDEX(Store[Store_Name],MATCH(F660,Store[Store_ID],0))</f>
        <v>Mann-Austin</v>
      </c>
      <c r="H660" s="21" t="str">
        <f>Sales[Product_ID]</f>
        <v>PROD33</v>
      </c>
      <c r="I660" s="21" t="str">
        <f>VLOOKUP(H660,Products[],2)</f>
        <v>Modern Wall Clock</v>
      </c>
      <c r="J660" s="24">
        <f>Sales[Total_Amount]</f>
        <v>221.61</v>
      </c>
      <c r="K660" s="21" t="str">
        <f t="shared" si="1"/>
        <v>Apr</v>
      </c>
      <c r="L660" s="21">
        <f t="shared" si="2"/>
        <v>2025</v>
      </c>
      <c r="N660" s="33"/>
      <c r="O660" s="34"/>
    </row>
    <row r="661" ht="22.5" customHeight="1">
      <c r="A661" s="21" t="s">
        <v>2626</v>
      </c>
      <c r="B661" s="21" t="s">
        <v>115</v>
      </c>
      <c r="C661" s="21" t="str">
        <f t="array" ref="C661">XLOOKUP(B661,Customer[Customer_ID],Customer[Name(Cleaned)])</f>
        <v>Diana Taylor</v>
      </c>
      <c r="D661" s="22" t="str">
        <f>VLOOKUP(B661,Customer[#ALL],6)</f>
        <v>Male</v>
      </c>
      <c r="E661" s="23">
        <f>Sales[Order_Date]</f>
        <v>45807</v>
      </c>
      <c r="F661" s="21" t="str">
        <f>Sales[Store_ID]</f>
        <v>STORE10</v>
      </c>
      <c r="G661" s="21" t="str">
        <f t="array" ref="G661">INDEX(Store[Store_Name],MATCH(F661,Store[Store_ID],0))</f>
        <v>Hill, Wagner and Ballard</v>
      </c>
      <c r="H661" s="21" t="str">
        <f>Sales[Product_ID]</f>
        <v>PROD95</v>
      </c>
      <c r="I661" s="21" t="str">
        <f>VLOOKUP(H661,Products[],2)</f>
        <v>Sports Stopwatch Basic</v>
      </c>
      <c r="J661" s="24">
        <f>Sales[Total_Amount]</f>
        <v>727.2866</v>
      </c>
      <c r="K661" s="21" t="str">
        <f t="shared" si="1"/>
        <v>May</v>
      </c>
      <c r="L661" s="21">
        <f t="shared" si="2"/>
        <v>2025</v>
      </c>
      <c r="N661" s="33"/>
      <c r="O661" s="34"/>
    </row>
    <row r="662" ht="22.5" customHeight="1">
      <c r="A662" s="21" t="s">
        <v>2627</v>
      </c>
      <c r="B662" s="21" t="s">
        <v>1113</v>
      </c>
      <c r="C662" s="21" t="str">
        <f t="array" ref="C662">XLOOKUP(B662,Customer[Customer_ID],Customer[Name(Cleaned)])</f>
        <v>Charles Miller</v>
      </c>
      <c r="D662" s="22" t="str">
        <f>VLOOKUP(B662,Customer[#ALL],6)</f>
        <v>Female</v>
      </c>
      <c r="E662" s="23">
        <f>Sales[Order_Date]</f>
        <v>45496</v>
      </c>
      <c r="F662" s="21" t="str">
        <f>Sales[Store_ID]</f>
        <v>STORE5</v>
      </c>
      <c r="G662" s="21" t="str">
        <f t="array" ref="G662">INDEX(Store[Store_Name],MATCH(F662,Store[Store_ID],0))</f>
        <v>Gray Ltd</v>
      </c>
      <c r="H662" s="21" t="str">
        <f>Sales[Product_ID]</f>
        <v>PROD59</v>
      </c>
      <c r="I662" s="21" t="str">
        <f>VLOOKUP(H662,Products[],2)</f>
        <v>Men's Hair Styling Gel</v>
      </c>
      <c r="J662" s="24">
        <f>Sales[Total_Amount]</f>
        <v>1758.4812</v>
      </c>
      <c r="K662" s="21" t="str">
        <f t="shared" si="1"/>
        <v>Jul</v>
      </c>
      <c r="L662" s="21">
        <f t="shared" si="2"/>
        <v>2024</v>
      </c>
      <c r="N662" s="33"/>
      <c r="O662" s="34"/>
    </row>
    <row r="663" ht="22.5" customHeight="1">
      <c r="A663" s="21" t="s">
        <v>2628</v>
      </c>
      <c r="B663" s="21" t="s">
        <v>495</v>
      </c>
      <c r="C663" s="21" t="str">
        <f t="array" ref="C663">XLOOKUP(B663,Customer[Customer_ID],Customer[Name(Cleaned)])</f>
        <v>Carlos Skinner</v>
      </c>
      <c r="D663" s="22" t="str">
        <f>VLOOKUP(B663,Customer[#ALL],6)</f>
        <v>Female</v>
      </c>
      <c r="E663" s="23">
        <f>Sales[Order_Date]</f>
        <v>45355</v>
      </c>
      <c r="F663" s="21" t="str">
        <f>Sales[Store_ID]</f>
        <v>STORE16</v>
      </c>
      <c r="G663" s="21" t="str">
        <f t="array" ref="G663">INDEX(Store[Store_Name],MATCH(F663,Store[Store_ID],0))</f>
        <v>Frederick-Wright</v>
      </c>
      <c r="H663" s="21" t="str">
        <f>Sales[Product_ID]</f>
        <v>PROD30</v>
      </c>
      <c r="I663" s="21" t="str">
        <f>VLOOKUP(H663,Products[],2)</f>
        <v>Stainless Steel Cutlery Set</v>
      </c>
      <c r="J663" s="24">
        <f>Sales[Total_Amount]</f>
        <v>84.5272</v>
      </c>
      <c r="K663" s="21" t="str">
        <f t="shared" si="1"/>
        <v>Mar</v>
      </c>
      <c r="L663" s="21">
        <f t="shared" si="2"/>
        <v>2024</v>
      </c>
      <c r="N663" s="33"/>
      <c r="O663" s="34"/>
    </row>
    <row r="664" ht="22.5" customHeight="1">
      <c r="A664" s="21" t="s">
        <v>2629</v>
      </c>
      <c r="B664" s="21" t="s">
        <v>216</v>
      </c>
      <c r="C664" s="21" t="str">
        <f t="array" ref="C664">XLOOKUP(B664,Customer[Customer_ID],Customer[Name(Cleaned)])</f>
        <v>Wayne Mcpherson</v>
      </c>
      <c r="D664" s="22" t="str">
        <f>VLOOKUP(B664,Customer[#ALL],6)</f>
        <v>Male</v>
      </c>
      <c r="E664" s="23">
        <f>Sales[Order_Date]</f>
        <v>45256</v>
      </c>
      <c r="F664" s="21" t="str">
        <f>Sales[Store_ID]</f>
        <v>STORE18</v>
      </c>
      <c r="G664" s="21" t="str">
        <f t="array" ref="G664">INDEX(Store[Store_Name],MATCH(F664,Store[Store_ID],0))</f>
        <v>Guerrero-Schmitt</v>
      </c>
      <c r="H664" s="21" t="str">
        <f>Sales[Product_ID]</f>
        <v>PROD24</v>
      </c>
      <c r="I664" s="21" t="str">
        <f>VLOOKUP(H664,Products[],2)</f>
        <v>Foldable Camping Chair</v>
      </c>
      <c r="J664" s="24">
        <f>Sales[Total_Amount]</f>
        <v>2155.272</v>
      </c>
      <c r="K664" s="21" t="str">
        <f t="shared" si="1"/>
        <v>Nov</v>
      </c>
      <c r="L664" s="21">
        <f t="shared" si="2"/>
        <v>2023</v>
      </c>
      <c r="N664" s="33"/>
      <c r="O664" s="34"/>
    </row>
    <row r="665" ht="22.5" customHeight="1">
      <c r="A665" s="21" t="s">
        <v>2630</v>
      </c>
      <c r="B665" s="21" t="s">
        <v>1468</v>
      </c>
      <c r="C665" s="21" t="str">
        <f t="array" ref="C665">XLOOKUP(B665,Customer[Customer_ID],Customer[Name(Cleaned)])</f>
        <v>Debra Mccullough</v>
      </c>
      <c r="D665" s="22" t="str">
        <f>VLOOKUP(B665,Customer[#ALL],6)</f>
        <v>Female</v>
      </c>
      <c r="E665" s="23">
        <f>Sales[Order_Date]</f>
        <v>45849</v>
      </c>
      <c r="F665" s="21" t="str">
        <f>Sales[Store_ID]</f>
        <v>STORE1</v>
      </c>
      <c r="G665" s="21" t="str">
        <f t="array" ref="G665">INDEX(Store[Store_Name],MATCH(F665,Store[Store_ID],0))</f>
        <v>Martinez, Adkins and Johnson</v>
      </c>
      <c r="H665" s="21" t="str">
        <f>Sales[Product_ID]</f>
        <v>PROD43</v>
      </c>
      <c r="I665" s="21" t="str">
        <f>VLOOKUP(H665,Products[],2)</f>
        <v>USB External Hard Drive</v>
      </c>
      <c r="J665" s="24">
        <f>Sales[Total_Amount]</f>
        <v>104.6199</v>
      </c>
      <c r="K665" s="21" t="str">
        <f t="shared" si="1"/>
        <v>Jul</v>
      </c>
      <c r="L665" s="21">
        <f t="shared" si="2"/>
        <v>2025</v>
      </c>
      <c r="N665" s="33"/>
      <c r="O665" s="34"/>
    </row>
    <row r="666" ht="22.5" customHeight="1">
      <c r="A666" s="21" t="s">
        <v>2631</v>
      </c>
      <c r="B666" s="21" t="s">
        <v>349</v>
      </c>
      <c r="C666" s="21" t="str">
        <f t="array" ref="C666">XLOOKUP(B666,Customer[Customer_ID],Customer[Name(Cleaned)])</f>
        <v>Amy Fowler</v>
      </c>
      <c r="D666" s="22" t="str">
        <f>VLOOKUP(B666,Customer[#ALL],6)</f>
        <v>Male</v>
      </c>
      <c r="E666" s="23">
        <f>Sales[Order_Date]</f>
        <v>45344</v>
      </c>
      <c r="F666" s="21" t="str">
        <f>Sales[Store_ID]</f>
        <v>STORE6</v>
      </c>
      <c r="G666" s="21" t="str">
        <f t="array" ref="G666">INDEX(Store[Store_Name],MATCH(F666,Store[Store_ID],0))</f>
        <v>Benson-Elliott</v>
      </c>
      <c r="H666" s="21" t="str">
        <f>Sales[Product_ID]</f>
        <v>PROD21</v>
      </c>
      <c r="I666" s="21" t="str">
        <f>VLOOKUP(H666,Products[],2)</f>
        <v>Multi-Purpose Storage Box</v>
      </c>
      <c r="J666" s="24">
        <f>Sales[Total_Amount]</f>
        <v>384.4665</v>
      </c>
      <c r="K666" s="21" t="str">
        <f t="shared" si="1"/>
        <v>Feb</v>
      </c>
      <c r="L666" s="21">
        <f t="shared" si="2"/>
        <v>2024</v>
      </c>
      <c r="N666" s="33"/>
      <c r="O666" s="34"/>
    </row>
    <row r="667" ht="22.5" customHeight="1">
      <c r="A667" s="21" t="s">
        <v>2632</v>
      </c>
      <c r="B667" s="21" t="s">
        <v>1511</v>
      </c>
      <c r="C667" s="21" t="str">
        <f t="array" ref="C667">XLOOKUP(B667,Customer[Customer_ID],Customer[Name(Cleaned)])</f>
        <v>Eric Lee</v>
      </c>
      <c r="D667" s="22" t="str">
        <f>VLOOKUP(B667,Customer[#ALL],6)</f>
        <v>Male</v>
      </c>
      <c r="E667" s="23">
        <f>Sales[Order_Date]</f>
        <v>45367</v>
      </c>
      <c r="F667" s="21" t="str">
        <f>Sales[Store_ID]</f>
        <v>STORE9</v>
      </c>
      <c r="G667" s="21" t="str">
        <f t="array" ref="G667">INDEX(Store[Store_Name],MATCH(F667,Store[Store_ID],0))</f>
        <v>Moore, Padilla and Butler</v>
      </c>
      <c r="H667" s="21" t="str">
        <f>Sales[Product_ID]</f>
        <v>PROD38</v>
      </c>
      <c r="I667" s="21" t="str">
        <f>VLOOKUP(H667,Products[],2)</f>
        <v>Sports Water Hydration Pack</v>
      </c>
      <c r="J667" s="24">
        <f>Sales[Total_Amount]</f>
        <v>1398.712</v>
      </c>
      <c r="K667" s="21" t="str">
        <f t="shared" si="1"/>
        <v>Mar</v>
      </c>
      <c r="L667" s="21">
        <f t="shared" si="2"/>
        <v>2024</v>
      </c>
      <c r="N667" s="33"/>
      <c r="O667" s="34"/>
    </row>
    <row r="668" ht="22.5" customHeight="1">
      <c r="A668" s="21" t="s">
        <v>2633</v>
      </c>
      <c r="B668" s="21" t="s">
        <v>576</v>
      </c>
      <c r="C668" s="21" t="str">
        <f t="array" ref="C668">XLOOKUP(B668,Customer[Customer_ID],Customer[Name(Cleaned)])</f>
        <v>Christopher Garcia Dds</v>
      </c>
      <c r="D668" s="22" t="str">
        <f>VLOOKUP(B668,Customer[#ALL],6)</f>
        <v>Female</v>
      </c>
      <c r="E668" s="23">
        <f>Sales[Order_Date]</f>
        <v>45887</v>
      </c>
      <c r="F668" s="21" t="str">
        <f>Sales[Store_ID]</f>
        <v>STORE17</v>
      </c>
      <c r="G668" s="21" t="str">
        <f t="array" ref="G668">INDEX(Store[Store_Name],MATCH(F668,Store[Store_ID],0))</f>
        <v>Holloway Ltd</v>
      </c>
      <c r="H668" s="21" t="str">
        <f>Sales[Product_ID]</f>
        <v>PROD38</v>
      </c>
      <c r="I668" s="21" t="str">
        <f>VLOOKUP(H668,Products[],2)</f>
        <v>Sports Water Hydration Pack</v>
      </c>
      <c r="J668" s="24">
        <f>Sales[Total_Amount]</f>
        <v>1250.8044</v>
      </c>
      <c r="K668" s="21" t="str">
        <f t="shared" si="1"/>
        <v>Aug</v>
      </c>
      <c r="L668" s="21">
        <f t="shared" si="2"/>
        <v>2025</v>
      </c>
      <c r="N668" s="33"/>
      <c r="O668" s="34"/>
    </row>
    <row r="669" ht="22.5" customHeight="1">
      <c r="A669" s="21" t="s">
        <v>2634</v>
      </c>
      <c r="B669" s="21" t="s">
        <v>770</v>
      </c>
      <c r="C669" s="21" t="str">
        <f t="array" ref="C669">XLOOKUP(B669,Customer[Customer_ID],Customer[Name(Cleaned)])</f>
        <v>Jon Ortiz</v>
      </c>
      <c r="D669" s="22" t="str">
        <f>VLOOKUP(B669,Customer[#ALL],6)</f>
        <v>Male</v>
      </c>
      <c r="E669" s="23">
        <f>Sales[Order_Date]</f>
        <v>45567</v>
      </c>
      <c r="F669" s="21" t="str">
        <f>Sales[Store_ID]</f>
        <v>STORE10</v>
      </c>
      <c r="G669" s="21" t="str">
        <f t="array" ref="G669">INDEX(Store[Store_Name],MATCH(F669,Store[Store_ID],0))</f>
        <v>Hill, Wagner and Ballard</v>
      </c>
      <c r="H669" s="21" t="str">
        <f>Sales[Product_ID]</f>
        <v>PROD80</v>
      </c>
      <c r="I669" s="21" t="str">
        <f>VLOOKUP(H669,Products[],2)</f>
        <v>Wall-Mounted Spice Rack</v>
      </c>
      <c r="J669" s="24">
        <f>Sales[Total_Amount]</f>
        <v>104.227</v>
      </c>
      <c r="K669" s="21" t="str">
        <f t="shared" si="1"/>
        <v>Oct</v>
      </c>
      <c r="L669" s="21">
        <f t="shared" si="2"/>
        <v>2024</v>
      </c>
      <c r="N669" s="33"/>
      <c r="O669" s="34"/>
    </row>
    <row r="670" ht="22.5" customHeight="1">
      <c r="A670" s="21" t="s">
        <v>2635</v>
      </c>
      <c r="B670" s="21" t="s">
        <v>893</v>
      </c>
      <c r="C670" s="21" t="str">
        <f t="array" ref="C670">XLOOKUP(B670,Customer[Customer_ID],Customer[Name(Cleaned)])</f>
        <v>Arthur Warren</v>
      </c>
      <c r="D670" s="22" t="str">
        <f>VLOOKUP(B670,Customer[#ALL],6)</f>
        <v>Female</v>
      </c>
      <c r="E670" s="23">
        <f>Sales[Order_Date]</f>
        <v>45913</v>
      </c>
      <c r="F670" s="21" t="str">
        <f>Sales[Store_ID]</f>
        <v>STORE19</v>
      </c>
      <c r="G670" s="21" t="str">
        <f t="array" ref="G670">INDEX(Store[Store_Name],MATCH(F670,Store[Store_ID],0))</f>
        <v>Mann-Austin</v>
      </c>
      <c r="H670" s="21" t="str">
        <f>Sales[Product_ID]</f>
        <v>PROD65</v>
      </c>
      <c r="I670" s="21" t="str">
        <f>VLOOKUP(H670,Products[],2)</f>
        <v>Adjustable Dumbbells 20kg</v>
      </c>
      <c r="J670" s="24">
        <f>Sales[Total_Amount]</f>
        <v>677.97</v>
      </c>
      <c r="K670" s="21" t="str">
        <f t="shared" si="1"/>
        <v>Sep</v>
      </c>
      <c r="L670" s="21">
        <f t="shared" si="2"/>
        <v>2025</v>
      </c>
      <c r="N670" s="33"/>
      <c r="O670" s="34"/>
    </row>
    <row r="671" ht="22.5" customHeight="1">
      <c r="A671" s="21" t="s">
        <v>2636</v>
      </c>
      <c r="B671" s="21" t="s">
        <v>96</v>
      </c>
      <c r="C671" s="21" t="str">
        <f t="array" ref="C671">XLOOKUP(B671,Customer[Customer_ID],Customer[Name(Cleaned)])</f>
        <v>Bridget Allen</v>
      </c>
      <c r="D671" s="22" t="str">
        <f>VLOOKUP(B671,Customer[#ALL],6)</f>
        <v>Female</v>
      </c>
      <c r="E671" s="23">
        <f>Sales[Order_Date]</f>
        <v>45918</v>
      </c>
      <c r="F671" s="21" t="str">
        <f>Sales[Store_ID]</f>
        <v>STORE18</v>
      </c>
      <c r="G671" s="21" t="str">
        <f t="array" ref="G671">INDEX(Store[Store_Name],MATCH(F671,Store[Store_ID],0))</f>
        <v>Guerrero-Schmitt</v>
      </c>
      <c r="H671" s="21" t="str">
        <f>Sales[Product_ID]</f>
        <v>PROD70</v>
      </c>
      <c r="I671" s="21" t="str">
        <f>VLOOKUP(H671,Products[],2)</f>
        <v>Kitchen Storage Rack</v>
      </c>
      <c r="J671" s="24">
        <f>Sales[Total_Amount]</f>
        <v>1084.6812</v>
      </c>
      <c r="K671" s="21" t="str">
        <f t="shared" si="1"/>
        <v>Sep</v>
      </c>
      <c r="L671" s="21">
        <f t="shared" si="2"/>
        <v>2025</v>
      </c>
      <c r="N671" s="33"/>
      <c r="O671" s="34"/>
    </row>
    <row r="672" ht="22.5" customHeight="1">
      <c r="A672" s="21" t="s">
        <v>2637</v>
      </c>
      <c r="B672" s="21" t="s">
        <v>1089</v>
      </c>
      <c r="C672" s="21" t="str">
        <f t="array" ref="C672">XLOOKUP(B672,Customer[Customer_ID],Customer[Name(Cleaned)])</f>
        <v>Michelle Cunningham</v>
      </c>
      <c r="D672" s="22" t="str">
        <f>VLOOKUP(B672,Customer[#ALL],6)</f>
        <v>Male</v>
      </c>
      <c r="E672" s="23">
        <f>Sales[Order_Date]</f>
        <v>45223</v>
      </c>
      <c r="F672" s="21" t="str">
        <f>Sales[Store_ID]</f>
        <v>STORE10</v>
      </c>
      <c r="G672" s="21" t="str">
        <f t="array" ref="G672">INDEX(Store[Store_Name],MATCH(F672,Store[Store_ID],0))</f>
        <v>Hill, Wagner and Ballard</v>
      </c>
      <c r="H672" s="21" t="str">
        <f>Sales[Product_ID]</f>
        <v>PROD81</v>
      </c>
      <c r="I672" s="21" t="str">
        <f>VLOOKUP(H672,Products[],2)</f>
        <v>Badminton Racket Set</v>
      </c>
      <c r="J672" s="24">
        <f>Sales[Total_Amount]</f>
        <v>1340.0002</v>
      </c>
      <c r="K672" s="21" t="str">
        <f t="shared" si="1"/>
        <v>Oct</v>
      </c>
      <c r="L672" s="21">
        <f t="shared" si="2"/>
        <v>2023</v>
      </c>
      <c r="N672" s="33"/>
      <c r="O672" s="34"/>
    </row>
    <row r="673" ht="22.5" customHeight="1">
      <c r="A673" s="21" t="s">
        <v>2638</v>
      </c>
      <c r="B673" s="21" t="s">
        <v>255</v>
      </c>
      <c r="C673" s="21" t="str">
        <f t="array" ref="C673">XLOOKUP(B673,Customer[Customer_ID],Customer[Name(Cleaned)])</f>
        <v>Amber Mcclain</v>
      </c>
      <c r="D673" s="22" t="str">
        <f>VLOOKUP(B673,Customer[#ALL],6)</f>
        <v>Female</v>
      </c>
      <c r="E673" s="23">
        <f>Sales[Order_Date]</f>
        <v>45664</v>
      </c>
      <c r="F673" s="21" t="str">
        <f>Sales[Store_ID]</f>
        <v>STORE19</v>
      </c>
      <c r="G673" s="21" t="str">
        <f t="array" ref="G673">INDEX(Store[Store_Name],MATCH(F673,Store[Store_ID],0))</f>
        <v>Mann-Austin</v>
      </c>
      <c r="H673" s="21" t="str">
        <f>Sales[Product_ID]</f>
        <v>PROD15</v>
      </c>
      <c r="I673" s="21" t="str">
        <f>VLOOKUP(H673,Products[],2)</f>
        <v>4K Home Projector</v>
      </c>
      <c r="J673" s="24">
        <f>Sales[Total_Amount]</f>
        <v>299.4939</v>
      </c>
      <c r="K673" s="21" t="str">
        <f t="shared" si="1"/>
        <v>Jan</v>
      </c>
      <c r="L673" s="21">
        <f t="shared" si="2"/>
        <v>2025</v>
      </c>
      <c r="N673" s="33"/>
      <c r="O673" s="34"/>
    </row>
    <row r="674" ht="22.5" customHeight="1">
      <c r="A674" s="21" t="s">
        <v>2639</v>
      </c>
      <c r="B674" s="21" t="s">
        <v>610</v>
      </c>
      <c r="C674" s="21" t="str">
        <f t="array" ref="C674">XLOOKUP(B674,Customer[Customer_ID],Customer[Name(Cleaned)])</f>
        <v>Erin Ward</v>
      </c>
      <c r="D674" s="22" t="str">
        <f>VLOOKUP(B674,Customer[#ALL],6)</f>
        <v>Female</v>
      </c>
      <c r="E674" s="23">
        <f>Sales[Order_Date]</f>
        <v>45313</v>
      </c>
      <c r="F674" s="21" t="str">
        <f>Sales[Store_ID]</f>
        <v>STORE0</v>
      </c>
      <c r="G674" s="21" t="str">
        <f t="array" ref="G674">INDEX(Store[Store_Name],MATCH(F674,Store[Store_ID],0))</f>
        <v>Rivera-Warner</v>
      </c>
      <c r="H674" s="21" t="str">
        <f>Sales[Product_ID]</f>
        <v>PROD67</v>
      </c>
      <c r="I674" s="21" t="str">
        <f>VLOOKUP(H674,Products[],2)</f>
        <v>Smart LED Light Strip</v>
      </c>
      <c r="J674" s="24">
        <f>Sales[Total_Amount]</f>
        <v>226.2254</v>
      </c>
      <c r="K674" s="21" t="str">
        <f t="shared" si="1"/>
        <v>Jan</v>
      </c>
      <c r="L674" s="21">
        <f t="shared" si="2"/>
        <v>2024</v>
      </c>
      <c r="N674" s="33"/>
      <c r="O674" s="34"/>
    </row>
    <row r="675" ht="22.5" customHeight="1">
      <c r="A675" s="21" t="s">
        <v>2640</v>
      </c>
      <c r="B675" s="21" t="s">
        <v>428</v>
      </c>
      <c r="C675" s="21" t="str">
        <f t="array" ref="C675">XLOOKUP(B675,Customer[Customer_ID],Customer[Name(Cleaned)])</f>
        <v>Joel Robinson</v>
      </c>
      <c r="D675" s="22" t="str">
        <f>VLOOKUP(B675,Customer[#ALL],6)</f>
        <v>Female</v>
      </c>
      <c r="E675" s="23">
        <f>Sales[Order_Date]</f>
        <v>45224</v>
      </c>
      <c r="F675" s="21" t="str">
        <f>Sales[Store_ID]</f>
        <v>STORE18</v>
      </c>
      <c r="G675" s="21" t="str">
        <f t="array" ref="G675">INDEX(Store[Store_Name],MATCH(F675,Store[Store_ID],0))</f>
        <v>Guerrero-Schmitt</v>
      </c>
      <c r="H675" s="21" t="str">
        <f>Sales[Product_ID]</f>
        <v>PROD10</v>
      </c>
      <c r="I675" s="21" t="str">
        <f>VLOOKUP(H675,Products[],2)</f>
        <v>Men's Graphic T-Shirt</v>
      </c>
      <c r="J675" s="24">
        <f>Sales[Total_Amount]</f>
        <v>902.2538</v>
      </c>
      <c r="K675" s="21" t="str">
        <f t="shared" si="1"/>
        <v>Oct</v>
      </c>
      <c r="L675" s="21">
        <f t="shared" si="2"/>
        <v>2023</v>
      </c>
      <c r="N675" s="33"/>
      <c r="O675" s="34"/>
    </row>
    <row r="676" ht="22.5" customHeight="1">
      <c r="A676" s="21" t="s">
        <v>2641</v>
      </c>
      <c r="B676" s="21" t="s">
        <v>413</v>
      </c>
      <c r="C676" s="21" t="str">
        <f t="array" ref="C676">XLOOKUP(B676,Customer[Customer_ID],Customer[Name(Cleaned)])</f>
        <v>Anthony Phillips</v>
      </c>
      <c r="D676" s="22" t="str">
        <f>VLOOKUP(B676,Customer[#ALL],6)</f>
        <v>Male</v>
      </c>
      <c r="E676" s="23">
        <f>Sales[Order_Date]</f>
        <v>45491</v>
      </c>
      <c r="F676" s="21" t="str">
        <f>Sales[Store_ID]</f>
        <v>STORE19</v>
      </c>
      <c r="G676" s="21" t="str">
        <f t="array" ref="G676">INDEX(Store[Store_Name],MATCH(F676,Store[Store_ID],0))</f>
        <v>Mann-Austin</v>
      </c>
      <c r="H676" s="21" t="str">
        <f>Sales[Product_ID]</f>
        <v>PROD92</v>
      </c>
      <c r="I676" s="21" t="str">
        <f>VLOOKUP(H676,Products[],2)</f>
        <v>Microwave Oven</v>
      </c>
      <c r="J676" s="24">
        <f>Sales[Total_Amount]</f>
        <v>390.9598</v>
      </c>
      <c r="K676" s="21" t="str">
        <f t="shared" si="1"/>
        <v>Jul</v>
      </c>
      <c r="L676" s="21">
        <f t="shared" si="2"/>
        <v>2024</v>
      </c>
      <c r="N676" s="33"/>
      <c r="O676" s="34"/>
    </row>
    <row r="677" ht="22.5" customHeight="1">
      <c r="A677" s="21" t="s">
        <v>2642</v>
      </c>
      <c r="B677" s="21" t="s">
        <v>1505</v>
      </c>
      <c r="C677" s="21" t="str">
        <f t="array" ref="C677">XLOOKUP(B677,Customer[Customer_ID],Customer[Name(Cleaned)])</f>
        <v>Jessica Castro</v>
      </c>
      <c r="D677" s="22" t="str">
        <f>VLOOKUP(B677,Customer[#ALL],6)</f>
        <v>Female</v>
      </c>
      <c r="E677" s="23">
        <f>Sales[Order_Date]</f>
        <v>45472</v>
      </c>
      <c r="F677" s="21" t="str">
        <f>Sales[Store_ID]</f>
        <v>STORE17</v>
      </c>
      <c r="G677" s="21" t="str">
        <f t="array" ref="G677">INDEX(Store[Store_Name],MATCH(F677,Store[Store_ID],0))</f>
        <v>Holloway Ltd</v>
      </c>
      <c r="H677" s="21" t="str">
        <f>Sales[Product_ID]</f>
        <v>PROD76</v>
      </c>
      <c r="I677" s="21" t="str">
        <f>VLOOKUP(H677,Products[],2)</f>
        <v>Wireless Mouse</v>
      </c>
      <c r="J677" s="24">
        <f>Sales[Total_Amount]</f>
        <v>2280.3669</v>
      </c>
      <c r="K677" s="21" t="str">
        <f t="shared" si="1"/>
        <v>Jun</v>
      </c>
      <c r="L677" s="21">
        <f t="shared" si="2"/>
        <v>2024</v>
      </c>
      <c r="N677" s="33"/>
      <c r="O677" s="34"/>
    </row>
    <row r="678" ht="22.5" customHeight="1">
      <c r="A678" s="21" t="s">
        <v>2643</v>
      </c>
      <c r="B678" s="21" t="s">
        <v>693</v>
      </c>
      <c r="C678" s="21" t="str">
        <f t="array" ref="C678">XLOOKUP(B678,Customer[Customer_ID],Customer[Name(Cleaned)])</f>
        <v>Joan Johnson</v>
      </c>
      <c r="D678" s="22" t="str">
        <f>VLOOKUP(B678,Customer[#ALL],6)</f>
        <v>Male</v>
      </c>
      <c r="E678" s="23">
        <f>Sales[Order_Date]</f>
        <v>45795</v>
      </c>
      <c r="F678" s="21" t="str">
        <f>Sales[Store_ID]</f>
        <v>STORE8</v>
      </c>
      <c r="G678" s="21" t="str">
        <f t="array" ref="G678">INDEX(Store[Store_Name],MATCH(F678,Store[Store_ID],0))</f>
        <v>Bean, Jones and Park</v>
      </c>
      <c r="H678" s="21" t="str">
        <f>Sales[Product_ID]</f>
        <v>PROD42</v>
      </c>
      <c r="I678" s="21" t="str">
        <f>VLOOKUP(H678,Products[],2)</f>
        <v>Smart Home WiFi Camera</v>
      </c>
      <c r="J678" s="24">
        <f>Sales[Total_Amount]</f>
        <v>2291.73</v>
      </c>
      <c r="K678" s="21" t="str">
        <f t="shared" si="1"/>
        <v>May</v>
      </c>
      <c r="L678" s="21">
        <f t="shared" si="2"/>
        <v>2025</v>
      </c>
      <c r="N678" s="33"/>
      <c r="O678" s="34"/>
    </row>
    <row r="679" ht="22.5" customHeight="1">
      <c r="A679" s="21" t="s">
        <v>2644</v>
      </c>
      <c r="B679" s="21" t="s">
        <v>1462</v>
      </c>
      <c r="C679" s="21" t="str">
        <f t="array" ref="C679">XLOOKUP(B679,Customer[Customer_ID],Customer[Name(Cleaned)])</f>
        <v>James Foster</v>
      </c>
      <c r="D679" s="22" t="str">
        <f>VLOOKUP(B679,Customer[#ALL],6)</f>
        <v>Female</v>
      </c>
      <c r="E679" s="23">
        <f>Sales[Order_Date]</f>
        <v>45470</v>
      </c>
      <c r="F679" s="21" t="str">
        <f>Sales[Store_ID]</f>
        <v>STORE16</v>
      </c>
      <c r="G679" s="21" t="str">
        <f t="array" ref="G679">INDEX(Store[Store_Name],MATCH(F679,Store[Store_ID],0))</f>
        <v>Frederick-Wright</v>
      </c>
      <c r="H679" s="21" t="str">
        <f>Sales[Product_ID]</f>
        <v>PROD61</v>
      </c>
      <c r="I679" s="21" t="str">
        <f>VLOOKUP(H679,Products[],2)</f>
        <v>Tennis Ball 3-Pack</v>
      </c>
      <c r="J679" s="24">
        <f>Sales[Total_Amount]</f>
        <v>1155.2436</v>
      </c>
      <c r="K679" s="21" t="str">
        <f t="shared" si="1"/>
        <v>Jun</v>
      </c>
      <c r="L679" s="21">
        <f t="shared" si="2"/>
        <v>2024</v>
      </c>
      <c r="N679" s="33"/>
      <c r="O679" s="34"/>
    </row>
    <row r="680" ht="22.5" customHeight="1">
      <c r="A680" s="21" t="s">
        <v>2645</v>
      </c>
      <c r="B680" s="21" t="s">
        <v>1212</v>
      </c>
      <c r="C680" s="21" t="str">
        <f t="array" ref="C680">XLOOKUP(B680,Customer[Customer_ID],Customer[Name(Cleaned)])</f>
        <v>Kristine Higgins</v>
      </c>
      <c r="D680" s="22" t="str">
        <f>VLOOKUP(B680,Customer[#ALL],6)</f>
        <v>Male</v>
      </c>
      <c r="E680" s="23">
        <f>Sales[Order_Date]</f>
        <v>45390</v>
      </c>
      <c r="F680" s="21" t="str">
        <f>Sales[Store_ID]</f>
        <v>STORE19</v>
      </c>
      <c r="G680" s="21" t="str">
        <f t="array" ref="G680">INDEX(Store[Store_Name],MATCH(F680,Store[Store_ID],0))</f>
        <v>Mann-Austin</v>
      </c>
      <c r="H680" s="21" t="str">
        <f>Sales[Product_ID]</f>
        <v>PROD95</v>
      </c>
      <c r="I680" s="21" t="str">
        <f>VLOOKUP(H680,Products[],2)</f>
        <v>Sports Stopwatch Basic</v>
      </c>
      <c r="J680" s="24">
        <f>Sales[Total_Amount]</f>
        <v>511.35</v>
      </c>
      <c r="K680" s="21" t="str">
        <f t="shared" si="1"/>
        <v>Apr</v>
      </c>
      <c r="L680" s="21">
        <f t="shared" si="2"/>
        <v>2024</v>
      </c>
      <c r="N680" s="33"/>
      <c r="O680" s="34"/>
    </row>
    <row r="681" ht="22.5" customHeight="1">
      <c r="A681" s="21" t="s">
        <v>2646</v>
      </c>
      <c r="B681" s="21" t="s">
        <v>82</v>
      </c>
      <c r="C681" s="21" t="str">
        <f t="array" ref="C681">XLOOKUP(B681,Customer[Customer_ID],Customer[Name(Cleaned)])</f>
        <v>John Scott</v>
      </c>
      <c r="D681" s="22" t="str">
        <f>VLOOKUP(B681,Customer[#ALL],6)</f>
        <v>Male</v>
      </c>
      <c r="E681" s="23">
        <f>Sales[Order_Date]</f>
        <v>45803</v>
      </c>
      <c r="F681" s="21" t="str">
        <f>Sales[Store_ID]</f>
        <v>STORE3</v>
      </c>
      <c r="G681" s="21" t="str">
        <f t="array" ref="G681">INDEX(Store[Store_Name],MATCH(F681,Store[Store_ID],0))</f>
        <v>Johnson-Wright</v>
      </c>
      <c r="H681" s="21" t="str">
        <f>Sales[Product_ID]</f>
        <v>PROD97</v>
      </c>
      <c r="I681" s="21" t="str">
        <f>VLOOKUP(H681,Products[],2)</f>
        <v>Cricket Bat</v>
      </c>
      <c r="J681" s="24">
        <f>Sales[Total_Amount]</f>
        <v>125.1588</v>
      </c>
      <c r="K681" s="21" t="str">
        <f t="shared" si="1"/>
        <v>May</v>
      </c>
      <c r="L681" s="21">
        <f t="shared" si="2"/>
        <v>2025</v>
      </c>
      <c r="N681" s="33"/>
      <c r="O681" s="34"/>
    </row>
    <row r="682" ht="22.5" customHeight="1">
      <c r="A682" s="21" t="s">
        <v>2647</v>
      </c>
      <c r="B682" s="21" t="s">
        <v>226</v>
      </c>
      <c r="C682" s="21" t="str">
        <f t="array" ref="C682">XLOOKUP(B682,Customer[Customer_ID],Customer[Name(Cleaned)])</f>
        <v>Cheryl Copeland</v>
      </c>
      <c r="D682" s="22" t="str">
        <f>VLOOKUP(B682,Customer[#ALL],6)</f>
        <v>Female</v>
      </c>
      <c r="E682" s="23">
        <f>Sales[Order_Date]</f>
        <v>45729</v>
      </c>
      <c r="F682" s="21" t="str">
        <f>Sales[Store_ID]</f>
        <v>STORE0</v>
      </c>
      <c r="G682" s="21" t="str">
        <f t="array" ref="G682">INDEX(Store[Store_Name],MATCH(F682,Store[Store_ID],0))</f>
        <v>Rivera-Warner</v>
      </c>
      <c r="H682" s="21" t="str">
        <f>Sales[Product_ID]</f>
        <v>PROD70</v>
      </c>
      <c r="I682" s="21" t="str">
        <f>VLOOKUP(H682,Products[],2)</f>
        <v>Kitchen Storage Rack</v>
      </c>
      <c r="J682" s="24">
        <f>Sales[Total_Amount]</f>
        <v>455.601</v>
      </c>
      <c r="K682" s="21" t="str">
        <f t="shared" si="1"/>
        <v>Mar</v>
      </c>
      <c r="L682" s="21">
        <f t="shared" si="2"/>
        <v>2025</v>
      </c>
      <c r="N682" s="33"/>
      <c r="O682" s="34"/>
    </row>
    <row r="683" ht="22.5" customHeight="1">
      <c r="A683" s="21" t="s">
        <v>2648</v>
      </c>
      <c r="B683" s="21" t="s">
        <v>658</v>
      </c>
      <c r="C683" s="21" t="str">
        <f t="array" ref="C683">XLOOKUP(B683,Customer[Customer_ID],Customer[Name(Cleaned)])</f>
        <v>Andrea Jacobs</v>
      </c>
      <c r="D683" s="22" t="str">
        <f>VLOOKUP(B683,Customer[#ALL],6)</f>
        <v>Male</v>
      </c>
      <c r="E683" s="23">
        <f>Sales[Order_Date]</f>
        <v>45320</v>
      </c>
      <c r="F683" s="21" t="str">
        <f>Sales[Store_ID]</f>
        <v>STORE11</v>
      </c>
      <c r="G683" s="21" t="str">
        <f t="array" ref="G683">INDEX(Store[Store_Name],MATCH(F683,Store[Store_ID],0))</f>
        <v>Aguirre-Keller</v>
      </c>
      <c r="H683" s="21" t="str">
        <f>Sales[Product_ID]</f>
        <v>PROD69</v>
      </c>
      <c r="I683" s="21" t="str">
        <f>VLOOKUP(H683,Products[],2)</f>
        <v>Men's Sports Shorts</v>
      </c>
      <c r="J683" s="24">
        <f>Sales[Total_Amount]</f>
        <v>1523.064</v>
      </c>
      <c r="K683" s="21" t="str">
        <f t="shared" si="1"/>
        <v>Jan</v>
      </c>
      <c r="L683" s="21">
        <f t="shared" si="2"/>
        <v>2024</v>
      </c>
      <c r="N683" s="33"/>
      <c r="O683" s="34"/>
    </row>
    <row r="684" ht="22.5" customHeight="1">
      <c r="A684" s="21" t="s">
        <v>2649</v>
      </c>
      <c r="B684" s="21" t="s">
        <v>978</v>
      </c>
      <c r="C684" s="21" t="str">
        <f t="array" ref="C684">XLOOKUP(B684,Customer[Customer_ID],Customer[Name(Cleaned)])</f>
        <v>Roberta Green</v>
      </c>
      <c r="D684" s="22" t="str">
        <f>VLOOKUP(B684,Customer[#ALL],6)</f>
        <v>Female</v>
      </c>
      <c r="E684" s="23">
        <f>Sales[Order_Date]</f>
        <v>45619</v>
      </c>
      <c r="F684" s="21" t="str">
        <f>Sales[Store_ID]</f>
        <v>STORE2</v>
      </c>
      <c r="G684" s="21" t="str">
        <f t="array" ref="G684">INDEX(Store[Store_Name],MATCH(F684,Store[Store_ID],0))</f>
        <v>Black-Horn</v>
      </c>
      <c r="H684" s="21" t="str">
        <f>Sales[Product_ID]</f>
        <v>PROD53</v>
      </c>
      <c r="I684" s="21" t="str">
        <f>VLOOKUP(H684,Products[],2)</f>
        <v>Men's Track Pants</v>
      </c>
      <c r="J684" s="24">
        <f>Sales[Total_Amount]</f>
        <v>1423.7184</v>
      </c>
      <c r="K684" s="21" t="str">
        <f t="shared" si="1"/>
        <v>Nov</v>
      </c>
      <c r="L684" s="21">
        <f t="shared" si="2"/>
        <v>2024</v>
      </c>
      <c r="N684" s="33"/>
      <c r="O684" s="34"/>
    </row>
    <row r="685" ht="22.5" customHeight="1">
      <c r="A685" s="21" t="s">
        <v>2650</v>
      </c>
      <c r="B685" s="21" t="s">
        <v>1320</v>
      </c>
      <c r="C685" s="21" t="str">
        <f t="array" ref="C685">XLOOKUP(B685,Customer[Customer_ID],Customer[Name(Cleaned)])</f>
        <v>Dr. Tamara White Md</v>
      </c>
      <c r="D685" s="22" t="str">
        <f>VLOOKUP(B685,Customer[#ALL],6)</f>
        <v>Female</v>
      </c>
      <c r="E685" s="23">
        <f>Sales[Order_Date]</f>
        <v>45777</v>
      </c>
      <c r="F685" s="21" t="str">
        <f>Sales[Store_ID]</f>
        <v>STORE0</v>
      </c>
      <c r="G685" s="21" t="str">
        <f t="array" ref="G685">INDEX(Store[Store_Name],MATCH(F685,Store[Store_ID],0))</f>
        <v>Rivera-Warner</v>
      </c>
      <c r="H685" s="21" t="str">
        <f>Sales[Product_ID]</f>
        <v>PROD34</v>
      </c>
      <c r="I685" s="21" t="str">
        <f>VLOOKUP(H685,Products[],2)</f>
        <v>Gaming Mechanical Keyboard</v>
      </c>
      <c r="J685" s="24">
        <f>Sales[Total_Amount]</f>
        <v>642.905</v>
      </c>
      <c r="K685" s="21" t="str">
        <f t="shared" si="1"/>
        <v>Apr</v>
      </c>
      <c r="L685" s="21">
        <f t="shared" si="2"/>
        <v>2025</v>
      </c>
      <c r="N685" s="33"/>
      <c r="O685" s="34"/>
    </row>
    <row r="686" ht="22.5" customHeight="1">
      <c r="A686" s="21" t="s">
        <v>2651</v>
      </c>
      <c r="B686" s="21" t="s">
        <v>678</v>
      </c>
      <c r="C686" s="21" t="str">
        <f t="array" ref="C686">XLOOKUP(B686,Customer[Customer_ID],Customer[Name(Cleaned)])</f>
        <v>Tiffany Herrera</v>
      </c>
      <c r="D686" s="22" t="str">
        <f>VLOOKUP(B686,Customer[#ALL],6)</f>
        <v>Female</v>
      </c>
      <c r="E686" s="23">
        <f>Sales[Order_Date]</f>
        <v>45523</v>
      </c>
      <c r="F686" s="21" t="str">
        <f>Sales[Store_ID]</f>
        <v>STORE13</v>
      </c>
      <c r="G686" s="21" t="str">
        <f t="array" ref="G686">INDEX(Store[Store_Name],MATCH(F686,Store[Store_ID],0))</f>
        <v>Gardner, Humphrey and Contreras</v>
      </c>
      <c r="H686" s="21" t="str">
        <f>Sales[Product_ID]</f>
        <v>PROD16</v>
      </c>
      <c r="I686" s="21" t="str">
        <f>VLOOKUP(H686,Products[],2)</f>
        <v>Beard Grooming Kit</v>
      </c>
      <c r="J686" s="24">
        <f>Sales[Total_Amount]</f>
        <v>174.4044</v>
      </c>
      <c r="K686" s="21" t="str">
        <f t="shared" si="1"/>
        <v>Aug</v>
      </c>
      <c r="L686" s="21">
        <f t="shared" si="2"/>
        <v>2024</v>
      </c>
      <c r="N686" s="33"/>
      <c r="O686" s="34"/>
    </row>
    <row r="687" ht="22.5" customHeight="1">
      <c r="A687" s="21" t="s">
        <v>2652</v>
      </c>
      <c r="B687" s="21" t="s">
        <v>199</v>
      </c>
      <c r="C687" s="21" t="str">
        <f t="array" ref="C687">XLOOKUP(B687,Customer[Customer_ID],Customer[Name(Cleaned)])</f>
        <v>Matthew Hunter Jr.</v>
      </c>
      <c r="D687" s="22" t="str">
        <f>VLOOKUP(B687,Customer[#ALL],6)</f>
        <v>Male</v>
      </c>
      <c r="E687" s="23">
        <f>Sales[Order_Date]</f>
        <v>45628</v>
      </c>
      <c r="F687" s="21" t="str">
        <f>Sales[Store_ID]</f>
        <v>STORE7</v>
      </c>
      <c r="G687" s="21" t="str">
        <f t="array" ref="G687">INDEX(Store[Store_Name],MATCH(F687,Store[Store_ID],0))</f>
        <v>Martinez-Mullins</v>
      </c>
      <c r="H687" s="21" t="str">
        <f>Sales[Product_ID]</f>
        <v>PROD70</v>
      </c>
      <c r="I687" s="21" t="str">
        <f>VLOOKUP(H687,Products[],2)</f>
        <v>Kitchen Storage Rack</v>
      </c>
      <c r="J687" s="24">
        <f>Sales[Total_Amount]</f>
        <v>1939.2012</v>
      </c>
      <c r="K687" s="21" t="str">
        <f t="shared" si="1"/>
        <v>Dec</v>
      </c>
      <c r="L687" s="21">
        <f t="shared" si="2"/>
        <v>2024</v>
      </c>
      <c r="N687" s="33"/>
      <c r="O687" s="34"/>
    </row>
    <row r="688" ht="22.5" customHeight="1">
      <c r="A688" s="21" t="s">
        <v>2653</v>
      </c>
      <c r="B688" s="21" t="s">
        <v>723</v>
      </c>
      <c r="C688" s="21" t="str">
        <f t="array" ref="C688">XLOOKUP(B688,Customer[Customer_ID],Customer[Name(Cleaned)])</f>
        <v>Jordan Wells</v>
      </c>
      <c r="D688" s="22" t="str">
        <f>VLOOKUP(B688,Customer[#ALL],6)</f>
        <v>Male</v>
      </c>
      <c r="E688" s="23">
        <f>Sales[Order_Date]</f>
        <v>45742</v>
      </c>
      <c r="F688" s="21" t="str">
        <f>Sales[Store_ID]</f>
        <v>STORE9</v>
      </c>
      <c r="G688" s="21" t="str">
        <f t="array" ref="G688">INDEX(Store[Store_Name],MATCH(F688,Store[Store_ID],0))</f>
        <v>Moore, Padilla and Butler</v>
      </c>
      <c r="H688" s="21" t="str">
        <f>Sales[Product_ID]</f>
        <v>PROD43</v>
      </c>
      <c r="I688" s="21" t="str">
        <f>VLOOKUP(H688,Products[],2)</f>
        <v>USB External Hard Drive</v>
      </c>
      <c r="J688" s="24">
        <f>Sales[Total_Amount]</f>
        <v>2249.4912</v>
      </c>
      <c r="K688" s="21" t="str">
        <f t="shared" si="1"/>
        <v>Mar</v>
      </c>
      <c r="L688" s="21">
        <f t="shared" si="2"/>
        <v>2025</v>
      </c>
      <c r="N688" s="33"/>
      <c r="O688" s="34"/>
    </row>
    <row r="689" ht="22.5" customHeight="1">
      <c r="A689" s="21" t="s">
        <v>2654</v>
      </c>
      <c r="B689" s="21" t="s">
        <v>255</v>
      </c>
      <c r="C689" s="21" t="str">
        <f t="array" ref="C689">XLOOKUP(B689,Customer[Customer_ID],Customer[Name(Cleaned)])</f>
        <v>Amber Mcclain</v>
      </c>
      <c r="D689" s="22" t="str">
        <f>VLOOKUP(B689,Customer[#ALL],6)</f>
        <v>Female</v>
      </c>
      <c r="E689" s="23">
        <f>Sales[Order_Date]</f>
        <v>45456</v>
      </c>
      <c r="F689" s="21" t="str">
        <f>Sales[Store_ID]</f>
        <v>STORE7</v>
      </c>
      <c r="G689" s="21" t="str">
        <f t="array" ref="G689">INDEX(Store[Store_Name],MATCH(F689,Store[Store_ID],0))</f>
        <v>Martinez-Mullins</v>
      </c>
      <c r="H689" s="21" t="str">
        <f>Sales[Product_ID]</f>
        <v>PROD71</v>
      </c>
      <c r="I689" s="21" t="str">
        <f>VLOOKUP(H689,Products[],2)</f>
        <v>Hair Repair Oil Treatment</v>
      </c>
      <c r="J689" s="24">
        <f>Sales[Total_Amount]</f>
        <v>456.144</v>
      </c>
      <c r="K689" s="21" t="str">
        <f t="shared" si="1"/>
        <v>Jun</v>
      </c>
      <c r="L689" s="21">
        <f t="shared" si="2"/>
        <v>2024</v>
      </c>
      <c r="N689" s="33"/>
      <c r="O689" s="34"/>
    </row>
    <row r="690" ht="22.5" customHeight="1">
      <c r="A690" s="21" t="s">
        <v>2655</v>
      </c>
      <c r="B690" s="21" t="s">
        <v>637</v>
      </c>
      <c r="C690" s="21" t="str">
        <f t="array" ref="C690">XLOOKUP(B690,Customer[Customer_ID],Customer[Name(Cleaned)])</f>
        <v>Christopher Stewart</v>
      </c>
      <c r="D690" s="22" t="str">
        <f>VLOOKUP(B690,Customer[#ALL],6)</f>
        <v>Female</v>
      </c>
      <c r="E690" s="23">
        <f>Sales[Order_Date]</f>
        <v>45534</v>
      </c>
      <c r="F690" s="21" t="str">
        <f>Sales[Store_ID]</f>
        <v>STORE6</v>
      </c>
      <c r="G690" s="21" t="str">
        <f t="array" ref="G690">INDEX(Store[Store_Name],MATCH(F690,Store[Store_ID],0))</f>
        <v>Benson-Elliott</v>
      </c>
      <c r="H690" s="21" t="str">
        <f>Sales[Product_ID]</f>
        <v>PROD44</v>
      </c>
      <c r="I690" s="21" t="str">
        <f>VLOOKUP(H690,Products[],2)</f>
        <v>Adjustable Jump Rope</v>
      </c>
      <c r="J690" s="24">
        <f>Sales[Total_Amount]</f>
        <v>57.3896</v>
      </c>
      <c r="K690" s="21" t="str">
        <f t="shared" si="1"/>
        <v>Aug</v>
      </c>
      <c r="L690" s="21">
        <f t="shared" si="2"/>
        <v>2024</v>
      </c>
      <c r="N690" s="33"/>
      <c r="O690" s="34"/>
    </row>
    <row r="691" ht="22.5" customHeight="1">
      <c r="A691" s="21" t="s">
        <v>2656</v>
      </c>
      <c r="B691" s="21" t="s">
        <v>1125</v>
      </c>
      <c r="C691" s="21" t="str">
        <f t="array" ref="C691">XLOOKUP(B691,Customer[Customer_ID],Customer[Name(Cleaned)])</f>
        <v>Ryan Torres</v>
      </c>
      <c r="D691" s="22" t="str">
        <f>VLOOKUP(B691,Customer[#ALL],6)</f>
        <v>Female</v>
      </c>
      <c r="E691" s="23">
        <f>Sales[Order_Date]</f>
        <v>45375</v>
      </c>
      <c r="F691" s="21" t="str">
        <f>Sales[Store_ID]</f>
        <v>STORE7</v>
      </c>
      <c r="G691" s="21" t="str">
        <f t="array" ref="G691">INDEX(Store[Store_Name],MATCH(F691,Store[Store_ID],0))</f>
        <v>Martinez-Mullins</v>
      </c>
      <c r="H691" s="21" t="str">
        <f>Sales[Product_ID]</f>
        <v>PROD15</v>
      </c>
      <c r="I691" s="21" t="str">
        <f>VLOOKUP(H691,Products[],2)</f>
        <v>4K Home Projector</v>
      </c>
      <c r="J691" s="24">
        <f>Sales[Total_Amount]</f>
        <v>781.616</v>
      </c>
      <c r="K691" s="21" t="str">
        <f t="shared" si="1"/>
        <v>Mar</v>
      </c>
      <c r="L691" s="21">
        <f t="shared" si="2"/>
        <v>2024</v>
      </c>
      <c r="N691" s="33"/>
      <c r="O691" s="34"/>
    </row>
    <row r="692" ht="22.5" customHeight="1">
      <c r="A692" s="21" t="s">
        <v>2657</v>
      </c>
      <c r="B692" s="21" t="s">
        <v>279</v>
      </c>
      <c r="C692" s="21" t="str">
        <f t="array" ref="C692">XLOOKUP(B692,Customer[Customer_ID],Customer[Name(Cleaned)])</f>
        <v>John Mayer</v>
      </c>
      <c r="D692" s="22" t="str">
        <f>VLOOKUP(B692,Customer[#ALL],6)</f>
        <v>Female</v>
      </c>
      <c r="E692" s="23">
        <f>Sales[Order_Date]</f>
        <v>45546</v>
      </c>
      <c r="F692" s="21" t="str">
        <f>Sales[Store_ID]</f>
        <v>STORE4</v>
      </c>
      <c r="G692" s="21" t="str">
        <f t="array" ref="G692">INDEX(Store[Store_Name],MATCH(F692,Store[Store_ID],0))</f>
        <v>Alexander Group</v>
      </c>
      <c r="H692" s="21" t="str">
        <f>Sales[Product_ID]</f>
        <v>PROD83</v>
      </c>
      <c r="I692" s="21" t="str">
        <f>VLOOKUP(H692,Products[],2)</f>
        <v>Hydrating Face Cleanser</v>
      </c>
      <c r="J692" s="24">
        <f>Sales[Total_Amount]</f>
        <v>1348.215</v>
      </c>
      <c r="K692" s="21" t="str">
        <f t="shared" si="1"/>
        <v>Sep</v>
      </c>
      <c r="L692" s="21">
        <f t="shared" si="2"/>
        <v>2024</v>
      </c>
      <c r="N692" s="33"/>
      <c r="O692" s="34"/>
    </row>
    <row r="693" ht="22.5" customHeight="1">
      <c r="A693" s="21" t="s">
        <v>2658</v>
      </c>
      <c r="B693" s="21" t="s">
        <v>957</v>
      </c>
      <c r="C693" s="21" t="str">
        <f t="array" ref="C693">XLOOKUP(B693,Customer[Customer_ID],Customer[Name(Cleaned)])</f>
        <v>Tracy Stephens</v>
      </c>
      <c r="D693" s="22" t="str">
        <f>VLOOKUP(B693,Customer[#ALL],6)</f>
        <v>Female</v>
      </c>
      <c r="E693" s="23">
        <f>Sales[Order_Date]</f>
        <v>45276</v>
      </c>
      <c r="F693" s="21" t="str">
        <f>Sales[Store_ID]</f>
        <v>STORE6</v>
      </c>
      <c r="G693" s="21" t="str">
        <f t="array" ref="G693">INDEX(Store[Store_Name],MATCH(F693,Store[Store_ID],0))</f>
        <v>Benson-Elliott</v>
      </c>
      <c r="H693" s="21" t="str">
        <f>Sales[Product_ID]</f>
        <v>PROD73</v>
      </c>
      <c r="I693" s="21" t="str">
        <f>VLOOKUP(H693,Products[],2)</f>
        <v>Shin Guards – Adult</v>
      </c>
      <c r="J693" s="24">
        <f>Sales[Total_Amount]</f>
        <v>952.8456</v>
      </c>
      <c r="K693" s="21" t="str">
        <f t="shared" si="1"/>
        <v>Dec</v>
      </c>
      <c r="L693" s="21">
        <f t="shared" si="2"/>
        <v>2023</v>
      </c>
      <c r="N693" s="33"/>
      <c r="O693" s="34"/>
    </row>
    <row r="694" ht="22.5" customHeight="1">
      <c r="A694" s="21" t="s">
        <v>2659</v>
      </c>
      <c r="B694" s="21" t="s">
        <v>1116</v>
      </c>
      <c r="C694" s="21" t="str">
        <f t="array" ref="C694">XLOOKUP(B694,Customer[Customer_ID],Customer[Name(Cleaned)])</f>
        <v>Jeffrey Mccarthy</v>
      </c>
      <c r="D694" s="22" t="str">
        <f>VLOOKUP(B694,Customer[#ALL],6)</f>
        <v>Male</v>
      </c>
      <c r="E694" s="23">
        <f>Sales[Order_Date]</f>
        <v>45769</v>
      </c>
      <c r="F694" s="21" t="str">
        <f>Sales[Store_ID]</f>
        <v>STORE3</v>
      </c>
      <c r="G694" s="21" t="str">
        <f t="array" ref="G694">INDEX(Store[Store_Name],MATCH(F694,Store[Store_ID],0))</f>
        <v>Johnson-Wright</v>
      </c>
      <c r="H694" s="21" t="str">
        <f>Sales[Product_ID]</f>
        <v>PROD57</v>
      </c>
      <c r="I694" s="21" t="str">
        <f>VLOOKUP(H694,Products[],2)</f>
        <v>Foam Roller</v>
      </c>
      <c r="J694" s="24">
        <f>Sales[Total_Amount]</f>
        <v>607.8672</v>
      </c>
      <c r="K694" s="21" t="str">
        <f t="shared" si="1"/>
        <v>Apr</v>
      </c>
      <c r="L694" s="21">
        <f t="shared" si="2"/>
        <v>2025</v>
      </c>
      <c r="N694" s="33"/>
      <c r="O694" s="34"/>
    </row>
    <row r="695" ht="22.5" customHeight="1">
      <c r="A695" s="21" t="s">
        <v>2660</v>
      </c>
      <c r="B695" s="21" t="s">
        <v>199</v>
      </c>
      <c r="C695" s="21" t="str">
        <f t="array" ref="C695">XLOOKUP(B695,Customer[Customer_ID],Customer[Name(Cleaned)])</f>
        <v>Matthew Hunter Jr.</v>
      </c>
      <c r="D695" s="22" t="str">
        <f>VLOOKUP(B695,Customer[#ALL],6)</f>
        <v>Male</v>
      </c>
      <c r="E695" s="23">
        <f>Sales[Order_Date]</f>
        <v>45524</v>
      </c>
      <c r="F695" s="21" t="str">
        <f>Sales[Store_ID]</f>
        <v>STORE11</v>
      </c>
      <c r="G695" s="21" t="str">
        <f t="array" ref="G695">INDEX(Store[Store_Name],MATCH(F695,Store[Store_ID],0))</f>
        <v>Aguirre-Keller</v>
      </c>
      <c r="H695" s="21" t="str">
        <f>Sales[Product_ID]</f>
        <v>PROD34</v>
      </c>
      <c r="I695" s="21" t="str">
        <f>VLOOKUP(H695,Products[],2)</f>
        <v>Gaming Mechanical Keyboard</v>
      </c>
      <c r="J695" s="24">
        <f>Sales[Total_Amount]</f>
        <v>314.8232</v>
      </c>
      <c r="K695" s="21" t="str">
        <f t="shared" si="1"/>
        <v>Aug</v>
      </c>
      <c r="L695" s="21">
        <f t="shared" si="2"/>
        <v>2024</v>
      </c>
      <c r="N695" s="33"/>
      <c r="O695" s="34"/>
    </row>
    <row r="696" ht="22.5" customHeight="1">
      <c r="A696" s="21" t="s">
        <v>2661</v>
      </c>
      <c r="B696" s="21" t="s">
        <v>1459</v>
      </c>
      <c r="C696" s="21" t="str">
        <f t="array" ref="C696">XLOOKUP(B696,Customer[Customer_ID],Customer[Name(Cleaned)])</f>
        <v>Gregory Curtis</v>
      </c>
      <c r="D696" s="22" t="str">
        <f>VLOOKUP(B696,Customer[#ALL],6)</f>
        <v>Female</v>
      </c>
      <c r="E696" s="23">
        <f>Sales[Order_Date]</f>
        <v>45531</v>
      </c>
      <c r="F696" s="21" t="str">
        <f>Sales[Store_ID]</f>
        <v>STORE16</v>
      </c>
      <c r="G696" s="21" t="str">
        <f t="array" ref="G696">INDEX(Store[Store_Name],MATCH(F696,Store[Store_ID],0))</f>
        <v>Frederick-Wright</v>
      </c>
      <c r="H696" s="21" t="str">
        <f>Sales[Product_ID]</f>
        <v>PROD55</v>
      </c>
      <c r="I696" s="21" t="str">
        <f>VLOOKUP(H696,Products[],2)</f>
        <v>Ceramic Plant Pot</v>
      </c>
      <c r="J696" s="24">
        <f>Sales[Total_Amount]</f>
        <v>1688.3248</v>
      </c>
      <c r="K696" s="21" t="str">
        <f t="shared" si="1"/>
        <v>Aug</v>
      </c>
      <c r="L696" s="21">
        <f t="shared" si="2"/>
        <v>2024</v>
      </c>
      <c r="N696" s="33"/>
      <c r="O696" s="34"/>
    </row>
    <row r="697" ht="22.5" customHeight="1">
      <c r="A697" s="21" t="s">
        <v>2662</v>
      </c>
      <c r="B697" s="21" t="s">
        <v>1245</v>
      </c>
      <c r="C697" s="21" t="str">
        <f t="array" ref="C697">XLOOKUP(B697,Customer[Customer_ID],Customer[Name(Cleaned)])</f>
        <v>Alejandro Evans</v>
      </c>
      <c r="D697" s="22" t="str">
        <f>VLOOKUP(B697,Customer[#ALL],6)</f>
        <v>Male</v>
      </c>
      <c r="E697" s="23">
        <f>Sales[Order_Date]</f>
        <v>45479</v>
      </c>
      <c r="F697" s="21" t="str">
        <f>Sales[Store_ID]</f>
        <v>STORE15</v>
      </c>
      <c r="G697" s="21" t="str">
        <f t="array" ref="G697">INDEX(Store[Store_Name],MATCH(F697,Store[Store_ID],0))</f>
        <v>Shelton PLC</v>
      </c>
      <c r="H697" s="21" t="str">
        <f>Sales[Product_ID]</f>
        <v>PROD34</v>
      </c>
      <c r="I697" s="21" t="str">
        <f>VLOOKUP(H697,Products[],2)</f>
        <v>Gaming Mechanical Keyboard</v>
      </c>
      <c r="J697" s="24">
        <f>Sales[Total_Amount]</f>
        <v>398.2394</v>
      </c>
      <c r="K697" s="21" t="str">
        <f t="shared" si="1"/>
        <v>Jul</v>
      </c>
      <c r="L697" s="21">
        <f t="shared" si="2"/>
        <v>2024</v>
      </c>
      <c r="N697" s="33"/>
      <c r="O697" s="34"/>
    </row>
    <row r="698" ht="22.5" customHeight="1">
      <c r="A698" s="21" t="s">
        <v>2663</v>
      </c>
      <c r="B698" s="21" t="s">
        <v>1116</v>
      </c>
      <c r="C698" s="21" t="str">
        <f t="array" ref="C698">XLOOKUP(B698,Customer[Customer_ID],Customer[Name(Cleaned)])</f>
        <v>Jeffrey Mccarthy</v>
      </c>
      <c r="D698" s="22" t="str">
        <f>VLOOKUP(B698,Customer[#ALL],6)</f>
        <v>Male</v>
      </c>
      <c r="E698" s="23">
        <f>Sales[Order_Date]</f>
        <v>45868</v>
      </c>
      <c r="F698" s="21" t="str">
        <f>Sales[Store_ID]</f>
        <v>STORE16</v>
      </c>
      <c r="G698" s="21" t="str">
        <f t="array" ref="G698">INDEX(Store[Store_Name],MATCH(F698,Store[Store_ID],0))</f>
        <v>Frederick-Wright</v>
      </c>
      <c r="H698" s="21" t="str">
        <f>Sales[Product_ID]</f>
        <v>PROD86</v>
      </c>
      <c r="I698" s="21" t="str">
        <f>VLOOKUP(H698,Products[],2)</f>
        <v>Kitchen Cutting Board</v>
      </c>
      <c r="J698" s="24">
        <f>Sales[Total_Amount]</f>
        <v>587.1508</v>
      </c>
      <c r="K698" s="21" t="str">
        <f t="shared" si="1"/>
        <v>Jul</v>
      </c>
      <c r="L698" s="21">
        <f t="shared" si="2"/>
        <v>2025</v>
      </c>
      <c r="N698" s="33"/>
      <c r="O698" s="34"/>
    </row>
    <row r="699" ht="22.5" customHeight="1">
      <c r="A699" s="21" t="s">
        <v>2664</v>
      </c>
      <c r="B699" s="21" t="s">
        <v>812</v>
      </c>
      <c r="C699" s="21" t="str">
        <f t="array" ref="C699">XLOOKUP(B699,Customer[Customer_ID],Customer[Name(Cleaned)])</f>
        <v>Lauren George</v>
      </c>
      <c r="D699" s="22" t="str">
        <f>VLOOKUP(B699,Customer[#ALL],6)</f>
        <v>Male</v>
      </c>
      <c r="E699" s="23">
        <f>Sales[Order_Date]</f>
        <v>45569</v>
      </c>
      <c r="F699" s="21" t="str">
        <f>Sales[Store_ID]</f>
        <v>STORE7</v>
      </c>
      <c r="G699" s="21" t="str">
        <f t="array" ref="G699">INDEX(Store[Store_Name],MATCH(F699,Store[Store_ID],0))</f>
        <v>Martinez-Mullins</v>
      </c>
      <c r="H699" s="21" t="str">
        <f>Sales[Product_ID]</f>
        <v>PROD15</v>
      </c>
      <c r="I699" s="21" t="str">
        <f>VLOOKUP(H699,Products[],2)</f>
        <v>4K Home Projector</v>
      </c>
      <c r="J699" s="24">
        <f>Sales[Total_Amount]</f>
        <v>705.5856</v>
      </c>
      <c r="K699" s="21" t="str">
        <f t="shared" si="1"/>
        <v>Oct</v>
      </c>
      <c r="L699" s="21">
        <f t="shared" si="2"/>
        <v>2024</v>
      </c>
      <c r="N699" s="33"/>
      <c r="O699" s="34"/>
    </row>
    <row r="700" ht="22.5" customHeight="1">
      <c r="A700" s="21" t="s">
        <v>2665</v>
      </c>
      <c r="B700" s="21" t="s">
        <v>613</v>
      </c>
      <c r="C700" s="21" t="str">
        <f t="array" ref="C700">XLOOKUP(B700,Customer[Customer_ID],Customer[Name(Cleaned)])</f>
        <v>Melissa Hamilton</v>
      </c>
      <c r="D700" s="22" t="str">
        <f>VLOOKUP(B700,Customer[#ALL],6)</f>
        <v>Male</v>
      </c>
      <c r="E700" s="23">
        <f>Sales[Order_Date]</f>
        <v>45382</v>
      </c>
      <c r="F700" s="21" t="str">
        <f>Sales[Store_ID]</f>
        <v>STORE15</v>
      </c>
      <c r="G700" s="21" t="str">
        <f t="array" ref="G700">INDEX(Store[Store_Name],MATCH(F700,Store[Store_ID],0))</f>
        <v>Shelton PLC</v>
      </c>
      <c r="H700" s="21" t="str">
        <f>Sales[Product_ID]</f>
        <v>PROD1</v>
      </c>
      <c r="I700" s="21" t="str">
        <f>VLOOKUP(H700,Products[],2)</f>
        <v>Men's Graphic T-Shirt</v>
      </c>
      <c r="J700" s="24">
        <f>Sales[Total_Amount]</f>
        <v>768.4638</v>
      </c>
      <c r="K700" s="21" t="str">
        <f t="shared" si="1"/>
        <v>Mar</v>
      </c>
      <c r="L700" s="21">
        <f t="shared" si="2"/>
        <v>2024</v>
      </c>
      <c r="N700" s="33"/>
      <c r="O700" s="34"/>
    </row>
    <row r="701" ht="22.5" customHeight="1">
      <c r="A701" s="21" t="s">
        <v>2666</v>
      </c>
      <c r="B701" s="21" t="s">
        <v>507</v>
      </c>
      <c r="C701" s="21" t="str">
        <f t="array" ref="C701">XLOOKUP(B701,Customer[Customer_ID],Customer[Name(Cleaned)])</f>
        <v>Rhonda Young</v>
      </c>
      <c r="D701" s="22" t="str">
        <f>VLOOKUP(B701,Customer[#ALL],6)</f>
        <v>Male</v>
      </c>
      <c r="E701" s="23">
        <f>Sales[Order_Date]</f>
        <v>45885</v>
      </c>
      <c r="F701" s="21" t="str">
        <f>Sales[Store_ID]</f>
        <v>STORE16</v>
      </c>
      <c r="G701" s="21" t="str">
        <f t="array" ref="G701">INDEX(Store[Store_Name],MATCH(F701,Store[Store_ID],0))</f>
        <v>Frederick-Wright</v>
      </c>
      <c r="H701" s="21" t="str">
        <f>Sales[Product_ID]</f>
        <v>PROD0</v>
      </c>
      <c r="I701" s="21" t="str">
        <f>VLOOKUP(H701,Products[],2)</f>
        <v>Brother Laser Printer</v>
      </c>
      <c r="J701" s="24">
        <f>Sales[Total_Amount]</f>
        <v>173.5488</v>
      </c>
      <c r="K701" s="21" t="str">
        <f t="shared" si="1"/>
        <v>Aug</v>
      </c>
      <c r="L701" s="21">
        <f t="shared" si="2"/>
        <v>2025</v>
      </c>
      <c r="N701" s="33"/>
      <c r="O701" s="34"/>
    </row>
    <row r="702" ht="22.5" customHeight="1">
      <c r="A702" s="21" t="s">
        <v>2667</v>
      </c>
      <c r="B702" s="21" t="s">
        <v>269</v>
      </c>
      <c r="C702" s="21" t="str">
        <f t="array" ref="C702">XLOOKUP(B702,Customer[Customer_ID],Customer[Name(Cleaned)])</f>
        <v>Andrea Perez</v>
      </c>
      <c r="D702" s="22" t="str">
        <f>VLOOKUP(B702,Customer[#ALL],6)</f>
        <v>Male</v>
      </c>
      <c r="E702" s="23">
        <f>Sales[Order_Date]</f>
        <v>45829</v>
      </c>
      <c r="F702" s="21" t="str">
        <f>Sales[Store_ID]</f>
        <v>STORE9</v>
      </c>
      <c r="G702" s="21" t="str">
        <f t="array" ref="G702">INDEX(Store[Store_Name],MATCH(F702,Store[Store_ID],0))</f>
        <v>Moore, Padilla and Butler</v>
      </c>
      <c r="H702" s="21" t="str">
        <f>Sales[Product_ID]</f>
        <v>PROD34</v>
      </c>
      <c r="I702" s="21" t="str">
        <f>VLOOKUP(H702,Products[],2)</f>
        <v>Gaming Mechanical Keyboard</v>
      </c>
      <c r="J702" s="24">
        <f>Sales[Total_Amount]</f>
        <v>308.79</v>
      </c>
      <c r="K702" s="21" t="str">
        <f t="shared" si="1"/>
        <v>Jun</v>
      </c>
      <c r="L702" s="21">
        <f t="shared" si="2"/>
        <v>2025</v>
      </c>
      <c r="N702" s="33"/>
      <c r="O702" s="34"/>
    </row>
    <row r="703" ht="22.5" customHeight="1">
      <c r="A703" s="21" t="s">
        <v>2668</v>
      </c>
      <c r="B703" s="21" t="s">
        <v>1209</v>
      </c>
      <c r="C703" s="21" t="str">
        <f t="array" ref="C703">XLOOKUP(B703,Customer[Customer_ID],Customer[Name(Cleaned)])</f>
        <v>Martha Brown</v>
      </c>
      <c r="D703" s="22" t="str">
        <f>VLOOKUP(B703,Customer[#ALL],6)</f>
        <v>Male</v>
      </c>
      <c r="E703" s="23">
        <f>Sales[Order_Date]</f>
        <v>45721</v>
      </c>
      <c r="F703" s="21" t="str">
        <f>Sales[Store_ID]</f>
        <v>STORE16</v>
      </c>
      <c r="G703" s="21" t="str">
        <f t="array" ref="G703">INDEX(Store[Store_Name],MATCH(F703,Store[Store_ID],0))</f>
        <v>Frederick-Wright</v>
      </c>
      <c r="H703" s="21" t="str">
        <f>Sales[Product_ID]</f>
        <v>PROD70</v>
      </c>
      <c r="I703" s="21" t="str">
        <f>VLOOKUP(H703,Products[],2)</f>
        <v>Kitchen Storage Rack</v>
      </c>
      <c r="J703" s="24">
        <f>Sales[Total_Amount]</f>
        <v>435.0138</v>
      </c>
      <c r="K703" s="21" t="str">
        <f t="shared" si="1"/>
        <v>Mar</v>
      </c>
      <c r="L703" s="21">
        <f t="shared" si="2"/>
        <v>2025</v>
      </c>
      <c r="N703" s="33"/>
      <c r="O703" s="34"/>
    </row>
    <row r="704" ht="22.5" customHeight="1">
      <c r="A704" s="21" t="s">
        <v>2669</v>
      </c>
      <c r="B704" s="21" t="s">
        <v>286</v>
      </c>
      <c r="C704" s="21" t="str">
        <f t="array" ref="C704">XLOOKUP(B704,Customer[Customer_ID],Customer[Name(Cleaned)])</f>
        <v>Nathan Campbell</v>
      </c>
      <c r="D704" s="22" t="str">
        <f>VLOOKUP(B704,Customer[#ALL],6)</f>
        <v>Female</v>
      </c>
      <c r="E704" s="23">
        <f>Sales[Order_Date]</f>
        <v>45851</v>
      </c>
      <c r="F704" s="21" t="str">
        <f>Sales[Store_ID]</f>
        <v>STORE1</v>
      </c>
      <c r="G704" s="21" t="str">
        <f t="array" ref="G704">INDEX(Store[Store_Name],MATCH(F704,Store[Store_ID],0))</f>
        <v>Martinez, Adkins and Johnson</v>
      </c>
      <c r="H704" s="21" t="str">
        <f>Sales[Product_ID]</f>
        <v>PROD32</v>
      </c>
      <c r="I704" s="21" t="str">
        <f>VLOOKUP(H704,Products[],2)</f>
        <v>Vitamin C Face Serum</v>
      </c>
      <c r="J704" s="24">
        <f>Sales[Total_Amount]</f>
        <v>473.6607</v>
      </c>
      <c r="K704" s="21" t="str">
        <f t="shared" si="1"/>
        <v>Jul</v>
      </c>
      <c r="L704" s="21">
        <f t="shared" si="2"/>
        <v>2025</v>
      </c>
      <c r="N704" s="33"/>
      <c r="O704" s="34"/>
    </row>
    <row r="705" ht="22.5" customHeight="1">
      <c r="A705" s="21" t="s">
        <v>2670</v>
      </c>
      <c r="B705" s="21" t="s">
        <v>555</v>
      </c>
      <c r="C705" s="21" t="str">
        <f t="array" ref="C705">XLOOKUP(B705,Customer[Customer_ID],Customer[Name(Cleaned)])</f>
        <v>Joseph Jones</v>
      </c>
      <c r="D705" s="22" t="str">
        <f>VLOOKUP(B705,Customer[#ALL],6)</f>
        <v>Female</v>
      </c>
      <c r="E705" s="23">
        <f>Sales[Order_Date]</f>
        <v>45511</v>
      </c>
      <c r="F705" s="21" t="str">
        <f>Sales[Store_ID]</f>
        <v>STORE10</v>
      </c>
      <c r="G705" s="21" t="str">
        <f t="array" ref="G705">INDEX(Store[Store_Name],MATCH(F705,Store[Store_ID],0))</f>
        <v>Hill, Wagner and Ballard</v>
      </c>
      <c r="H705" s="21" t="str">
        <f>Sales[Product_ID]</f>
        <v>PROD98</v>
      </c>
      <c r="I705" s="21" t="str">
        <f>VLOOKUP(H705,Products[],2)</f>
        <v>Portable Bluetooth Speaker</v>
      </c>
      <c r="J705" s="24">
        <f>Sales[Total_Amount]</f>
        <v>646.999</v>
      </c>
      <c r="K705" s="21" t="str">
        <f t="shared" si="1"/>
        <v>Aug</v>
      </c>
      <c r="L705" s="21">
        <f t="shared" si="2"/>
        <v>2024</v>
      </c>
      <c r="N705" s="33"/>
      <c r="O705" s="34"/>
    </row>
    <row r="706" ht="22.5" customHeight="1">
      <c r="A706" s="21" t="s">
        <v>2671</v>
      </c>
      <c r="B706" s="21" t="s">
        <v>1543</v>
      </c>
      <c r="C706" s="21" t="str">
        <f t="array" ref="C706">XLOOKUP(B706,Customer[Customer_ID],Customer[Name(Cleaned)])</f>
        <v>Sarah Marsh</v>
      </c>
      <c r="D706" s="22" t="str">
        <f>VLOOKUP(B706,Customer[#ALL],6)</f>
        <v>Male</v>
      </c>
      <c r="E706" s="23">
        <f>Sales[Order_Date]</f>
        <v>45739</v>
      </c>
      <c r="F706" s="21" t="str">
        <f>Sales[Store_ID]</f>
        <v>STORE7</v>
      </c>
      <c r="G706" s="21" t="str">
        <f t="array" ref="G706">INDEX(Store[Store_Name],MATCH(F706,Store[Store_ID],0))</f>
        <v>Martinez-Mullins</v>
      </c>
      <c r="H706" s="21" t="str">
        <f>Sales[Product_ID]</f>
        <v>PROD7</v>
      </c>
      <c r="I706" s="21" t="str">
        <f>VLOOKUP(H706,Products[],2)</f>
        <v>Men's Sports Shorts</v>
      </c>
      <c r="J706" s="24">
        <f>Sales[Total_Amount]</f>
        <v>1207.7604</v>
      </c>
      <c r="K706" s="21" t="str">
        <f t="shared" si="1"/>
        <v>Mar</v>
      </c>
      <c r="L706" s="21">
        <f t="shared" si="2"/>
        <v>2025</v>
      </c>
      <c r="N706" s="33"/>
      <c r="O706" s="34"/>
    </row>
    <row r="707" ht="22.5" customHeight="1">
      <c r="A707" s="21" t="s">
        <v>2672</v>
      </c>
      <c r="B707" s="21" t="s">
        <v>1421</v>
      </c>
      <c r="C707" s="21" t="str">
        <f t="array" ref="C707">XLOOKUP(B707,Customer[Customer_ID],Customer[Name(Cleaned)])</f>
        <v>Tyler Weber</v>
      </c>
      <c r="D707" s="22" t="str">
        <f>VLOOKUP(B707,Customer[#ALL],6)</f>
        <v>Female</v>
      </c>
      <c r="E707" s="23">
        <f>Sales[Order_Date]</f>
        <v>45533</v>
      </c>
      <c r="F707" s="21" t="str">
        <f>Sales[Store_ID]</f>
        <v>STORE11</v>
      </c>
      <c r="G707" s="21" t="str">
        <f t="array" ref="G707">INDEX(Store[Store_Name],MATCH(F707,Store[Store_ID],0))</f>
        <v>Aguirre-Keller</v>
      </c>
      <c r="H707" s="21" t="str">
        <f>Sales[Product_ID]</f>
        <v>PROD39</v>
      </c>
      <c r="I707" s="21" t="str">
        <f>VLOOKUP(H707,Products[],2)</f>
        <v>Portable Power Bank</v>
      </c>
      <c r="J707" s="24">
        <f>Sales[Total_Amount]</f>
        <v>1469.8719</v>
      </c>
      <c r="K707" s="21" t="str">
        <f t="shared" si="1"/>
        <v>Aug</v>
      </c>
      <c r="L707" s="21">
        <f t="shared" si="2"/>
        <v>2024</v>
      </c>
      <c r="N707" s="33"/>
      <c r="O707" s="34"/>
    </row>
    <row r="708" ht="22.5" customHeight="1">
      <c r="A708" s="21" t="s">
        <v>2673</v>
      </c>
      <c r="B708" s="21" t="s">
        <v>425</v>
      </c>
      <c r="C708" s="21" t="str">
        <f t="array" ref="C708">XLOOKUP(B708,Customer[Customer_ID],Customer[Name(Cleaned)])</f>
        <v>Jacob Hopkins</v>
      </c>
      <c r="D708" s="22" t="str">
        <f>VLOOKUP(B708,Customer[#ALL],6)</f>
        <v>Male</v>
      </c>
      <c r="E708" s="23">
        <f>Sales[Order_Date]</f>
        <v>45553</v>
      </c>
      <c r="F708" s="21" t="str">
        <f>Sales[Store_ID]</f>
        <v>STORE16</v>
      </c>
      <c r="G708" s="21" t="str">
        <f t="array" ref="G708">INDEX(Store[Store_Name],MATCH(F708,Store[Store_ID],0))</f>
        <v>Frederick-Wright</v>
      </c>
      <c r="H708" s="21" t="str">
        <f>Sales[Product_ID]</f>
        <v>PROD69</v>
      </c>
      <c r="I708" s="21" t="str">
        <f>VLOOKUP(H708,Products[],2)</f>
        <v>Men's Sports Shorts</v>
      </c>
      <c r="J708" s="24">
        <f>Sales[Total_Amount]</f>
        <v>654.3622</v>
      </c>
      <c r="K708" s="21" t="str">
        <f t="shared" si="1"/>
        <v>Sep</v>
      </c>
      <c r="L708" s="21">
        <f t="shared" si="2"/>
        <v>2024</v>
      </c>
      <c r="N708" s="33"/>
      <c r="O708" s="34"/>
    </row>
    <row r="709" ht="22.5" customHeight="1">
      <c r="A709" s="21" t="s">
        <v>2674</v>
      </c>
      <c r="B709" s="21" t="s">
        <v>377</v>
      </c>
      <c r="C709" s="21" t="str">
        <f t="array" ref="C709">XLOOKUP(B709,Customer[Customer_ID],Customer[Name(Cleaned)])</f>
        <v>Christopher Lester</v>
      </c>
      <c r="D709" s="22" t="str">
        <f>VLOOKUP(B709,Customer[#ALL],6)</f>
        <v>Female</v>
      </c>
      <c r="E709" s="23">
        <f>Sales[Order_Date]</f>
        <v>45341</v>
      </c>
      <c r="F709" s="21" t="str">
        <f>Sales[Store_ID]</f>
        <v>STORE6</v>
      </c>
      <c r="G709" s="21" t="str">
        <f t="array" ref="G709">INDEX(Store[Store_Name],MATCH(F709,Store[Store_ID],0))</f>
        <v>Benson-Elliott</v>
      </c>
      <c r="H709" s="21" t="str">
        <f>Sales[Product_ID]</f>
        <v>PROD51</v>
      </c>
      <c r="I709" s="21" t="str">
        <f>VLOOKUP(H709,Products[],2)</f>
        <v>HDMI Cable – 2m</v>
      </c>
      <c r="J709" s="24">
        <f>Sales[Total_Amount]</f>
        <v>583.17</v>
      </c>
      <c r="K709" s="21" t="str">
        <f t="shared" si="1"/>
        <v>Feb</v>
      </c>
      <c r="L709" s="21">
        <f t="shared" si="2"/>
        <v>2024</v>
      </c>
      <c r="N709" s="33"/>
      <c r="O709" s="34"/>
    </row>
    <row r="710" ht="22.5" customHeight="1">
      <c r="A710" s="21" t="s">
        <v>2675</v>
      </c>
      <c r="B710" s="21" t="s">
        <v>1053</v>
      </c>
      <c r="C710" s="21" t="str">
        <f t="array" ref="C710">XLOOKUP(B710,Customer[Customer_ID],Customer[Name(Cleaned)])</f>
        <v>Pamela Mcguire</v>
      </c>
      <c r="D710" s="22" t="str">
        <f>VLOOKUP(B710,Customer[#ALL],6)</f>
        <v>Female</v>
      </c>
      <c r="E710" s="23">
        <f>Sales[Order_Date]</f>
        <v>45430</v>
      </c>
      <c r="F710" s="21" t="str">
        <f>Sales[Store_ID]</f>
        <v>STORE1</v>
      </c>
      <c r="G710" s="21" t="str">
        <f t="array" ref="G710">INDEX(Store[Store_Name],MATCH(F710,Store[Store_ID],0))</f>
        <v>Martinez, Adkins and Johnson</v>
      </c>
      <c r="H710" s="21" t="str">
        <f>Sales[Product_ID]</f>
        <v>PROD33</v>
      </c>
      <c r="I710" s="21" t="str">
        <f>VLOOKUP(H710,Products[],2)</f>
        <v>Modern Wall Clock</v>
      </c>
      <c r="J710" s="24">
        <f>Sales[Total_Amount]</f>
        <v>305.73</v>
      </c>
      <c r="K710" s="21" t="str">
        <f t="shared" si="1"/>
        <v>May</v>
      </c>
      <c r="L710" s="21">
        <f t="shared" si="2"/>
        <v>2024</v>
      </c>
      <c r="N710" s="33"/>
      <c r="O710" s="34"/>
    </row>
    <row r="711" ht="22.5" customHeight="1">
      <c r="A711" s="21" t="s">
        <v>2676</v>
      </c>
      <c r="B711" s="21" t="s">
        <v>193</v>
      </c>
      <c r="C711" s="21" t="str">
        <f t="array" ref="C711">XLOOKUP(B711,Customer[Customer_ID],Customer[Name(Cleaned)])</f>
        <v>April Mullins</v>
      </c>
      <c r="D711" s="22" t="str">
        <f>VLOOKUP(B711,Customer[#ALL],6)</f>
        <v>Female</v>
      </c>
      <c r="E711" s="23">
        <f>Sales[Order_Date]</f>
        <v>45912</v>
      </c>
      <c r="F711" s="21" t="str">
        <f>Sales[Store_ID]</f>
        <v>STORE13</v>
      </c>
      <c r="G711" s="21" t="str">
        <f t="array" ref="G711">INDEX(Store[Store_Name],MATCH(F711,Store[Store_ID],0))</f>
        <v>Gardner, Humphrey and Contreras</v>
      </c>
      <c r="H711" s="21" t="str">
        <f>Sales[Product_ID]</f>
        <v>PROD68</v>
      </c>
      <c r="I711" s="21" t="str">
        <f>VLOOKUP(H711,Products[],2)</f>
        <v>Wooden Nightstand</v>
      </c>
      <c r="J711" s="24">
        <f>Sales[Total_Amount]</f>
        <v>1352.4272</v>
      </c>
      <c r="K711" s="21" t="str">
        <f t="shared" si="1"/>
        <v>Sep</v>
      </c>
      <c r="L711" s="21">
        <f t="shared" si="2"/>
        <v>2025</v>
      </c>
      <c r="N711" s="33"/>
      <c r="O711" s="34"/>
    </row>
    <row r="712" ht="22.5" customHeight="1">
      <c r="A712" s="21" t="s">
        <v>2677</v>
      </c>
      <c r="B712" s="21" t="s">
        <v>386</v>
      </c>
      <c r="C712" s="21" t="str">
        <f t="array" ref="C712">XLOOKUP(B712,Customer[Customer_ID],Customer[Name(Cleaned)])</f>
        <v>Erica Carney</v>
      </c>
      <c r="D712" s="22" t="str">
        <f>VLOOKUP(B712,Customer[#ALL],6)</f>
        <v>Male</v>
      </c>
      <c r="E712" s="23">
        <f>Sales[Order_Date]</f>
        <v>45709</v>
      </c>
      <c r="F712" s="21" t="str">
        <f>Sales[Store_ID]</f>
        <v>STORE10</v>
      </c>
      <c r="G712" s="21" t="str">
        <f t="array" ref="G712">INDEX(Store[Store_Name],MATCH(F712,Store[Store_ID],0))</f>
        <v>Hill, Wagner and Ballard</v>
      </c>
      <c r="H712" s="21" t="str">
        <f>Sales[Product_ID]</f>
        <v>PROD5</v>
      </c>
      <c r="I712" s="21" t="str">
        <f>VLOOKUP(H712,Products[],2)</f>
        <v>Men's Roll-On Perfume</v>
      </c>
      <c r="J712" s="24">
        <f>Sales[Total_Amount]</f>
        <v>1501.3362</v>
      </c>
      <c r="K712" s="21" t="str">
        <f t="shared" si="1"/>
        <v>Feb</v>
      </c>
      <c r="L712" s="21">
        <f t="shared" si="2"/>
        <v>2025</v>
      </c>
      <c r="N712" s="33"/>
      <c r="O712" s="34"/>
    </row>
    <row r="713" ht="22.5" customHeight="1">
      <c r="A713" s="21" t="s">
        <v>2678</v>
      </c>
      <c r="B713" s="21" t="s">
        <v>266</v>
      </c>
      <c r="C713" s="21" t="str">
        <f t="array" ref="C713">XLOOKUP(B713,Customer[Customer_ID],Customer[Name(Cleaned)])</f>
        <v>Eric Singh</v>
      </c>
      <c r="D713" s="22" t="str">
        <f>VLOOKUP(B713,Customer[#ALL],6)</f>
        <v>Male</v>
      </c>
      <c r="E713" s="23">
        <f>Sales[Order_Date]</f>
        <v>45520</v>
      </c>
      <c r="F713" s="21" t="str">
        <f>Sales[Store_ID]</f>
        <v>STORE2</v>
      </c>
      <c r="G713" s="21" t="str">
        <f t="array" ref="G713">INDEX(Store[Store_Name],MATCH(F713,Store[Store_ID],0))</f>
        <v>Black-Horn</v>
      </c>
      <c r="H713" s="21" t="str">
        <f>Sales[Product_ID]</f>
        <v>PROD5</v>
      </c>
      <c r="I713" s="21" t="str">
        <f>VLOOKUP(H713,Products[],2)</f>
        <v>Men's Roll-On Perfume</v>
      </c>
      <c r="J713" s="24">
        <f>Sales[Total_Amount]</f>
        <v>2645.6748</v>
      </c>
      <c r="K713" s="21" t="str">
        <f t="shared" si="1"/>
        <v>Aug</v>
      </c>
      <c r="L713" s="21">
        <f t="shared" si="2"/>
        <v>2024</v>
      </c>
      <c r="N713" s="33"/>
      <c r="O713" s="34"/>
    </row>
    <row r="714" ht="22.5" customHeight="1">
      <c r="A714" s="21" t="s">
        <v>2679</v>
      </c>
      <c r="B714" s="21" t="s">
        <v>785</v>
      </c>
      <c r="C714" s="21" t="str">
        <f t="array" ref="C714">XLOOKUP(B714,Customer[Customer_ID],Customer[Name(Cleaned)])</f>
        <v>William Hull</v>
      </c>
      <c r="D714" s="22" t="str">
        <f>VLOOKUP(B714,Customer[#ALL],6)</f>
        <v>Male</v>
      </c>
      <c r="E714" s="23">
        <f>Sales[Order_Date]</f>
        <v>45478</v>
      </c>
      <c r="F714" s="21" t="str">
        <f>Sales[Store_ID]</f>
        <v>STORE17</v>
      </c>
      <c r="G714" s="21" t="str">
        <f t="array" ref="G714">INDEX(Store[Store_Name],MATCH(F714,Store[Store_ID],0))</f>
        <v>Holloway Ltd</v>
      </c>
      <c r="H714" s="21" t="str">
        <f>Sales[Product_ID]</f>
        <v>PROD26</v>
      </c>
      <c r="I714" s="21" t="str">
        <f>VLOOKUP(H714,Products[],2)</f>
        <v>Wireless Bluetooth Speaker</v>
      </c>
      <c r="J714" s="24">
        <f>Sales[Total_Amount]</f>
        <v>1142.253</v>
      </c>
      <c r="K714" s="21" t="str">
        <f t="shared" si="1"/>
        <v>Jul</v>
      </c>
      <c r="L714" s="21">
        <f t="shared" si="2"/>
        <v>2024</v>
      </c>
      <c r="N714" s="33"/>
      <c r="O714" s="34"/>
    </row>
    <row r="715" ht="22.5" customHeight="1">
      <c r="A715" s="21" t="s">
        <v>2680</v>
      </c>
      <c r="B715" s="21" t="s">
        <v>893</v>
      </c>
      <c r="C715" s="21" t="str">
        <f t="array" ref="C715">XLOOKUP(B715,Customer[Customer_ID],Customer[Name(Cleaned)])</f>
        <v>Arthur Warren</v>
      </c>
      <c r="D715" s="22" t="str">
        <f>VLOOKUP(B715,Customer[#ALL],6)</f>
        <v>Female</v>
      </c>
      <c r="E715" s="23">
        <f>Sales[Order_Date]</f>
        <v>45418</v>
      </c>
      <c r="F715" s="21" t="str">
        <f>Sales[Store_ID]</f>
        <v>STORE12</v>
      </c>
      <c r="G715" s="21" t="str">
        <f t="array" ref="G715">INDEX(Store[Store_Name],MATCH(F715,Store[Store_ID],0))</f>
        <v>Thomas, Bridges and Harris</v>
      </c>
      <c r="H715" s="21" t="str">
        <f>Sales[Product_ID]</f>
        <v>PROD54</v>
      </c>
      <c r="I715" s="21" t="str">
        <f>VLOOKUP(H715,Products[],2)</f>
        <v>Sports Stopwatch Pro</v>
      </c>
      <c r="J715" s="24">
        <f>Sales[Total_Amount]</f>
        <v>485.5584</v>
      </c>
      <c r="K715" s="21" t="str">
        <f t="shared" si="1"/>
        <v>May</v>
      </c>
      <c r="L715" s="21">
        <f t="shared" si="2"/>
        <v>2024</v>
      </c>
      <c r="N715" s="33"/>
      <c r="O715" s="34"/>
    </row>
    <row r="716" ht="22.5" customHeight="1">
      <c r="A716" s="21" t="s">
        <v>2681</v>
      </c>
      <c r="B716" s="21" t="s">
        <v>585</v>
      </c>
      <c r="C716" s="21" t="str">
        <f t="array" ref="C716">XLOOKUP(B716,Customer[Customer_ID],Customer[Name(Cleaned)])</f>
        <v>Teresa Stokes</v>
      </c>
      <c r="D716" s="22" t="str">
        <f>VLOOKUP(B716,Customer[#ALL],6)</f>
        <v>Male</v>
      </c>
      <c r="E716" s="23">
        <f>Sales[Order_Date]</f>
        <v>45496</v>
      </c>
      <c r="F716" s="21" t="str">
        <f>Sales[Store_ID]</f>
        <v>STORE7</v>
      </c>
      <c r="G716" s="21" t="str">
        <f t="array" ref="G716">INDEX(Store[Store_Name],MATCH(F716,Store[Store_ID],0))</f>
        <v>Martinez-Mullins</v>
      </c>
      <c r="H716" s="21" t="str">
        <f>Sales[Product_ID]</f>
        <v>PROD14</v>
      </c>
      <c r="I716" s="21" t="str">
        <f>VLOOKUP(H716,Products[],2)</f>
        <v>Decorative Wall Mirror</v>
      </c>
      <c r="J716" s="24">
        <f>Sales[Total_Amount]</f>
        <v>86.621</v>
      </c>
      <c r="K716" s="21" t="str">
        <f t="shared" si="1"/>
        <v>Jul</v>
      </c>
      <c r="L716" s="21">
        <f t="shared" si="2"/>
        <v>2024</v>
      </c>
      <c r="N716" s="33"/>
      <c r="O716" s="34"/>
    </row>
    <row r="717" ht="22.5" customHeight="1">
      <c r="A717" s="21" t="s">
        <v>2682</v>
      </c>
      <c r="B717" s="21" t="s">
        <v>815</v>
      </c>
      <c r="C717" s="21" t="str">
        <f t="array" ref="C717">XLOOKUP(B717,Customer[Customer_ID],Customer[Name(Cleaned)])</f>
        <v>Veronica Newman</v>
      </c>
      <c r="D717" s="22" t="str">
        <f>VLOOKUP(B717,Customer[#ALL],6)</f>
        <v>Female</v>
      </c>
      <c r="E717" s="23">
        <f>Sales[Order_Date]</f>
        <v>45742</v>
      </c>
      <c r="F717" s="21" t="str">
        <f>Sales[Store_ID]</f>
        <v>STORE0</v>
      </c>
      <c r="G717" s="21" t="str">
        <f t="array" ref="G717">INDEX(Store[Store_Name],MATCH(F717,Store[Store_ID],0))</f>
        <v>Rivera-Warner</v>
      </c>
      <c r="H717" s="21" t="str">
        <f>Sales[Product_ID]</f>
        <v>PROD56</v>
      </c>
      <c r="I717" s="21" t="str">
        <f>VLOOKUP(H717,Products[],2)</f>
        <v>Premium Blanket Throw</v>
      </c>
      <c r="J717" s="24">
        <f>Sales[Total_Amount]</f>
        <v>3110.9864</v>
      </c>
      <c r="K717" s="21" t="str">
        <f t="shared" si="1"/>
        <v>Mar</v>
      </c>
      <c r="L717" s="21">
        <f t="shared" si="2"/>
        <v>2025</v>
      </c>
      <c r="N717" s="33"/>
      <c r="O717" s="34"/>
    </row>
    <row r="718" ht="22.5" customHeight="1">
      <c r="A718" s="21" t="s">
        <v>2683</v>
      </c>
      <c r="B718" s="21" t="s">
        <v>987</v>
      </c>
      <c r="C718" s="21" t="str">
        <f t="array" ref="C718">XLOOKUP(B718,Customer[Customer_ID],Customer[Name(Cleaned)])</f>
        <v>Jennifer Zamora</v>
      </c>
      <c r="D718" s="22" t="str">
        <f>VLOOKUP(B718,Customer[#ALL],6)</f>
        <v>Male</v>
      </c>
      <c r="E718" s="23">
        <f>Sales[Order_Date]</f>
        <v>45301</v>
      </c>
      <c r="F718" s="21" t="str">
        <f>Sales[Store_ID]</f>
        <v>STORE12</v>
      </c>
      <c r="G718" s="21" t="str">
        <f t="array" ref="G718">INDEX(Store[Store_Name],MATCH(F718,Store[Store_ID],0))</f>
        <v>Thomas, Bridges and Harris</v>
      </c>
      <c r="H718" s="21" t="str">
        <f>Sales[Product_ID]</f>
        <v>PROD14</v>
      </c>
      <c r="I718" s="21" t="str">
        <f>VLOOKUP(H718,Products[],2)</f>
        <v>Decorative Wall Mirror</v>
      </c>
      <c r="J718" s="24">
        <f>Sales[Total_Amount]</f>
        <v>637.056</v>
      </c>
      <c r="K718" s="21" t="str">
        <f t="shared" si="1"/>
        <v>Jan</v>
      </c>
      <c r="L718" s="21">
        <f t="shared" si="2"/>
        <v>2024</v>
      </c>
      <c r="N718" s="33"/>
      <c r="O718" s="34"/>
    </row>
    <row r="719" ht="22.5" customHeight="1">
      <c r="A719" s="21" t="s">
        <v>2684</v>
      </c>
      <c r="B719" s="21" t="s">
        <v>85</v>
      </c>
      <c r="C719" s="21" t="str">
        <f t="array" ref="C719">XLOOKUP(B719,Customer[Customer_ID],Customer[Name(Cleaned)])</f>
        <v>Adam Cruz</v>
      </c>
      <c r="D719" s="22" t="str">
        <f>VLOOKUP(B719,Customer[#ALL],6)</f>
        <v>Male</v>
      </c>
      <c r="E719" s="23">
        <f>Sales[Order_Date]</f>
        <v>45547</v>
      </c>
      <c r="F719" s="21" t="str">
        <f>Sales[Store_ID]</f>
        <v>STORE13</v>
      </c>
      <c r="G719" s="21" t="str">
        <f t="array" ref="G719">INDEX(Store[Store_Name],MATCH(F719,Store[Store_ID],0))</f>
        <v>Gardner, Humphrey and Contreras</v>
      </c>
      <c r="H719" s="21" t="str">
        <f>Sales[Product_ID]</f>
        <v>PROD86</v>
      </c>
      <c r="I719" s="21" t="str">
        <f>VLOOKUP(H719,Products[],2)</f>
        <v>Kitchen Cutting Board</v>
      </c>
      <c r="J719" s="24">
        <f>Sales[Total_Amount]</f>
        <v>853.5452</v>
      </c>
      <c r="K719" s="21" t="str">
        <f t="shared" si="1"/>
        <v>Sep</v>
      </c>
      <c r="L719" s="21">
        <f t="shared" si="2"/>
        <v>2024</v>
      </c>
      <c r="N719" s="33"/>
      <c r="O719" s="34"/>
    </row>
    <row r="720" ht="22.5" customHeight="1">
      <c r="A720" s="21" t="s">
        <v>2685</v>
      </c>
      <c r="B720" s="21" t="s">
        <v>1529</v>
      </c>
      <c r="C720" s="21" t="str">
        <f t="array" ref="C720">XLOOKUP(B720,Customer[Customer_ID],Customer[Name(Cleaned)])</f>
        <v>Darrell Miller</v>
      </c>
      <c r="D720" s="22" t="str">
        <f>VLOOKUP(B720,Customer[#ALL],6)</f>
        <v>Male</v>
      </c>
      <c r="E720" s="23">
        <f>Sales[Order_Date]</f>
        <v>45806</v>
      </c>
      <c r="F720" s="21" t="str">
        <f>Sales[Store_ID]</f>
        <v>STORE10</v>
      </c>
      <c r="G720" s="21" t="str">
        <f t="array" ref="G720">INDEX(Store[Store_Name],MATCH(F720,Store[Store_ID],0))</f>
        <v>Hill, Wagner and Ballard</v>
      </c>
      <c r="H720" s="21" t="str">
        <f>Sales[Product_ID]</f>
        <v>PROD2</v>
      </c>
      <c r="I720" s="21" t="str">
        <f>VLOOKUP(H720,Products[],2)</f>
        <v>Knee Support Brace</v>
      </c>
      <c r="J720" s="24">
        <f>Sales[Total_Amount]</f>
        <v>844.0137</v>
      </c>
      <c r="K720" s="21" t="str">
        <f t="shared" si="1"/>
        <v>May</v>
      </c>
      <c r="L720" s="21">
        <f t="shared" si="2"/>
        <v>2025</v>
      </c>
      <c r="N720" s="33"/>
      <c r="O720" s="34"/>
    </row>
    <row r="721" ht="22.5" customHeight="1">
      <c r="A721" s="21" t="s">
        <v>2686</v>
      </c>
      <c r="B721" s="21" t="s">
        <v>1092</v>
      </c>
      <c r="C721" s="21" t="str">
        <f t="array" ref="C721">XLOOKUP(B721,Customer[Customer_ID],Customer[Name(Cleaned)])</f>
        <v>Ryan Moore</v>
      </c>
      <c r="D721" s="22" t="str">
        <f>VLOOKUP(B721,Customer[#ALL],6)</f>
        <v>Female</v>
      </c>
      <c r="E721" s="23">
        <f>Sales[Order_Date]</f>
        <v>45294</v>
      </c>
      <c r="F721" s="21" t="str">
        <f>Sales[Store_ID]</f>
        <v>STORE5</v>
      </c>
      <c r="G721" s="21" t="str">
        <f t="array" ref="G721">INDEX(Store[Store_Name],MATCH(F721,Store[Store_ID],0))</f>
        <v>Gray Ltd</v>
      </c>
      <c r="H721" s="21" t="str">
        <f>Sales[Product_ID]</f>
        <v>PROD39</v>
      </c>
      <c r="I721" s="21" t="str">
        <f>VLOOKUP(H721,Products[],2)</f>
        <v>Portable Power Bank</v>
      </c>
      <c r="J721" s="24">
        <f>Sales[Total_Amount]</f>
        <v>582.8841</v>
      </c>
      <c r="K721" s="21" t="str">
        <f t="shared" si="1"/>
        <v>Jan</v>
      </c>
      <c r="L721" s="21">
        <f t="shared" si="2"/>
        <v>2024</v>
      </c>
      <c r="N721" s="33"/>
      <c r="O721" s="34"/>
    </row>
    <row r="722" ht="22.5" customHeight="1">
      <c r="A722" s="21" t="s">
        <v>2687</v>
      </c>
      <c r="B722" s="21" t="s">
        <v>168</v>
      </c>
      <c r="C722" s="21" t="str">
        <f t="array" ref="C722">XLOOKUP(B722,Customer[Customer_ID],Customer[Name(Cleaned)])</f>
        <v>James Gibbs</v>
      </c>
      <c r="D722" s="22" t="str">
        <f>VLOOKUP(B722,Customer[#ALL],6)</f>
        <v>Female</v>
      </c>
      <c r="E722" s="23">
        <f>Sales[Order_Date]</f>
        <v>45875</v>
      </c>
      <c r="F722" s="21" t="str">
        <f>Sales[Store_ID]</f>
        <v>STORE3</v>
      </c>
      <c r="G722" s="21" t="str">
        <f t="array" ref="G722">INDEX(Store[Store_Name],MATCH(F722,Store[Store_ID],0))</f>
        <v>Johnson-Wright</v>
      </c>
      <c r="H722" s="21" t="str">
        <f>Sales[Product_ID]</f>
        <v>PROD30</v>
      </c>
      <c r="I722" s="21" t="str">
        <f>VLOOKUP(H722,Products[],2)</f>
        <v>Stainless Steel Cutlery Set</v>
      </c>
      <c r="J722" s="24">
        <f>Sales[Total_Amount]</f>
        <v>561.3344</v>
      </c>
      <c r="K722" s="21" t="str">
        <f t="shared" si="1"/>
        <v>Aug</v>
      </c>
      <c r="L722" s="21">
        <f t="shared" si="2"/>
        <v>2025</v>
      </c>
      <c r="N722" s="33"/>
      <c r="O722" s="34"/>
    </row>
    <row r="723" ht="22.5" customHeight="1">
      <c r="A723" s="21" t="s">
        <v>2688</v>
      </c>
      <c r="B723" s="21" t="s">
        <v>463</v>
      </c>
      <c r="C723" s="21" t="str">
        <f t="array" ref="C723">XLOOKUP(B723,Customer[Customer_ID],Customer[Name(Cleaned)])</f>
        <v>Miguel Reynolds</v>
      </c>
      <c r="D723" s="22" t="str">
        <f>VLOOKUP(B723,Customer[#ALL],6)</f>
        <v>Male</v>
      </c>
      <c r="E723" s="23">
        <f>Sales[Order_Date]</f>
        <v>45669</v>
      </c>
      <c r="F723" s="21" t="str">
        <f>Sales[Store_ID]</f>
        <v>STORE0</v>
      </c>
      <c r="G723" s="21" t="str">
        <f t="array" ref="G723">INDEX(Store[Store_Name],MATCH(F723,Store[Store_ID],0))</f>
        <v>Rivera-Warner</v>
      </c>
      <c r="H723" s="21" t="str">
        <f>Sales[Product_ID]</f>
        <v>PROD47</v>
      </c>
      <c r="I723" s="21" t="str">
        <f>VLOOKUP(H723,Products[],2)</f>
        <v>Makeup Brush Set</v>
      </c>
      <c r="J723" s="24">
        <f>Sales[Total_Amount]</f>
        <v>313.99</v>
      </c>
      <c r="K723" s="21" t="str">
        <f t="shared" si="1"/>
        <v>Jan</v>
      </c>
      <c r="L723" s="21">
        <f t="shared" si="2"/>
        <v>2025</v>
      </c>
      <c r="N723" s="33"/>
      <c r="O723" s="34"/>
    </row>
    <row r="724" ht="22.5" customHeight="1">
      <c r="A724" s="21" t="s">
        <v>2689</v>
      </c>
      <c r="B724" s="21" t="s">
        <v>723</v>
      </c>
      <c r="C724" s="21" t="str">
        <f t="array" ref="C724">XLOOKUP(B724,Customer[Customer_ID],Customer[Name(Cleaned)])</f>
        <v>Jordan Wells</v>
      </c>
      <c r="D724" s="22" t="str">
        <f>VLOOKUP(B724,Customer[#ALL],6)</f>
        <v>Male</v>
      </c>
      <c r="E724" s="23">
        <f>Sales[Order_Date]</f>
        <v>45606</v>
      </c>
      <c r="F724" s="21" t="str">
        <f>Sales[Store_ID]</f>
        <v>STORE12</v>
      </c>
      <c r="G724" s="21" t="str">
        <f t="array" ref="G724">INDEX(Store[Store_Name],MATCH(F724,Store[Store_ID],0))</f>
        <v>Thomas, Bridges and Harris</v>
      </c>
      <c r="H724" s="21" t="str">
        <f>Sales[Product_ID]</f>
        <v>PROD39</v>
      </c>
      <c r="I724" s="21" t="str">
        <f>VLOOKUP(H724,Products[],2)</f>
        <v>Portable Power Bank</v>
      </c>
      <c r="J724" s="24">
        <f>Sales[Total_Amount]</f>
        <v>2280.0664</v>
      </c>
      <c r="K724" s="21" t="str">
        <f t="shared" si="1"/>
        <v>Nov</v>
      </c>
      <c r="L724" s="21">
        <f t="shared" si="2"/>
        <v>2024</v>
      </c>
      <c r="N724" s="33"/>
      <c r="O724" s="34"/>
    </row>
    <row r="725" ht="22.5" customHeight="1">
      <c r="A725" s="21" t="s">
        <v>2690</v>
      </c>
      <c r="B725" s="21" t="s">
        <v>210</v>
      </c>
      <c r="C725" s="21" t="str">
        <f t="array" ref="C725">XLOOKUP(B725,Customer[Customer_ID],Customer[Name(Cleaned)])</f>
        <v>Sharon Brown</v>
      </c>
      <c r="D725" s="22" t="str">
        <f>VLOOKUP(B725,Customer[#ALL],6)</f>
        <v>Male</v>
      </c>
      <c r="E725" s="23">
        <f>Sales[Order_Date]</f>
        <v>45787</v>
      </c>
      <c r="F725" s="21" t="str">
        <f>Sales[Store_ID]</f>
        <v>STORE9</v>
      </c>
      <c r="G725" s="21" t="str">
        <f t="array" ref="G725">INDEX(Store[Store_Name],MATCH(F725,Store[Store_ID],0))</f>
        <v>Moore, Padilla and Butler</v>
      </c>
      <c r="H725" s="21" t="str">
        <f>Sales[Product_ID]</f>
        <v>PROD38</v>
      </c>
      <c r="I725" s="21" t="str">
        <f>VLOOKUP(H725,Products[],2)</f>
        <v>Sports Water Hydration Pack</v>
      </c>
      <c r="J725" s="24">
        <f>Sales[Total_Amount]</f>
        <v>196.6734</v>
      </c>
      <c r="K725" s="21" t="str">
        <f t="shared" si="1"/>
        <v>May</v>
      </c>
      <c r="L725" s="21">
        <f t="shared" si="2"/>
        <v>2025</v>
      </c>
      <c r="N725" s="33"/>
      <c r="O725" s="34"/>
    </row>
    <row r="726" ht="22.5" customHeight="1">
      <c r="A726" s="21" t="s">
        <v>2691</v>
      </c>
      <c r="B726" s="21" t="s">
        <v>276</v>
      </c>
      <c r="C726" s="21" t="str">
        <f t="array" ref="C726">XLOOKUP(B726,Customer[Customer_ID],Customer[Name(Cleaned)])</f>
        <v>Christopher Brown</v>
      </c>
      <c r="D726" s="22" t="str">
        <f>VLOOKUP(B726,Customer[#ALL],6)</f>
        <v>Male</v>
      </c>
      <c r="E726" s="23">
        <f>Sales[Order_Date]</f>
        <v>45508</v>
      </c>
      <c r="F726" s="21" t="str">
        <f>Sales[Store_ID]</f>
        <v>STORE17</v>
      </c>
      <c r="G726" s="21" t="str">
        <f t="array" ref="G726">INDEX(Store[Store_Name],MATCH(F726,Store[Store_ID],0))</f>
        <v>Holloway Ltd</v>
      </c>
      <c r="H726" s="21" t="str">
        <f>Sales[Product_ID]</f>
        <v>PROD10</v>
      </c>
      <c r="I726" s="21" t="str">
        <f>VLOOKUP(H726,Products[],2)</f>
        <v>Men's Graphic T-Shirt</v>
      </c>
      <c r="J726" s="24">
        <f>Sales[Total_Amount]</f>
        <v>1741.557</v>
      </c>
      <c r="K726" s="21" t="str">
        <f t="shared" si="1"/>
        <v>Aug</v>
      </c>
      <c r="L726" s="21">
        <f t="shared" si="2"/>
        <v>2024</v>
      </c>
      <c r="N726" s="33"/>
      <c r="O726" s="34"/>
    </row>
    <row r="727" ht="22.5" customHeight="1">
      <c r="A727" s="21" t="s">
        <v>2692</v>
      </c>
      <c r="B727" s="21" t="s">
        <v>1128</v>
      </c>
      <c r="C727" s="21" t="str">
        <f t="array" ref="C727">XLOOKUP(B727,Customer[Customer_ID],Customer[Name(Cleaned)])</f>
        <v>Carlos Flores</v>
      </c>
      <c r="D727" s="22" t="str">
        <f>VLOOKUP(B727,Customer[#ALL],6)</f>
        <v>Female</v>
      </c>
      <c r="E727" s="23">
        <f>Sales[Order_Date]</f>
        <v>45929</v>
      </c>
      <c r="F727" s="21" t="str">
        <f>Sales[Store_ID]</f>
        <v>STORE10</v>
      </c>
      <c r="G727" s="21" t="str">
        <f t="array" ref="G727">INDEX(Store[Store_Name],MATCH(F727,Store[Store_ID],0))</f>
        <v>Hill, Wagner and Ballard</v>
      </c>
      <c r="H727" s="21" t="str">
        <f>Sales[Product_ID]</f>
        <v>PROD53</v>
      </c>
      <c r="I727" s="21" t="str">
        <f>VLOOKUP(H727,Products[],2)</f>
        <v>Men's Track Pants</v>
      </c>
      <c r="J727" s="24">
        <f>Sales[Total_Amount]</f>
        <v>719.272</v>
      </c>
      <c r="K727" s="21" t="str">
        <f t="shared" si="1"/>
        <v>Sep</v>
      </c>
      <c r="L727" s="21">
        <f t="shared" si="2"/>
        <v>2025</v>
      </c>
      <c r="N727" s="33"/>
      <c r="O727" s="34"/>
    </row>
    <row r="728" ht="22.5" customHeight="1">
      <c r="A728" s="21" t="s">
        <v>2693</v>
      </c>
      <c r="B728" s="21" t="s">
        <v>1215</v>
      </c>
      <c r="C728" s="21" t="str">
        <f t="array" ref="C728">XLOOKUP(B728,Customer[Customer_ID],Customer[Name(Cleaned)])</f>
        <v>Andrew Mason</v>
      </c>
      <c r="D728" s="22" t="str">
        <f>VLOOKUP(B728,Customer[#ALL],6)</f>
        <v>Male</v>
      </c>
      <c r="E728" s="23">
        <f>Sales[Order_Date]</f>
        <v>45379</v>
      </c>
      <c r="F728" s="21" t="str">
        <f>Sales[Store_ID]</f>
        <v>STORE8</v>
      </c>
      <c r="G728" s="21" t="str">
        <f t="array" ref="G728">INDEX(Store[Store_Name],MATCH(F728,Store[Store_ID],0))</f>
        <v>Bean, Jones and Park</v>
      </c>
      <c r="H728" s="21" t="str">
        <f>Sales[Product_ID]</f>
        <v>PROD8</v>
      </c>
      <c r="I728" s="21" t="str">
        <f>VLOOKUP(H728,Products[],2)</f>
        <v>Decorative Lamp Shade</v>
      </c>
      <c r="J728" s="24">
        <f>Sales[Total_Amount]</f>
        <v>649.89</v>
      </c>
      <c r="K728" s="21" t="str">
        <f t="shared" si="1"/>
        <v>Mar</v>
      </c>
      <c r="L728" s="21">
        <f t="shared" si="2"/>
        <v>2024</v>
      </c>
      <c r="N728" s="33"/>
      <c r="O728" s="34"/>
    </row>
    <row r="729" ht="22.5" customHeight="1">
      <c r="A729" s="21" t="s">
        <v>2694</v>
      </c>
      <c r="B729" s="21" t="s">
        <v>1338</v>
      </c>
      <c r="C729" s="21" t="str">
        <f t="array" ref="C729">XLOOKUP(B729,Customer[Customer_ID],Customer[Name(Cleaned)])</f>
        <v>Jeanette Nichols</v>
      </c>
      <c r="D729" s="22" t="str">
        <f>VLOOKUP(B729,Customer[#ALL],6)</f>
        <v>Female</v>
      </c>
      <c r="E729" s="23">
        <f>Sales[Order_Date]</f>
        <v>45532</v>
      </c>
      <c r="F729" s="21" t="str">
        <f>Sales[Store_ID]</f>
        <v>STORE15</v>
      </c>
      <c r="G729" s="21" t="str">
        <f t="array" ref="G729">INDEX(Store[Store_Name],MATCH(F729,Store[Store_ID],0))</f>
        <v>Shelton PLC</v>
      </c>
      <c r="H729" s="21" t="str">
        <f>Sales[Product_ID]</f>
        <v>PROD93</v>
      </c>
      <c r="I729" s="21" t="str">
        <f>VLOOKUP(H729,Products[],2)</f>
        <v>USB-C Laptop Charger</v>
      </c>
      <c r="J729" s="24">
        <f>Sales[Total_Amount]</f>
        <v>454.0164</v>
      </c>
      <c r="K729" s="21" t="str">
        <f t="shared" si="1"/>
        <v>Aug</v>
      </c>
      <c r="L729" s="21">
        <f t="shared" si="2"/>
        <v>2024</v>
      </c>
      <c r="N729" s="33"/>
      <c r="O729" s="34"/>
    </row>
    <row r="730" ht="22.5" customHeight="1">
      <c r="A730" s="21" t="s">
        <v>2695</v>
      </c>
      <c r="B730" s="21" t="s">
        <v>546</v>
      </c>
      <c r="C730" s="21" t="str">
        <f t="array" ref="C730">XLOOKUP(B730,Customer[Customer_ID],Customer[Name(Cleaned)])</f>
        <v>John Lawson</v>
      </c>
      <c r="D730" s="22" t="str">
        <f>VLOOKUP(B730,Customer[#ALL],6)</f>
        <v>Male</v>
      </c>
      <c r="E730" s="23">
        <f>Sales[Order_Date]</f>
        <v>45466</v>
      </c>
      <c r="F730" s="21" t="str">
        <f>Sales[Store_ID]</f>
        <v>STORE14</v>
      </c>
      <c r="G730" s="21" t="str">
        <f t="array" ref="G730">INDEX(Store[Store_Name],MATCH(F730,Store[Store_ID],0))</f>
        <v>Mcdonald Inc</v>
      </c>
      <c r="H730" s="21" t="str">
        <f>Sales[Product_ID]</f>
        <v>PROD22</v>
      </c>
      <c r="I730" s="21" t="str">
        <f>VLOOKUP(H730,Products[],2)</f>
        <v>Carbon Fiber Tennis Racket</v>
      </c>
      <c r="J730" s="24">
        <f>Sales[Total_Amount]</f>
        <v>1367.1368</v>
      </c>
      <c r="K730" s="21" t="str">
        <f t="shared" si="1"/>
        <v>Jun</v>
      </c>
      <c r="L730" s="21">
        <f t="shared" si="2"/>
        <v>2024</v>
      </c>
      <c r="N730" s="33"/>
      <c r="O730" s="34"/>
    </row>
    <row r="731" ht="22.5" customHeight="1">
      <c r="A731" s="21" t="s">
        <v>2696</v>
      </c>
      <c r="B731" s="21" t="s">
        <v>1505</v>
      </c>
      <c r="C731" s="21" t="str">
        <f t="array" ref="C731">XLOOKUP(B731,Customer[Customer_ID],Customer[Name(Cleaned)])</f>
        <v>Jessica Castro</v>
      </c>
      <c r="D731" s="22" t="str">
        <f>VLOOKUP(B731,Customer[#ALL],6)</f>
        <v>Female</v>
      </c>
      <c r="E731" s="23">
        <f>Sales[Order_Date]</f>
        <v>45395</v>
      </c>
      <c r="F731" s="21" t="str">
        <f>Sales[Store_ID]</f>
        <v>STORE0</v>
      </c>
      <c r="G731" s="21" t="str">
        <f t="array" ref="G731">INDEX(Store[Store_Name],MATCH(F731,Store[Store_ID],0))</f>
        <v>Rivera-Warner</v>
      </c>
      <c r="H731" s="21" t="str">
        <f>Sales[Product_ID]</f>
        <v>PROD75</v>
      </c>
      <c r="I731" s="21" t="str">
        <f>VLOOKUP(H731,Products[],2)</f>
        <v>Women's Ankle Boots</v>
      </c>
      <c r="J731" s="24">
        <f>Sales[Total_Amount]</f>
        <v>581.5836</v>
      </c>
      <c r="K731" s="21" t="str">
        <f t="shared" si="1"/>
        <v>Apr</v>
      </c>
      <c r="L731" s="21">
        <f t="shared" si="2"/>
        <v>2024</v>
      </c>
      <c r="N731" s="33"/>
      <c r="O731" s="34"/>
    </row>
    <row r="732" ht="22.5" customHeight="1">
      <c r="A732" s="21" t="s">
        <v>2697</v>
      </c>
      <c r="B732" s="21" t="s">
        <v>138</v>
      </c>
      <c r="C732" s="21" t="str">
        <f t="array" ref="C732">XLOOKUP(B732,Customer[Customer_ID],Customer[Name(Cleaned)])</f>
        <v>Mike Jennings</v>
      </c>
      <c r="D732" s="22" t="str">
        <f>VLOOKUP(B732,Customer[#ALL],6)</f>
        <v>Male</v>
      </c>
      <c r="E732" s="23">
        <f>Sales[Order_Date]</f>
        <v>45708</v>
      </c>
      <c r="F732" s="21" t="str">
        <f>Sales[Store_ID]</f>
        <v>STORE9</v>
      </c>
      <c r="G732" s="21" t="str">
        <f t="array" ref="G732">INDEX(Store[Store_Name],MATCH(F732,Store[Store_ID],0))</f>
        <v>Moore, Padilla and Butler</v>
      </c>
      <c r="H732" s="21" t="str">
        <f>Sales[Product_ID]</f>
        <v>PROD60</v>
      </c>
      <c r="I732" s="21" t="str">
        <f>VLOOKUP(H732,Products[],2)</f>
        <v>Luxury Perfume Spray</v>
      </c>
      <c r="J732" s="24">
        <f>Sales[Total_Amount]</f>
        <v>1253.0012</v>
      </c>
      <c r="K732" s="21" t="str">
        <f t="shared" si="1"/>
        <v>Feb</v>
      </c>
      <c r="L732" s="21">
        <f t="shared" si="2"/>
        <v>2025</v>
      </c>
      <c r="N732" s="33"/>
      <c r="O732" s="34"/>
    </row>
    <row r="733" ht="22.5" customHeight="1">
      <c r="A733" s="21" t="s">
        <v>2698</v>
      </c>
      <c r="B733" s="21" t="s">
        <v>1435</v>
      </c>
      <c r="C733" s="21" t="str">
        <f t="array" ref="C733">XLOOKUP(B733,Customer[Customer_ID],Customer[Name(Cleaned)])</f>
        <v>Justin Johnson</v>
      </c>
      <c r="D733" s="22" t="str">
        <f>VLOOKUP(B733,Customer[#ALL],6)</f>
        <v>Female</v>
      </c>
      <c r="E733" s="23">
        <f>Sales[Order_Date]</f>
        <v>45735</v>
      </c>
      <c r="F733" s="21" t="str">
        <f>Sales[Store_ID]</f>
        <v>STORE4</v>
      </c>
      <c r="G733" s="21" t="str">
        <f t="array" ref="G733">INDEX(Store[Store_Name],MATCH(F733,Store[Store_ID],0))</f>
        <v>Alexander Group</v>
      </c>
      <c r="H733" s="21" t="str">
        <f>Sales[Product_ID]</f>
        <v>PROD15</v>
      </c>
      <c r="I733" s="21" t="str">
        <f>VLOOKUP(H733,Products[],2)</f>
        <v>4K Home Projector</v>
      </c>
      <c r="J733" s="24">
        <f>Sales[Total_Amount]</f>
        <v>1017.7704</v>
      </c>
      <c r="K733" s="21" t="str">
        <f t="shared" si="1"/>
        <v>Mar</v>
      </c>
      <c r="L733" s="21">
        <f t="shared" si="2"/>
        <v>2025</v>
      </c>
      <c r="N733" s="33"/>
      <c r="O733" s="34"/>
    </row>
    <row r="734" ht="22.5" customHeight="1">
      <c r="A734" s="21" t="s">
        <v>2699</v>
      </c>
      <c r="B734" s="21" t="s">
        <v>422</v>
      </c>
      <c r="C734" s="21" t="str">
        <f t="array" ref="C734">XLOOKUP(B734,Customer[Customer_ID],Customer[Name(Cleaned)])</f>
        <v>Michael Jones</v>
      </c>
      <c r="D734" s="22" t="str">
        <f>VLOOKUP(B734,Customer[#ALL],6)</f>
        <v>Female</v>
      </c>
      <c r="E734" s="23">
        <f>Sales[Order_Date]</f>
        <v>45237</v>
      </c>
      <c r="F734" s="21" t="str">
        <f>Sales[Store_ID]</f>
        <v>STORE3</v>
      </c>
      <c r="G734" s="21" t="str">
        <f t="array" ref="G734">INDEX(Store[Store_Name],MATCH(F734,Store[Store_ID],0))</f>
        <v>Johnson-Wright</v>
      </c>
      <c r="H734" s="21" t="str">
        <f>Sales[Product_ID]</f>
        <v>PROD8</v>
      </c>
      <c r="I734" s="21" t="str">
        <f>VLOOKUP(H734,Products[],2)</f>
        <v>Decorative Lamp Shade</v>
      </c>
      <c r="J734" s="24">
        <f>Sales[Total_Amount]</f>
        <v>1666.95</v>
      </c>
      <c r="K734" s="21" t="str">
        <f t="shared" si="1"/>
        <v>Nov</v>
      </c>
      <c r="L734" s="21">
        <f t="shared" si="2"/>
        <v>2023</v>
      </c>
      <c r="N734" s="33"/>
      <c r="O734" s="34"/>
    </row>
    <row r="735" ht="22.5" customHeight="1">
      <c r="A735" s="21" t="s">
        <v>2700</v>
      </c>
      <c r="B735" s="21" t="s">
        <v>149</v>
      </c>
      <c r="C735" s="21" t="str">
        <f t="array" ref="C735">XLOOKUP(B735,Customer[Customer_ID],Customer[Name(Cleaned)])</f>
        <v>Rachel Myers</v>
      </c>
      <c r="D735" s="22" t="str">
        <f>VLOOKUP(B735,Customer[#ALL],6)</f>
        <v>Female</v>
      </c>
      <c r="E735" s="23">
        <f>Sales[Order_Date]</f>
        <v>45282</v>
      </c>
      <c r="F735" s="21" t="str">
        <f>Sales[Store_ID]</f>
        <v>STORE14</v>
      </c>
      <c r="G735" s="21" t="str">
        <f t="array" ref="G735">INDEX(Store[Store_Name],MATCH(F735,Store[Store_ID],0))</f>
        <v>Mcdonald Inc</v>
      </c>
      <c r="H735" s="21" t="str">
        <f>Sales[Product_ID]</f>
        <v>PROD95</v>
      </c>
      <c r="I735" s="21" t="str">
        <f>VLOOKUP(H735,Products[],2)</f>
        <v>Sports Stopwatch Basic</v>
      </c>
      <c r="J735" s="24">
        <f>Sales[Total_Amount]</f>
        <v>188.7896</v>
      </c>
      <c r="K735" s="21" t="str">
        <f t="shared" si="1"/>
        <v>Dec</v>
      </c>
      <c r="L735" s="21">
        <f t="shared" si="2"/>
        <v>2023</v>
      </c>
      <c r="N735" s="33"/>
      <c r="O735" s="34"/>
    </row>
    <row r="736" ht="22.5" customHeight="1">
      <c r="A736" s="21" t="s">
        <v>2701</v>
      </c>
      <c r="B736" s="21" t="s">
        <v>199</v>
      </c>
      <c r="C736" s="21" t="str">
        <f t="array" ref="C736">XLOOKUP(B736,Customer[Customer_ID],Customer[Name(Cleaned)])</f>
        <v>Matthew Hunter Jr.</v>
      </c>
      <c r="D736" s="22" t="str">
        <f>VLOOKUP(B736,Customer[#ALL],6)</f>
        <v>Male</v>
      </c>
      <c r="E736" s="23">
        <f>Sales[Order_Date]</f>
        <v>45337</v>
      </c>
      <c r="F736" s="21" t="str">
        <f>Sales[Store_ID]</f>
        <v>STORE18</v>
      </c>
      <c r="G736" s="21" t="str">
        <f t="array" ref="G736">INDEX(Store[Store_Name],MATCH(F736,Store[Store_ID],0))</f>
        <v>Guerrero-Schmitt</v>
      </c>
      <c r="H736" s="21" t="str">
        <f>Sales[Product_ID]</f>
        <v>PROD98</v>
      </c>
      <c r="I736" s="21" t="str">
        <f>VLOOKUP(H736,Products[],2)</f>
        <v>Portable Bluetooth Speaker</v>
      </c>
      <c r="J736" s="24">
        <f>Sales[Total_Amount]</f>
        <v>2797.8165</v>
      </c>
      <c r="K736" s="21" t="str">
        <f t="shared" si="1"/>
        <v>Feb</v>
      </c>
      <c r="L736" s="21">
        <f t="shared" si="2"/>
        <v>2024</v>
      </c>
      <c r="N736" s="33"/>
      <c r="O736" s="34"/>
    </row>
    <row r="737" ht="22.5" customHeight="1">
      <c r="A737" s="21" t="s">
        <v>2702</v>
      </c>
      <c r="B737" s="21" t="s">
        <v>949</v>
      </c>
      <c r="C737" s="21" t="str">
        <f t="array" ref="C737">XLOOKUP(B737,Customer[Customer_ID],Customer[Name(Cleaned)])</f>
        <v>Crystal Waters</v>
      </c>
      <c r="D737" s="22" t="str">
        <f>VLOOKUP(B737,Customer[#ALL],6)</f>
        <v>Male</v>
      </c>
      <c r="E737" s="23">
        <f>Sales[Order_Date]</f>
        <v>45269</v>
      </c>
      <c r="F737" s="21" t="str">
        <f>Sales[Store_ID]</f>
        <v>STORE8</v>
      </c>
      <c r="G737" s="21" t="str">
        <f t="array" ref="G737">INDEX(Store[Store_Name],MATCH(F737,Store[Store_ID],0))</f>
        <v>Bean, Jones and Park</v>
      </c>
      <c r="H737" s="21" t="str">
        <f>Sales[Product_ID]</f>
        <v>PROD69</v>
      </c>
      <c r="I737" s="21" t="str">
        <f>VLOOKUP(H737,Products[],2)</f>
        <v>Men's Sports Shorts</v>
      </c>
      <c r="J737" s="24">
        <f>Sales[Total_Amount]</f>
        <v>2343.4616</v>
      </c>
      <c r="K737" s="21" t="str">
        <f t="shared" si="1"/>
        <v>Dec</v>
      </c>
      <c r="L737" s="21">
        <f t="shared" si="2"/>
        <v>2023</v>
      </c>
      <c r="N737" s="33"/>
      <c r="O737" s="34"/>
    </row>
    <row r="738" ht="22.5" customHeight="1">
      <c r="A738" s="21" t="s">
        <v>2703</v>
      </c>
      <c r="B738" s="21" t="s">
        <v>1044</v>
      </c>
      <c r="C738" s="21" t="str">
        <f t="array" ref="C738">XLOOKUP(B738,Customer[Customer_ID],Customer[Name(Cleaned)])</f>
        <v>Reginald Willis</v>
      </c>
      <c r="D738" s="22" t="str">
        <f>VLOOKUP(B738,Customer[#ALL],6)</f>
        <v>Male</v>
      </c>
      <c r="E738" s="23">
        <f>Sales[Order_Date]</f>
        <v>45310</v>
      </c>
      <c r="F738" s="21" t="str">
        <f>Sales[Store_ID]</f>
        <v>STORE16</v>
      </c>
      <c r="G738" s="21" t="str">
        <f t="array" ref="G738">INDEX(Store[Store_Name],MATCH(F738,Store[Store_ID],0))</f>
        <v>Frederick-Wright</v>
      </c>
      <c r="H738" s="21" t="str">
        <f>Sales[Product_ID]</f>
        <v>PROD10</v>
      </c>
      <c r="I738" s="21" t="str">
        <f>VLOOKUP(H738,Products[],2)</f>
        <v>Men's Graphic T-Shirt</v>
      </c>
      <c r="J738" s="24">
        <f>Sales[Total_Amount]</f>
        <v>1544.9434</v>
      </c>
      <c r="K738" s="21" t="str">
        <f t="shared" si="1"/>
        <v>Jan</v>
      </c>
      <c r="L738" s="21">
        <f t="shared" si="2"/>
        <v>2024</v>
      </c>
      <c r="N738" s="33"/>
      <c r="O738" s="34"/>
    </row>
    <row r="739" ht="22.5" customHeight="1">
      <c r="A739" s="21" t="s">
        <v>2704</v>
      </c>
      <c r="B739" s="21" t="s">
        <v>1188</v>
      </c>
      <c r="C739" s="21" t="str">
        <f t="array" ref="C739">XLOOKUP(B739,Customer[Customer_ID],Customer[Name(Cleaned)])</f>
        <v>Joshua Bell</v>
      </c>
      <c r="D739" s="22" t="str">
        <f>VLOOKUP(B739,Customer[#ALL],6)</f>
        <v>Female</v>
      </c>
      <c r="E739" s="23">
        <f>Sales[Order_Date]</f>
        <v>45230</v>
      </c>
      <c r="F739" s="21" t="str">
        <f>Sales[Store_ID]</f>
        <v>STORE10</v>
      </c>
      <c r="G739" s="21" t="str">
        <f t="array" ref="G739">INDEX(Store[Store_Name],MATCH(F739,Store[Store_ID],0))</f>
        <v>Hill, Wagner and Ballard</v>
      </c>
      <c r="H739" s="21" t="str">
        <f>Sales[Product_ID]</f>
        <v>PROD96</v>
      </c>
      <c r="I739" s="21" t="str">
        <f>VLOOKUP(H739,Products[],2)</f>
        <v>Women's Formal Blazer</v>
      </c>
      <c r="J739" s="24">
        <f>Sales[Total_Amount]</f>
        <v>1746.96</v>
      </c>
      <c r="K739" s="21" t="str">
        <f t="shared" si="1"/>
        <v>Oct</v>
      </c>
      <c r="L739" s="21">
        <f t="shared" si="2"/>
        <v>2023</v>
      </c>
      <c r="N739" s="33"/>
      <c r="O739" s="34"/>
    </row>
    <row r="740" ht="22.5" customHeight="1">
      <c r="A740" s="21" t="s">
        <v>2705</v>
      </c>
      <c r="B740" s="21" t="s">
        <v>579</v>
      </c>
      <c r="C740" s="21" t="str">
        <f t="array" ref="C740">XLOOKUP(B740,Customer[Customer_ID],Customer[Name(Cleaned)])</f>
        <v>Amy Wilson</v>
      </c>
      <c r="D740" s="22" t="str">
        <f>VLOOKUP(B740,Customer[#ALL],6)</f>
        <v>Male</v>
      </c>
      <c r="E740" s="23">
        <f>Sales[Order_Date]</f>
        <v>45341</v>
      </c>
      <c r="F740" s="21" t="str">
        <f>Sales[Store_ID]</f>
        <v>STORE17</v>
      </c>
      <c r="G740" s="21" t="str">
        <f t="array" ref="G740">INDEX(Store[Store_Name],MATCH(F740,Store[Store_ID],0))</f>
        <v>Holloway Ltd</v>
      </c>
      <c r="H740" s="21" t="str">
        <f>Sales[Product_ID]</f>
        <v>PROD49</v>
      </c>
      <c r="I740" s="21" t="str">
        <f>VLOOKUP(H740,Products[],2)</f>
        <v>Men's Roll-On Perfume</v>
      </c>
      <c r="J740" s="24">
        <f>Sales[Total_Amount]</f>
        <v>1321.5336</v>
      </c>
      <c r="K740" s="21" t="str">
        <f t="shared" si="1"/>
        <v>Feb</v>
      </c>
      <c r="L740" s="21">
        <f t="shared" si="2"/>
        <v>2024</v>
      </c>
      <c r="N740" s="33"/>
      <c r="O740" s="34"/>
    </row>
    <row r="741" ht="22.5" customHeight="1">
      <c r="A741" s="21" t="s">
        <v>2706</v>
      </c>
      <c r="B741" s="21" t="s">
        <v>100</v>
      </c>
      <c r="C741" s="21" t="str">
        <f t="array" ref="C741">XLOOKUP(B741,Customer[Customer_ID],Customer[Name(Cleaned)])</f>
        <v>Jeff Martinez</v>
      </c>
      <c r="D741" s="22" t="str">
        <f>VLOOKUP(B741,Customer[#ALL],6)</f>
        <v>Male</v>
      </c>
      <c r="E741" s="23">
        <f>Sales[Order_Date]</f>
        <v>45440</v>
      </c>
      <c r="F741" s="21" t="str">
        <f>Sales[Store_ID]</f>
        <v>STORE4</v>
      </c>
      <c r="G741" s="21" t="str">
        <f t="array" ref="G741">INDEX(Store[Store_Name],MATCH(F741,Store[Store_ID],0))</f>
        <v>Alexander Group</v>
      </c>
      <c r="H741" s="21" t="str">
        <f>Sales[Product_ID]</f>
        <v>PROD54</v>
      </c>
      <c r="I741" s="21" t="str">
        <f>VLOOKUP(H741,Products[],2)</f>
        <v>Sports Stopwatch Pro</v>
      </c>
      <c r="J741" s="24">
        <f>Sales[Total_Amount]</f>
        <v>60.3922</v>
      </c>
      <c r="K741" s="21" t="str">
        <f t="shared" si="1"/>
        <v>May</v>
      </c>
      <c r="L741" s="21">
        <f t="shared" si="2"/>
        <v>2024</v>
      </c>
      <c r="N741" s="33"/>
      <c r="O741" s="34"/>
    </row>
    <row r="742" ht="22.5" customHeight="1">
      <c r="A742" s="21" t="s">
        <v>2707</v>
      </c>
      <c r="B742" s="21" t="s">
        <v>522</v>
      </c>
      <c r="C742" s="21" t="str">
        <f t="array" ref="C742">XLOOKUP(B742,Customer[Customer_ID],Customer[Name(Cleaned)])</f>
        <v>Patrick Roberts</v>
      </c>
      <c r="D742" s="22" t="str">
        <f>VLOOKUP(B742,Customer[#ALL],6)</f>
        <v>Male</v>
      </c>
      <c r="E742" s="23">
        <f>Sales[Order_Date]</f>
        <v>45798</v>
      </c>
      <c r="F742" s="21" t="str">
        <f>Sales[Store_ID]</f>
        <v>STORE14</v>
      </c>
      <c r="G742" s="21" t="str">
        <f t="array" ref="G742">INDEX(Store[Store_Name],MATCH(F742,Store[Store_ID],0))</f>
        <v>Mcdonald Inc</v>
      </c>
      <c r="H742" s="21" t="str">
        <f>Sales[Product_ID]</f>
        <v>PROD39</v>
      </c>
      <c r="I742" s="21" t="str">
        <f>VLOOKUP(H742,Products[],2)</f>
        <v>Portable Power Bank</v>
      </c>
      <c r="J742" s="24">
        <f>Sales[Total_Amount]</f>
        <v>990.6336</v>
      </c>
      <c r="K742" s="21" t="str">
        <f t="shared" si="1"/>
        <v>May</v>
      </c>
      <c r="L742" s="21">
        <f t="shared" si="2"/>
        <v>2025</v>
      </c>
      <c r="N742" s="33"/>
      <c r="O742" s="34"/>
    </row>
    <row r="743" ht="22.5" customHeight="1">
      <c r="A743" s="21" t="s">
        <v>2708</v>
      </c>
      <c r="B743" s="21" t="s">
        <v>972</v>
      </c>
      <c r="C743" s="21" t="str">
        <f t="array" ref="C743">XLOOKUP(B743,Customer[Customer_ID],Customer[Name(Cleaned)])</f>
        <v>John Sloan</v>
      </c>
      <c r="D743" s="22" t="str">
        <f>VLOOKUP(B743,Customer[#ALL],6)</f>
        <v>Male</v>
      </c>
      <c r="E743" s="23">
        <f>Sales[Order_Date]</f>
        <v>45293</v>
      </c>
      <c r="F743" s="21" t="str">
        <f>Sales[Store_ID]</f>
        <v>STORE12</v>
      </c>
      <c r="G743" s="21" t="str">
        <f t="array" ref="G743">INDEX(Store[Store_Name],MATCH(F743,Store[Store_ID],0))</f>
        <v>Thomas, Bridges and Harris</v>
      </c>
      <c r="H743" s="21" t="str">
        <f>Sales[Product_ID]</f>
        <v>PROD24</v>
      </c>
      <c r="I743" s="21" t="str">
        <f>VLOOKUP(H743,Products[],2)</f>
        <v>Foldable Camping Chair</v>
      </c>
      <c r="J743" s="24">
        <f>Sales[Total_Amount]</f>
        <v>813.4689</v>
      </c>
      <c r="K743" s="21" t="str">
        <f t="shared" si="1"/>
        <v>Jan</v>
      </c>
      <c r="L743" s="21">
        <f t="shared" si="2"/>
        <v>2024</v>
      </c>
      <c r="N743" s="33"/>
      <c r="O743" s="34"/>
    </row>
    <row r="744" ht="22.5" customHeight="1">
      <c r="A744" s="21" t="s">
        <v>2709</v>
      </c>
      <c r="B744" s="21" t="s">
        <v>1158</v>
      </c>
      <c r="C744" s="21" t="str">
        <f t="array" ref="C744">XLOOKUP(B744,Customer[Customer_ID],Customer[Name(Cleaned)])</f>
        <v>Brandon Mcbride</v>
      </c>
      <c r="D744" s="22" t="str">
        <f>VLOOKUP(B744,Customer[#ALL],6)</f>
        <v>Male</v>
      </c>
      <c r="E744" s="23">
        <f>Sales[Order_Date]</f>
        <v>45296</v>
      </c>
      <c r="F744" s="21" t="str">
        <f>Sales[Store_ID]</f>
        <v>STORE9</v>
      </c>
      <c r="G744" s="21" t="str">
        <f t="array" ref="G744">INDEX(Store[Store_Name],MATCH(F744,Store[Store_ID],0))</f>
        <v>Moore, Padilla and Butler</v>
      </c>
      <c r="H744" s="21" t="str">
        <f>Sales[Product_ID]</f>
        <v>PROD27</v>
      </c>
      <c r="I744" s="21" t="str">
        <f>VLOOKUP(H744,Products[],2)</f>
        <v>Decorative Floor Vase</v>
      </c>
      <c r="J744" s="24">
        <f>Sales[Total_Amount]</f>
        <v>825.0264</v>
      </c>
      <c r="K744" s="21" t="str">
        <f t="shared" si="1"/>
        <v>Jan</v>
      </c>
      <c r="L744" s="21">
        <f t="shared" si="2"/>
        <v>2024</v>
      </c>
      <c r="N744" s="33"/>
      <c r="O744" s="34"/>
    </row>
    <row r="745" ht="22.5" customHeight="1">
      <c r="A745" s="21" t="s">
        <v>2710</v>
      </c>
      <c r="B745" s="21" t="s">
        <v>999</v>
      </c>
      <c r="C745" s="21" t="str">
        <f t="array" ref="C745">XLOOKUP(B745,Customer[Customer_ID],Customer[Name(Cleaned)])</f>
        <v>Jason Mullins</v>
      </c>
      <c r="D745" s="22" t="str">
        <f>VLOOKUP(B745,Customer[#ALL],6)</f>
        <v>Male</v>
      </c>
      <c r="E745" s="23">
        <f>Sales[Order_Date]</f>
        <v>45860</v>
      </c>
      <c r="F745" s="21" t="str">
        <f>Sales[Store_ID]</f>
        <v>STORE1</v>
      </c>
      <c r="G745" s="21" t="str">
        <f t="array" ref="G745">INDEX(Store[Store_Name],MATCH(F745,Store[Store_ID],0))</f>
        <v>Martinez, Adkins and Johnson</v>
      </c>
      <c r="H745" s="21" t="str">
        <f>Sales[Product_ID]</f>
        <v>PROD86</v>
      </c>
      <c r="I745" s="21" t="str">
        <f>VLOOKUP(H745,Products[],2)</f>
        <v>Kitchen Cutting Board</v>
      </c>
      <c r="J745" s="24">
        <f>Sales[Total_Amount]</f>
        <v>103.5648</v>
      </c>
      <c r="K745" s="21" t="str">
        <f t="shared" si="1"/>
        <v>Jul</v>
      </c>
      <c r="L745" s="21">
        <f t="shared" si="2"/>
        <v>2025</v>
      </c>
      <c r="N745" s="33"/>
      <c r="O745" s="34"/>
    </row>
    <row r="746" ht="22.5" customHeight="1">
      <c r="A746" s="21" t="s">
        <v>2711</v>
      </c>
      <c r="B746" s="21" t="s">
        <v>1026</v>
      </c>
      <c r="C746" s="21" t="str">
        <f t="array" ref="C746">XLOOKUP(B746,Customer[Customer_ID],Customer[Name(Cleaned)])</f>
        <v>Darren Burton</v>
      </c>
      <c r="D746" s="22" t="str">
        <f>VLOOKUP(B746,Customer[#ALL],6)</f>
        <v>Male</v>
      </c>
      <c r="E746" s="23">
        <f>Sales[Order_Date]</f>
        <v>45843</v>
      </c>
      <c r="F746" s="21" t="str">
        <f>Sales[Store_ID]</f>
        <v>STORE9</v>
      </c>
      <c r="G746" s="21" t="str">
        <f t="array" ref="G746">INDEX(Store[Store_Name],MATCH(F746,Store[Store_ID],0))</f>
        <v>Moore, Padilla and Butler</v>
      </c>
      <c r="H746" s="21" t="str">
        <f>Sales[Product_ID]</f>
        <v>PROD44</v>
      </c>
      <c r="I746" s="21" t="str">
        <f>VLOOKUP(H746,Products[],2)</f>
        <v>Adjustable Jump Rope</v>
      </c>
      <c r="J746" s="24">
        <f>Sales[Total_Amount]</f>
        <v>2976.604</v>
      </c>
      <c r="K746" s="21" t="str">
        <f t="shared" si="1"/>
        <v>Jul</v>
      </c>
      <c r="L746" s="21">
        <f t="shared" si="2"/>
        <v>2025</v>
      </c>
      <c r="N746" s="33"/>
      <c r="O746" s="34"/>
    </row>
    <row r="747" ht="22.5" customHeight="1">
      <c r="A747" s="21" t="s">
        <v>2712</v>
      </c>
      <c r="B747" s="21" t="s">
        <v>206</v>
      </c>
      <c r="C747" s="21" t="str">
        <f t="array" ref="C747">XLOOKUP(B747,Customer[Customer_ID],Customer[Name(Cleaned)])</f>
        <v>Debra Liu</v>
      </c>
      <c r="D747" s="22" t="str">
        <f>VLOOKUP(B747,Customer[#ALL],6)</f>
        <v>Female</v>
      </c>
      <c r="E747" s="23">
        <f>Sales[Order_Date]</f>
        <v>45862</v>
      </c>
      <c r="F747" s="21" t="str">
        <f>Sales[Store_ID]</f>
        <v>STORE2</v>
      </c>
      <c r="G747" s="21" t="str">
        <f t="array" ref="G747">INDEX(Store[Store_Name],MATCH(F747,Store[Store_ID],0))</f>
        <v>Black-Horn</v>
      </c>
      <c r="H747" s="21" t="str">
        <f>Sales[Product_ID]</f>
        <v>PROD14</v>
      </c>
      <c r="I747" s="21" t="str">
        <f>VLOOKUP(H747,Products[],2)</f>
        <v>Decorative Wall Mirror</v>
      </c>
      <c r="J747" s="24">
        <f>Sales[Total_Amount]</f>
        <v>638.8844</v>
      </c>
      <c r="K747" s="21" t="str">
        <f t="shared" si="1"/>
        <v>Jul</v>
      </c>
      <c r="L747" s="21">
        <f t="shared" si="2"/>
        <v>2025</v>
      </c>
      <c r="N747" s="33"/>
      <c r="O747" s="34"/>
    </row>
    <row r="748" ht="22.5" customHeight="1">
      <c r="A748" s="21" t="s">
        <v>2713</v>
      </c>
      <c r="B748" s="21" t="s">
        <v>1305</v>
      </c>
      <c r="C748" s="21" t="str">
        <f t="array" ref="C748">XLOOKUP(B748,Customer[Customer_ID],Customer[Name(Cleaned)])</f>
        <v>Tyler Cook</v>
      </c>
      <c r="D748" s="22" t="str">
        <f>VLOOKUP(B748,Customer[#ALL],6)</f>
        <v>Male</v>
      </c>
      <c r="E748" s="23">
        <f>Sales[Order_Date]</f>
        <v>45866</v>
      </c>
      <c r="F748" s="21" t="str">
        <f>Sales[Store_ID]</f>
        <v>STORE7</v>
      </c>
      <c r="G748" s="21" t="str">
        <f t="array" ref="G748">INDEX(Store[Store_Name],MATCH(F748,Store[Store_ID],0))</f>
        <v>Martinez-Mullins</v>
      </c>
      <c r="H748" s="21" t="str">
        <f>Sales[Product_ID]</f>
        <v>PROD79</v>
      </c>
      <c r="I748" s="21" t="str">
        <f>VLOOKUP(H748,Products[],2)</f>
        <v>Decorative Lamp Shade</v>
      </c>
      <c r="J748" s="24">
        <f>Sales[Total_Amount]</f>
        <v>1620.8256</v>
      </c>
      <c r="K748" s="21" t="str">
        <f t="shared" si="1"/>
        <v>Jul</v>
      </c>
      <c r="L748" s="21">
        <f t="shared" si="2"/>
        <v>2025</v>
      </c>
      <c r="N748" s="33"/>
      <c r="O748" s="34"/>
    </row>
    <row r="749" ht="22.5" customHeight="1">
      <c r="A749" s="21" t="s">
        <v>2714</v>
      </c>
      <c r="B749" s="21" t="s">
        <v>1488</v>
      </c>
      <c r="C749" s="21" t="str">
        <f t="array" ref="C749">XLOOKUP(B749,Customer[Customer_ID],Customer[Name(Cleaned)])</f>
        <v>Earl Smith Dds</v>
      </c>
      <c r="D749" s="22" t="str">
        <f>VLOOKUP(B749,Customer[#ALL],6)</f>
        <v>Female</v>
      </c>
      <c r="E749" s="23">
        <f>Sales[Order_Date]</f>
        <v>45385</v>
      </c>
      <c r="F749" s="21" t="str">
        <f>Sales[Store_ID]</f>
        <v>STORE12</v>
      </c>
      <c r="G749" s="21" t="str">
        <f t="array" ref="G749">INDEX(Store[Store_Name],MATCH(F749,Store[Store_ID],0))</f>
        <v>Thomas, Bridges and Harris</v>
      </c>
      <c r="H749" s="21" t="str">
        <f>Sales[Product_ID]</f>
        <v>PROD38</v>
      </c>
      <c r="I749" s="21" t="str">
        <f>VLOOKUP(H749,Products[],2)</f>
        <v>Sports Water Hydration Pack</v>
      </c>
      <c r="J749" s="24">
        <f>Sales[Total_Amount]</f>
        <v>1383.5664</v>
      </c>
      <c r="K749" s="21" t="str">
        <f t="shared" si="1"/>
        <v>Apr</v>
      </c>
      <c r="L749" s="21">
        <f t="shared" si="2"/>
        <v>2024</v>
      </c>
      <c r="N749" s="33"/>
      <c r="O749" s="34"/>
    </row>
    <row r="750" ht="22.5" customHeight="1">
      <c r="A750" s="21" t="s">
        <v>2715</v>
      </c>
      <c r="B750" s="21" t="s">
        <v>702</v>
      </c>
      <c r="C750" s="21" t="str">
        <f t="array" ref="C750">XLOOKUP(B750,Customer[Customer_ID],Customer[Name(Cleaned)])</f>
        <v>Blake Harrison</v>
      </c>
      <c r="D750" s="22" t="str">
        <f>VLOOKUP(B750,Customer[#ALL],6)</f>
        <v>Male</v>
      </c>
      <c r="E750" s="23">
        <f>Sales[Order_Date]</f>
        <v>45668</v>
      </c>
      <c r="F750" s="21" t="str">
        <f>Sales[Store_ID]</f>
        <v>STORE4</v>
      </c>
      <c r="G750" s="21" t="str">
        <f t="array" ref="G750">INDEX(Store[Store_Name],MATCH(F750,Store[Store_ID],0))</f>
        <v>Alexander Group</v>
      </c>
      <c r="H750" s="21" t="str">
        <f>Sales[Product_ID]</f>
        <v>PROD50</v>
      </c>
      <c r="I750" s="21" t="str">
        <f>VLOOKUP(H750,Products[],2)</f>
        <v>Boxing Hand Wraps</v>
      </c>
      <c r="J750" s="24">
        <f>Sales[Total_Amount]</f>
        <v>3094.2208</v>
      </c>
      <c r="K750" s="21" t="str">
        <f t="shared" si="1"/>
        <v>Jan</v>
      </c>
      <c r="L750" s="21">
        <f t="shared" si="2"/>
        <v>2025</v>
      </c>
      <c r="N750" s="33"/>
      <c r="O750" s="34"/>
    </row>
    <row r="751" ht="22.5" customHeight="1">
      <c r="A751" s="21" t="s">
        <v>2716</v>
      </c>
      <c r="B751" s="21" t="s">
        <v>705</v>
      </c>
      <c r="C751" s="21" t="str">
        <f t="array" ref="C751">XLOOKUP(B751,Customer[Customer_ID],Customer[Name(Cleaned)])</f>
        <v>Stuart Johnson</v>
      </c>
      <c r="D751" s="22" t="str">
        <f>VLOOKUP(B751,Customer[#ALL],6)</f>
        <v>Male</v>
      </c>
      <c r="E751" s="23">
        <f>Sales[Order_Date]</f>
        <v>45561</v>
      </c>
      <c r="F751" s="21" t="str">
        <f>Sales[Store_ID]</f>
        <v>STORE13</v>
      </c>
      <c r="G751" s="21" t="str">
        <f t="array" ref="G751">INDEX(Store[Store_Name],MATCH(F751,Store[Store_ID],0))</f>
        <v>Gardner, Humphrey and Contreras</v>
      </c>
      <c r="H751" s="21" t="str">
        <f>Sales[Product_ID]</f>
        <v>PROD3</v>
      </c>
      <c r="I751" s="21" t="str">
        <f>VLOOKUP(H751,Products[],2)</f>
        <v>Fabric Sofa Throw Blanket</v>
      </c>
      <c r="J751" s="24">
        <f>Sales[Total_Amount]</f>
        <v>614.5108</v>
      </c>
      <c r="K751" s="21" t="str">
        <f t="shared" si="1"/>
        <v>Sep</v>
      </c>
      <c r="L751" s="21">
        <f t="shared" si="2"/>
        <v>2024</v>
      </c>
      <c r="N751" s="33"/>
      <c r="O751" s="34"/>
    </row>
    <row r="752" ht="22.5" customHeight="1">
      <c r="A752" s="21" t="s">
        <v>2717</v>
      </c>
      <c r="B752" s="21" t="s">
        <v>1122</v>
      </c>
      <c r="C752" s="21" t="str">
        <f t="array" ref="C752">XLOOKUP(B752,Customer[Customer_ID],Customer[Name(Cleaned)])</f>
        <v>Laura Green</v>
      </c>
      <c r="D752" s="22" t="str">
        <f>VLOOKUP(B752,Customer[#ALL],6)</f>
        <v>Male</v>
      </c>
      <c r="E752" s="23">
        <f>Sales[Order_Date]</f>
        <v>45637</v>
      </c>
      <c r="F752" s="21" t="str">
        <f>Sales[Store_ID]</f>
        <v>STORE17</v>
      </c>
      <c r="G752" s="21" t="str">
        <f t="array" ref="G752">INDEX(Store[Store_Name],MATCH(F752,Store[Store_ID],0))</f>
        <v>Holloway Ltd</v>
      </c>
      <c r="H752" s="21" t="str">
        <f>Sales[Product_ID]</f>
        <v>PROD67</v>
      </c>
      <c r="I752" s="21" t="str">
        <f>VLOOKUP(H752,Products[],2)</f>
        <v>Smart LED Light Strip</v>
      </c>
      <c r="J752" s="24">
        <f>Sales[Total_Amount]</f>
        <v>617.6655</v>
      </c>
      <c r="K752" s="21" t="str">
        <f t="shared" si="1"/>
        <v>Dec</v>
      </c>
      <c r="L752" s="21">
        <f t="shared" si="2"/>
        <v>2024</v>
      </c>
      <c r="N752" s="33"/>
      <c r="O752" s="34"/>
    </row>
    <row r="753" ht="22.5" customHeight="1">
      <c r="A753" s="21" t="s">
        <v>2718</v>
      </c>
      <c r="B753" s="21" t="s">
        <v>1092</v>
      </c>
      <c r="C753" s="21" t="str">
        <f t="array" ref="C753">XLOOKUP(B753,Customer[Customer_ID],Customer[Name(Cleaned)])</f>
        <v>Ryan Moore</v>
      </c>
      <c r="D753" s="22" t="str">
        <f>VLOOKUP(B753,Customer[#ALL],6)</f>
        <v>Female</v>
      </c>
      <c r="E753" s="23">
        <f>Sales[Order_Date]</f>
        <v>45839</v>
      </c>
      <c r="F753" s="21" t="str">
        <f>Sales[Store_ID]</f>
        <v>STORE18</v>
      </c>
      <c r="G753" s="21" t="str">
        <f t="array" ref="G753">INDEX(Store[Store_Name],MATCH(F753,Store[Store_ID],0))</f>
        <v>Guerrero-Schmitt</v>
      </c>
      <c r="H753" s="21" t="str">
        <f>Sales[Product_ID]</f>
        <v>PROD74</v>
      </c>
      <c r="I753" s="21" t="str">
        <f>VLOOKUP(H753,Products[],2)</f>
        <v>Bluetooth Car Audio System</v>
      </c>
      <c r="J753" s="24">
        <f>Sales[Total_Amount]</f>
        <v>705.9336</v>
      </c>
      <c r="K753" s="21" t="str">
        <f t="shared" si="1"/>
        <v>Jul</v>
      </c>
      <c r="L753" s="21">
        <f t="shared" si="2"/>
        <v>2025</v>
      </c>
      <c r="N753" s="33"/>
      <c r="O753" s="34"/>
    </row>
    <row r="754" ht="22.5" customHeight="1">
      <c r="A754" s="21" t="s">
        <v>2719</v>
      </c>
      <c r="B754" s="21" t="s">
        <v>82</v>
      </c>
      <c r="C754" s="21" t="str">
        <f t="array" ref="C754">XLOOKUP(B754,Customer[Customer_ID],Customer[Name(Cleaned)])</f>
        <v>John Scott</v>
      </c>
      <c r="D754" s="22" t="str">
        <f>VLOOKUP(B754,Customer[#ALL],6)</f>
        <v>Male</v>
      </c>
      <c r="E754" s="23">
        <f>Sales[Order_Date]</f>
        <v>45851</v>
      </c>
      <c r="F754" s="21" t="str">
        <f>Sales[Store_ID]</f>
        <v>STORE18</v>
      </c>
      <c r="G754" s="21" t="str">
        <f t="array" ref="G754">INDEX(Store[Store_Name],MATCH(F754,Store[Store_ID],0))</f>
        <v>Guerrero-Schmitt</v>
      </c>
      <c r="H754" s="21" t="str">
        <f>Sales[Product_ID]</f>
        <v>PROD64</v>
      </c>
      <c r="I754" s="21" t="str">
        <f>VLOOKUP(H754,Products[],2)</f>
        <v>Matte Lipstick Set</v>
      </c>
      <c r="J754" s="24">
        <f>Sales[Total_Amount]</f>
        <v>540.4208</v>
      </c>
      <c r="K754" s="21" t="str">
        <f t="shared" si="1"/>
        <v>Jul</v>
      </c>
      <c r="L754" s="21">
        <f t="shared" si="2"/>
        <v>2025</v>
      </c>
      <c r="N754" s="33"/>
      <c r="O754" s="34"/>
    </row>
    <row r="755" ht="22.5" customHeight="1">
      <c r="A755" s="21" t="s">
        <v>2720</v>
      </c>
      <c r="B755" s="21" t="s">
        <v>818</v>
      </c>
      <c r="C755" s="21" t="str">
        <f t="array" ref="C755">XLOOKUP(B755,Customer[Customer_ID],Customer[Name(Cleaned)])</f>
        <v>Tyler Garner</v>
      </c>
      <c r="D755" s="22" t="str">
        <f>VLOOKUP(B755,Customer[#ALL],6)</f>
        <v>Female</v>
      </c>
      <c r="E755" s="23">
        <f>Sales[Order_Date]</f>
        <v>45656</v>
      </c>
      <c r="F755" s="21" t="str">
        <f>Sales[Store_ID]</f>
        <v>STORE14</v>
      </c>
      <c r="G755" s="21" t="str">
        <f t="array" ref="G755">INDEX(Store[Store_Name],MATCH(F755,Store[Store_ID],0))</f>
        <v>Mcdonald Inc</v>
      </c>
      <c r="H755" s="21" t="str">
        <f>Sales[Product_ID]</f>
        <v>PROD45</v>
      </c>
      <c r="I755" s="21" t="str">
        <f>VLOOKUP(H755,Products[],2)</f>
        <v>High-Grip Football</v>
      </c>
      <c r="J755" s="24">
        <f>Sales[Total_Amount]</f>
        <v>1654.7328</v>
      </c>
      <c r="K755" s="21" t="str">
        <f t="shared" si="1"/>
        <v>Dec</v>
      </c>
      <c r="L755" s="21">
        <f t="shared" si="2"/>
        <v>2024</v>
      </c>
      <c r="N755" s="33"/>
      <c r="O755" s="34"/>
    </row>
    <row r="756" ht="22.5" customHeight="1">
      <c r="A756" s="21" t="s">
        <v>2721</v>
      </c>
      <c r="B756" s="21" t="s">
        <v>1092</v>
      </c>
      <c r="C756" s="21" t="str">
        <f t="array" ref="C756">XLOOKUP(B756,Customer[Customer_ID],Customer[Name(Cleaned)])</f>
        <v>Ryan Moore</v>
      </c>
      <c r="D756" s="22" t="str">
        <f>VLOOKUP(B756,Customer[#ALL],6)</f>
        <v>Female</v>
      </c>
      <c r="E756" s="23">
        <f>Sales[Order_Date]</f>
        <v>45759</v>
      </c>
      <c r="F756" s="21" t="str">
        <f>Sales[Store_ID]</f>
        <v>STORE12</v>
      </c>
      <c r="G756" s="21" t="str">
        <f t="array" ref="G756">INDEX(Store[Store_Name],MATCH(F756,Store[Store_ID],0))</f>
        <v>Thomas, Bridges and Harris</v>
      </c>
      <c r="H756" s="21" t="str">
        <f>Sales[Product_ID]</f>
        <v>PROD38</v>
      </c>
      <c r="I756" s="21" t="str">
        <f>VLOOKUP(H756,Products[],2)</f>
        <v>Sports Water Hydration Pack</v>
      </c>
      <c r="J756" s="24">
        <f>Sales[Total_Amount]</f>
        <v>19.8716</v>
      </c>
      <c r="K756" s="21" t="str">
        <f t="shared" si="1"/>
        <v>Apr</v>
      </c>
      <c r="L756" s="21">
        <f t="shared" si="2"/>
        <v>2025</v>
      </c>
      <c r="N756" s="33"/>
      <c r="O756" s="34"/>
    </row>
    <row r="757" ht="22.5" customHeight="1">
      <c r="A757" s="21" t="s">
        <v>2722</v>
      </c>
      <c r="B757" s="21" t="s">
        <v>383</v>
      </c>
      <c r="C757" s="21" t="str">
        <f t="array" ref="C757">XLOOKUP(B757,Customer[Customer_ID],Customer[Name(Cleaned)])</f>
        <v>Howard Summers</v>
      </c>
      <c r="D757" s="22" t="str">
        <f>VLOOKUP(B757,Customer[#ALL],6)</f>
        <v>Male</v>
      </c>
      <c r="E757" s="23">
        <f>Sales[Order_Date]</f>
        <v>45679</v>
      </c>
      <c r="F757" s="21" t="str">
        <f>Sales[Store_ID]</f>
        <v>STORE8</v>
      </c>
      <c r="G757" s="21" t="str">
        <f t="array" ref="G757">INDEX(Store[Store_Name],MATCH(F757,Store[Store_ID],0))</f>
        <v>Bean, Jones and Park</v>
      </c>
      <c r="H757" s="21" t="str">
        <f>Sales[Product_ID]</f>
        <v>PROD98</v>
      </c>
      <c r="I757" s="21" t="str">
        <f>VLOOKUP(H757,Products[],2)</f>
        <v>Portable Bluetooth Speaker</v>
      </c>
      <c r="J757" s="24">
        <f>Sales[Total_Amount]</f>
        <v>288.1452</v>
      </c>
      <c r="K757" s="21" t="str">
        <f t="shared" si="1"/>
        <v>Jan</v>
      </c>
      <c r="L757" s="21">
        <f t="shared" si="2"/>
        <v>2025</v>
      </c>
      <c r="N757" s="33"/>
      <c r="O757" s="34"/>
    </row>
    <row r="758" ht="22.5" customHeight="1">
      <c r="A758" s="21" t="s">
        <v>2723</v>
      </c>
      <c r="B758" s="21" t="s">
        <v>806</v>
      </c>
      <c r="C758" s="21" t="str">
        <f t="array" ref="C758">XLOOKUP(B758,Customer[Customer_ID],Customer[Name(Cleaned)])</f>
        <v>Douglas Rhodes</v>
      </c>
      <c r="D758" s="22" t="str">
        <f>VLOOKUP(B758,Customer[#ALL],6)</f>
        <v>Female</v>
      </c>
      <c r="E758" s="23">
        <f>Sales[Order_Date]</f>
        <v>45237</v>
      </c>
      <c r="F758" s="21" t="str">
        <f>Sales[Store_ID]</f>
        <v>STORE18</v>
      </c>
      <c r="G758" s="21" t="str">
        <f t="array" ref="G758">INDEX(Store[Store_Name],MATCH(F758,Store[Store_ID],0))</f>
        <v>Guerrero-Schmitt</v>
      </c>
      <c r="H758" s="21" t="str">
        <f>Sales[Product_ID]</f>
        <v>PROD20</v>
      </c>
      <c r="I758" s="21" t="str">
        <f>VLOOKUP(H758,Products[],2)</f>
        <v>Outdoor Sports Water Bottle</v>
      </c>
      <c r="J758" s="24">
        <f>Sales[Total_Amount]</f>
        <v>238.9716</v>
      </c>
      <c r="K758" s="21" t="str">
        <f t="shared" si="1"/>
        <v>Nov</v>
      </c>
      <c r="L758" s="21">
        <f t="shared" si="2"/>
        <v>2023</v>
      </c>
      <c r="N758" s="33"/>
      <c r="O758" s="34"/>
    </row>
    <row r="759" ht="22.5" customHeight="1">
      <c r="A759" s="21" t="s">
        <v>2724</v>
      </c>
      <c r="B759" s="21" t="s">
        <v>389</v>
      </c>
      <c r="C759" s="21" t="str">
        <f t="array" ref="C759">XLOOKUP(B759,Customer[Customer_ID],Customer[Name(Cleaned)])</f>
        <v>Travis Holland</v>
      </c>
      <c r="D759" s="22" t="str">
        <f>VLOOKUP(B759,Customer[#ALL],6)</f>
        <v>Female</v>
      </c>
      <c r="E759" s="23">
        <f>Sales[Order_Date]</f>
        <v>45462</v>
      </c>
      <c r="F759" s="21" t="str">
        <f>Sales[Store_ID]</f>
        <v>STORE9</v>
      </c>
      <c r="G759" s="21" t="str">
        <f t="array" ref="G759">INDEX(Store[Store_Name],MATCH(F759,Store[Store_ID],0))</f>
        <v>Moore, Padilla and Butler</v>
      </c>
      <c r="H759" s="21" t="str">
        <f>Sales[Product_ID]</f>
        <v>PROD30</v>
      </c>
      <c r="I759" s="21" t="str">
        <f>VLOOKUP(H759,Products[],2)</f>
        <v>Stainless Steel Cutlery Set</v>
      </c>
      <c r="J759" s="24">
        <f>Sales[Total_Amount]</f>
        <v>798.552</v>
      </c>
      <c r="K759" s="21" t="str">
        <f t="shared" si="1"/>
        <v>Jun</v>
      </c>
      <c r="L759" s="21">
        <f t="shared" si="2"/>
        <v>2024</v>
      </c>
      <c r="N759" s="33"/>
      <c r="O759" s="34"/>
    </row>
    <row r="760" ht="22.5" customHeight="1">
      <c r="A760" s="21" t="s">
        <v>2725</v>
      </c>
      <c r="B760" s="21" t="s">
        <v>89</v>
      </c>
      <c r="C760" s="21" t="str">
        <f t="array" ref="C760">XLOOKUP(B760,Customer[Customer_ID],Customer[Name(Cleaned)])</f>
        <v>Rhonda Moss</v>
      </c>
      <c r="D760" s="22" t="str">
        <f>VLOOKUP(B760,Customer[#ALL],6)</f>
        <v>Female</v>
      </c>
      <c r="E760" s="23">
        <f>Sales[Order_Date]</f>
        <v>45790</v>
      </c>
      <c r="F760" s="21" t="str">
        <f>Sales[Store_ID]</f>
        <v>STORE19</v>
      </c>
      <c r="G760" s="21" t="str">
        <f t="array" ref="G760">INDEX(Store[Store_Name],MATCH(F760,Store[Store_ID],0))</f>
        <v>Mann-Austin</v>
      </c>
      <c r="H760" s="21" t="str">
        <f>Sales[Product_ID]</f>
        <v>PROD69</v>
      </c>
      <c r="I760" s="21" t="str">
        <f>VLOOKUP(H760,Products[],2)</f>
        <v>Men's Sports Shorts</v>
      </c>
      <c r="J760" s="24">
        <f>Sales[Total_Amount]</f>
        <v>217.2606</v>
      </c>
      <c r="K760" s="21" t="str">
        <f t="shared" si="1"/>
        <v>May</v>
      </c>
      <c r="L760" s="21">
        <f t="shared" si="2"/>
        <v>2025</v>
      </c>
      <c r="N760" s="33"/>
      <c r="O760" s="34"/>
    </row>
    <row r="761" ht="22.5" customHeight="1">
      <c r="A761" s="21" t="s">
        <v>2726</v>
      </c>
      <c r="B761" s="21" t="s">
        <v>475</v>
      </c>
      <c r="C761" s="21" t="str">
        <f t="array" ref="C761">XLOOKUP(B761,Customer[Customer_ID],Customer[Name(Cleaned)])</f>
        <v>Patrick Coleman</v>
      </c>
      <c r="D761" s="22" t="str">
        <f>VLOOKUP(B761,Customer[#ALL],6)</f>
        <v>Female</v>
      </c>
      <c r="E761" s="23">
        <f>Sales[Order_Date]</f>
        <v>45268</v>
      </c>
      <c r="F761" s="21" t="str">
        <f>Sales[Store_ID]</f>
        <v>STORE15</v>
      </c>
      <c r="G761" s="21" t="str">
        <f t="array" ref="G761">INDEX(Store[Store_Name],MATCH(F761,Store[Store_ID],0))</f>
        <v>Shelton PLC</v>
      </c>
      <c r="H761" s="21" t="str">
        <f>Sales[Product_ID]</f>
        <v>PROD37</v>
      </c>
      <c r="I761" s="21" t="str">
        <f>VLOOKUP(H761,Products[],2)</f>
        <v>Men's Casual Sneakers</v>
      </c>
      <c r="J761" s="24">
        <f>Sales[Total_Amount]</f>
        <v>837.4212</v>
      </c>
      <c r="K761" s="21" t="str">
        <f t="shared" si="1"/>
        <v>Dec</v>
      </c>
      <c r="L761" s="21">
        <f t="shared" si="2"/>
        <v>2023</v>
      </c>
      <c r="N761" s="33"/>
      <c r="O761" s="34"/>
    </row>
    <row r="762" ht="22.5" customHeight="1">
      <c r="A762" s="21" t="s">
        <v>2727</v>
      </c>
      <c r="B762" s="21" t="s">
        <v>773</v>
      </c>
      <c r="C762" s="21" t="str">
        <f t="array" ref="C762">XLOOKUP(B762,Customer[Customer_ID],Customer[Name(Cleaned)])</f>
        <v>Joshua Wilson</v>
      </c>
      <c r="D762" s="22" t="str">
        <f>VLOOKUP(B762,Customer[#ALL],6)</f>
        <v>Male</v>
      </c>
      <c r="E762" s="23">
        <f>Sales[Order_Date]</f>
        <v>45664</v>
      </c>
      <c r="F762" s="21" t="str">
        <f>Sales[Store_ID]</f>
        <v>STORE18</v>
      </c>
      <c r="G762" s="21" t="str">
        <f t="array" ref="G762">INDEX(Store[Store_Name],MATCH(F762,Store[Store_ID],0))</f>
        <v>Guerrero-Schmitt</v>
      </c>
      <c r="H762" s="21" t="str">
        <f>Sales[Product_ID]</f>
        <v>PROD71</v>
      </c>
      <c r="I762" s="21" t="str">
        <f>VLOOKUP(H762,Products[],2)</f>
        <v>Hair Repair Oil Treatment</v>
      </c>
      <c r="J762" s="24">
        <f>Sales[Total_Amount]</f>
        <v>2439.2984</v>
      </c>
      <c r="K762" s="21" t="str">
        <f t="shared" si="1"/>
        <v>Jan</v>
      </c>
      <c r="L762" s="21">
        <f t="shared" si="2"/>
        <v>2025</v>
      </c>
      <c r="N762" s="33"/>
      <c r="O762" s="34"/>
    </row>
    <row r="763" ht="22.5" customHeight="1">
      <c r="A763" s="21" t="s">
        <v>2728</v>
      </c>
      <c r="B763" s="21" t="s">
        <v>371</v>
      </c>
      <c r="C763" s="21" t="str">
        <f t="array" ref="C763">XLOOKUP(B763,Customer[Customer_ID],Customer[Name(Cleaned)])</f>
        <v>Sarah Schneider</v>
      </c>
      <c r="D763" s="22" t="str">
        <f>VLOOKUP(B763,Customer[#ALL],6)</f>
        <v>Male</v>
      </c>
      <c r="E763" s="23">
        <f>Sales[Order_Date]</f>
        <v>45475</v>
      </c>
      <c r="F763" s="21" t="str">
        <f>Sales[Store_ID]</f>
        <v>STORE7</v>
      </c>
      <c r="G763" s="21" t="str">
        <f t="array" ref="G763">INDEX(Store[Store_Name],MATCH(F763,Store[Store_ID],0))</f>
        <v>Martinez-Mullins</v>
      </c>
      <c r="H763" s="21" t="str">
        <f>Sales[Product_ID]</f>
        <v>PROD37</v>
      </c>
      <c r="I763" s="21" t="str">
        <f>VLOOKUP(H763,Products[],2)</f>
        <v>Men's Casual Sneakers</v>
      </c>
      <c r="J763" s="24">
        <f>Sales[Total_Amount]</f>
        <v>111.1434</v>
      </c>
      <c r="K763" s="21" t="str">
        <f t="shared" si="1"/>
        <v>Jul</v>
      </c>
      <c r="L763" s="21">
        <f t="shared" si="2"/>
        <v>2024</v>
      </c>
      <c r="N763" s="33"/>
      <c r="O763" s="34"/>
    </row>
    <row r="764" ht="22.5" customHeight="1">
      <c r="A764" s="21" t="s">
        <v>2729</v>
      </c>
      <c r="B764" s="21" t="s">
        <v>66</v>
      </c>
      <c r="C764" s="21" t="str">
        <f t="array" ref="C764">XLOOKUP(B764,Customer[Customer_ID],Customer[Name(Cleaned)])</f>
        <v>Kenneth Lambert</v>
      </c>
      <c r="D764" s="22" t="str">
        <f>VLOOKUP(B764,Customer[#ALL],6)</f>
        <v>Male</v>
      </c>
      <c r="E764" s="23">
        <f>Sales[Order_Date]</f>
        <v>45845</v>
      </c>
      <c r="F764" s="21" t="str">
        <f>Sales[Store_ID]</f>
        <v>STORE13</v>
      </c>
      <c r="G764" s="21" t="str">
        <f t="array" ref="G764">INDEX(Store[Store_Name],MATCH(F764,Store[Store_ID],0))</f>
        <v>Gardner, Humphrey and Contreras</v>
      </c>
      <c r="H764" s="21" t="str">
        <f>Sales[Product_ID]</f>
        <v>PROD62</v>
      </c>
      <c r="I764" s="21" t="str">
        <f>VLOOKUP(H764,Products[],2)</f>
        <v>Laptop Cooling Pad</v>
      </c>
      <c r="J764" s="24">
        <f>Sales[Total_Amount]</f>
        <v>2083.8664</v>
      </c>
      <c r="K764" s="21" t="str">
        <f t="shared" si="1"/>
        <v>Jul</v>
      </c>
      <c r="L764" s="21">
        <f t="shared" si="2"/>
        <v>2025</v>
      </c>
      <c r="N764" s="33"/>
      <c r="O764" s="34"/>
    </row>
    <row r="765" ht="22.5" customHeight="1">
      <c r="A765" s="21" t="s">
        <v>2730</v>
      </c>
      <c r="B765" s="21" t="s">
        <v>1511</v>
      </c>
      <c r="C765" s="21" t="str">
        <f t="array" ref="C765">XLOOKUP(B765,Customer[Customer_ID],Customer[Name(Cleaned)])</f>
        <v>Eric Lee</v>
      </c>
      <c r="D765" s="22" t="str">
        <f>VLOOKUP(B765,Customer[#ALL],6)</f>
        <v>Male</v>
      </c>
      <c r="E765" s="23">
        <f>Sales[Order_Date]</f>
        <v>45446</v>
      </c>
      <c r="F765" s="21" t="str">
        <f>Sales[Store_ID]</f>
        <v>STORE1</v>
      </c>
      <c r="G765" s="21" t="str">
        <f t="array" ref="G765">INDEX(Store[Store_Name],MATCH(F765,Store[Store_ID],0))</f>
        <v>Martinez, Adkins and Johnson</v>
      </c>
      <c r="H765" s="21" t="str">
        <f>Sales[Product_ID]</f>
        <v>PROD31</v>
      </c>
      <c r="I765" s="21" t="str">
        <f>VLOOKUP(H765,Products[],2)</f>
        <v>Basketball</v>
      </c>
      <c r="J765" s="24">
        <f>Sales[Total_Amount]</f>
        <v>1802.112</v>
      </c>
      <c r="K765" s="21" t="str">
        <f t="shared" si="1"/>
        <v>Jun</v>
      </c>
      <c r="L765" s="21">
        <f t="shared" si="2"/>
        <v>2024</v>
      </c>
      <c r="N765" s="33"/>
      <c r="O765" s="34"/>
    </row>
    <row r="766" ht="22.5" customHeight="1">
      <c r="A766" s="21" t="s">
        <v>2731</v>
      </c>
      <c r="B766" s="21" t="s">
        <v>1128</v>
      </c>
      <c r="C766" s="21" t="str">
        <f t="array" ref="C766">XLOOKUP(B766,Customer[Customer_ID],Customer[Name(Cleaned)])</f>
        <v>Carlos Flores</v>
      </c>
      <c r="D766" s="22" t="str">
        <f>VLOOKUP(B766,Customer[#ALL],6)</f>
        <v>Female</v>
      </c>
      <c r="E766" s="23">
        <f>Sales[Order_Date]</f>
        <v>45761</v>
      </c>
      <c r="F766" s="21" t="str">
        <f>Sales[Store_ID]</f>
        <v>STORE14</v>
      </c>
      <c r="G766" s="21" t="str">
        <f t="array" ref="G766">INDEX(Store[Store_Name],MATCH(F766,Store[Store_ID],0))</f>
        <v>Mcdonald Inc</v>
      </c>
      <c r="H766" s="21" t="str">
        <f>Sales[Product_ID]</f>
        <v>PROD13</v>
      </c>
      <c r="I766" s="21" t="str">
        <f>VLOOKUP(H766,Products[],2)</f>
        <v>USB-C Fast Charger</v>
      </c>
      <c r="J766" s="24">
        <f>Sales[Total_Amount]</f>
        <v>1701.7506</v>
      </c>
      <c r="K766" s="21" t="str">
        <f t="shared" si="1"/>
        <v>Apr</v>
      </c>
      <c r="L766" s="21">
        <f t="shared" si="2"/>
        <v>2025</v>
      </c>
      <c r="N766" s="33"/>
      <c r="O766" s="34"/>
    </row>
    <row r="767" ht="22.5" customHeight="1">
      <c r="A767" s="21" t="s">
        <v>2732</v>
      </c>
      <c r="B767" s="21" t="s">
        <v>222</v>
      </c>
      <c r="C767" s="21" t="str">
        <f t="array" ref="C767">XLOOKUP(B767,Customer[Customer_ID],Customer[Name(Cleaned)])</f>
        <v>Jay Patel</v>
      </c>
      <c r="D767" s="22" t="str">
        <f>VLOOKUP(B767,Customer[#ALL],6)</f>
        <v>Male</v>
      </c>
      <c r="E767" s="23">
        <f>Sales[Order_Date]</f>
        <v>45363</v>
      </c>
      <c r="F767" s="21" t="str">
        <f>Sales[Store_ID]</f>
        <v>STORE14</v>
      </c>
      <c r="G767" s="21" t="str">
        <f t="array" ref="G767">INDEX(Store[Store_Name],MATCH(F767,Store[Store_ID],0))</f>
        <v>Mcdonald Inc</v>
      </c>
      <c r="H767" s="21" t="str">
        <f>Sales[Product_ID]</f>
        <v>PROD27</v>
      </c>
      <c r="I767" s="21" t="str">
        <f>VLOOKUP(H767,Products[],2)</f>
        <v>Decorative Floor Vase</v>
      </c>
      <c r="J767" s="24">
        <f>Sales[Total_Amount]</f>
        <v>1554.5838</v>
      </c>
      <c r="K767" s="21" t="str">
        <f t="shared" si="1"/>
        <v>Mar</v>
      </c>
      <c r="L767" s="21">
        <f t="shared" si="2"/>
        <v>2024</v>
      </c>
      <c r="N767" s="33"/>
      <c r="O767" s="34"/>
    </row>
    <row r="768" ht="22.5" customHeight="1">
      <c r="A768" s="21" t="s">
        <v>2733</v>
      </c>
      <c r="B768" s="21" t="s">
        <v>684</v>
      </c>
      <c r="C768" s="21" t="str">
        <f t="array" ref="C768">XLOOKUP(B768,Customer[Customer_ID],Customer[Name(Cleaned)])</f>
        <v>Ronald Jones</v>
      </c>
      <c r="D768" s="22" t="str">
        <f>VLOOKUP(B768,Customer[#ALL],6)</f>
        <v>Male</v>
      </c>
      <c r="E768" s="23">
        <f>Sales[Order_Date]</f>
        <v>45420</v>
      </c>
      <c r="F768" s="21" t="str">
        <f>Sales[Store_ID]</f>
        <v>STORE18</v>
      </c>
      <c r="G768" s="21" t="str">
        <f t="array" ref="G768">INDEX(Store[Store_Name],MATCH(F768,Store[Store_ID],0))</f>
        <v>Guerrero-Schmitt</v>
      </c>
      <c r="H768" s="21" t="str">
        <f>Sales[Product_ID]</f>
        <v>PROD56</v>
      </c>
      <c r="I768" s="21" t="str">
        <f>VLOOKUP(H768,Products[],2)</f>
        <v>Premium Blanket Throw</v>
      </c>
      <c r="J768" s="24">
        <f>Sales[Total_Amount]</f>
        <v>53.818</v>
      </c>
      <c r="K768" s="21" t="str">
        <f t="shared" si="1"/>
        <v>May</v>
      </c>
      <c r="L768" s="21">
        <f t="shared" si="2"/>
        <v>2024</v>
      </c>
      <c r="N768" s="33"/>
      <c r="O768" s="34"/>
    </row>
    <row r="769" ht="22.5" customHeight="1">
      <c r="A769" s="21" t="s">
        <v>2734</v>
      </c>
      <c r="B769" s="21" t="s">
        <v>145</v>
      </c>
      <c r="C769" s="21" t="str">
        <f t="array" ref="C769">XLOOKUP(B769,Customer[Customer_ID],Customer[Name(Cleaned)])</f>
        <v>Christopher Olson</v>
      </c>
      <c r="D769" s="22" t="str">
        <f>VLOOKUP(B769,Customer[#ALL],6)</f>
        <v>Male</v>
      </c>
      <c r="E769" s="23">
        <f>Sales[Order_Date]</f>
        <v>45536</v>
      </c>
      <c r="F769" s="21" t="str">
        <f>Sales[Store_ID]</f>
        <v>STORE15</v>
      </c>
      <c r="G769" s="21" t="str">
        <f t="array" ref="G769">INDEX(Store[Store_Name],MATCH(F769,Store[Store_ID],0))</f>
        <v>Shelton PLC</v>
      </c>
      <c r="H769" s="21" t="str">
        <f>Sales[Product_ID]</f>
        <v>PROD17</v>
      </c>
      <c r="I769" s="21" t="str">
        <f>VLOOKUP(H769,Products[],2)</f>
        <v>Soccer Training Cone Set</v>
      </c>
      <c r="J769" s="24">
        <f>Sales[Total_Amount]</f>
        <v>2671.74</v>
      </c>
      <c r="K769" s="21" t="str">
        <f t="shared" si="1"/>
        <v>Sep</v>
      </c>
      <c r="L769" s="21">
        <f t="shared" si="2"/>
        <v>2024</v>
      </c>
      <c r="N769" s="33"/>
      <c r="O769" s="34"/>
    </row>
    <row r="770" ht="22.5" customHeight="1">
      <c r="A770" s="21" t="s">
        <v>2735</v>
      </c>
      <c r="B770" s="21" t="s">
        <v>1182</v>
      </c>
      <c r="C770" s="21" t="str">
        <f t="array" ref="C770">XLOOKUP(B770,Customer[Customer_ID],Customer[Name(Cleaned)])</f>
        <v>James Orozco</v>
      </c>
      <c r="D770" s="22" t="str">
        <f>VLOOKUP(B770,Customer[#ALL],6)</f>
        <v>Male</v>
      </c>
      <c r="E770" s="23">
        <f>Sales[Order_Date]</f>
        <v>45313</v>
      </c>
      <c r="F770" s="21" t="str">
        <f>Sales[Store_ID]</f>
        <v>STORE7</v>
      </c>
      <c r="G770" s="21" t="str">
        <f t="array" ref="G770">INDEX(Store[Store_Name],MATCH(F770,Store[Store_ID],0))</f>
        <v>Martinez-Mullins</v>
      </c>
      <c r="H770" s="21" t="str">
        <f>Sales[Product_ID]</f>
        <v>PROD72</v>
      </c>
      <c r="I770" s="21" t="str">
        <f>VLOOKUP(H770,Products[],2)</f>
        <v>Professional Jump Rope</v>
      </c>
      <c r="J770" s="24">
        <f>Sales[Total_Amount]</f>
        <v>604.4192</v>
      </c>
      <c r="K770" s="21" t="str">
        <f t="shared" si="1"/>
        <v>Jan</v>
      </c>
      <c r="L770" s="21">
        <f t="shared" si="2"/>
        <v>2024</v>
      </c>
      <c r="N770" s="33"/>
      <c r="O770" s="34"/>
    </row>
    <row r="771" ht="22.5" customHeight="1">
      <c r="A771" s="21" t="s">
        <v>2736</v>
      </c>
      <c r="B771" s="21" t="s">
        <v>272</v>
      </c>
      <c r="C771" s="21" t="str">
        <f t="array" ref="C771">XLOOKUP(B771,Customer[Customer_ID],Customer[Name(Cleaned)])</f>
        <v>Tonya Burch</v>
      </c>
      <c r="D771" s="22" t="str">
        <f>VLOOKUP(B771,Customer[#ALL],6)</f>
        <v>Male</v>
      </c>
      <c r="E771" s="23">
        <f>Sales[Order_Date]</f>
        <v>45445</v>
      </c>
      <c r="F771" s="21" t="str">
        <f>Sales[Store_ID]</f>
        <v>STORE7</v>
      </c>
      <c r="G771" s="21" t="str">
        <f t="array" ref="G771">INDEX(Store[Store_Name],MATCH(F771,Store[Store_ID],0))</f>
        <v>Martinez-Mullins</v>
      </c>
      <c r="H771" s="21" t="str">
        <f>Sales[Product_ID]</f>
        <v>PROD30</v>
      </c>
      <c r="I771" s="21" t="str">
        <f>VLOOKUP(H771,Products[],2)</f>
        <v>Stainless Steel Cutlery Set</v>
      </c>
      <c r="J771" s="24">
        <f>Sales[Total_Amount]</f>
        <v>497.1642</v>
      </c>
      <c r="K771" s="21" t="str">
        <f t="shared" si="1"/>
        <v>Jun</v>
      </c>
      <c r="L771" s="21">
        <f t="shared" si="2"/>
        <v>2024</v>
      </c>
      <c r="N771" s="33"/>
      <c r="O771" s="34"/>
    </row>
    <row r="772" ht="22.5" customHeight="1">
      <c r="A772" s="21" t="s">
        <v>2737</v>
      </c>
      <c r="B772" s="21" t="s">
        <v>1236</v>
      </c>
      <c r="C772" s="21" t="str">
        <f t="array" ref="C772">XLOOKUP(B772,Customer[Customer_ID],Customer[Name(Cleaned)])</f>
        <v>Heidi Tyler</v>
      </c>
      <c r="D772" s="22" t="str">
        <f>VLOOKUP(B772,Customer[#ALL],6)</f>
        <v>Male</v>
      </c>
      <c r="E772" s="23">
        <f>Sales[Order_Date]</f>
        <v>45230</v>
      </c>
      <c r="F772" s="21" t="str">
        <f>Sales[Store_ID]</f>
        <v>STORE17</v>
      </c>
      <c r="G772" s="21" t="str">
        <f t="array" ref="G772">INDEX(Store[Store_Name],MATCH(F772,Store[Store_ID],0))</f>
        <v>Holloway Ltd</v>
      </c>
      <c r="H772" s="21" t="str">
        <f>Sales[Product_ID]</f>
        <v>PROD6</v>
      </c>
      <c r="I772" s="21" t="str">
        <f>VLOOKUP(H772,Products[],2)</f>
        <v>Men's Hair Styling Gel</v>
      </c>
      <c r="J772" s="24">
        <f>Sales[Total_Amount]</f>
        <v>605.76</v>
      </c>
      <c r="K772" s="21" t="str">
        <f t="shared" si="1"/>
        <v>Oct</v>
      </c>
      <c r="L772" s="21">
        <f t="shared" si="2"/>
        <v>2023</v>
      </c>
      <c r="N772" s="33"/>
      <c r="O772" s="34"/>
    </row>
    <row r="773" ht="22.5" customHeight="1">
      <c r="A773" s="21" t="s">
        <v>2738</v>
      </c>
      <c r="B773" s="21" t="s">
        <v>1242</v>
      </c>
      <c r="C773" s="21" t="str">
        <f t="array" ref="C773">XLOOKUP(B773,Customer[Customer_ID],Customer[Name(Cleaned)])</f>
        <v>Michael Mcneil</v>
      </c>
      <c r="D773" s="22" t="str">
        <f>VLOOKUP(B773,Customer[#ALL],6)</f>
        <v>Female</v>
      </c>
      <c r="E773" s="23">
        <f>Sales[Order_Date]</f>
        <v>45916</v>
      </c>
      <c r="F773" s="21" t="str">
        <f>Sales[Store_ID]</f>
        <v>STORE3</v>
      </c>
      <c r="G773" s="21" t="str">
        <f t="array" ref="G773">INDEX(Store[Store_Name],MATCH(F773,Store[Store_ID],0))</f>
        <v>Johnson-Wright</v>
      </c>
      <c r="H773" s="21" t="str">
        <f>Sales[Product_ID]</f>
        <v>PROD80</v>
      </c>
      <c r="I773" s="21" t="str">
        <f>VLOOKUP(H773,Products[],2)</f>
        <v>Wall-Mounted Spice Rack</v>
      </c>
      <c r="J773" s="24">
        <f>Sales[Total_Amount]</f>
        <v>3502.9688</v>
      </c>
      <c r="K773" s="21" t="str">
        <f t="shared" si="1"/>
        <v>Sep</v>
      </c>
      <c r="L773" s="21">
        <f t="shared" si="2"/>
        <v>2025</v>
      </c>
      <c r="N773" s="33"/>
      <c r="O773" s="34"/>
    </row>
    <row r="774" ht="22.5" customHeight="1">
      <c r="A774" s="21" t="s">
        <v>2739</v>
      </c>
      <c r="B774" s="21" t="s">
        <v>213</v>
      </c>
      <c r="C774" s="21" t="str">
        <f t="array" ref="C774">XLOOKUP(B774,Customer[Customer_ID],Customer[Name(Cleaned)])</f>
        <v>Katherine Dorsey</v>
      </c>
      <c r="D774" s="22" t="str">
        <f>VLOOKUP(B774,Customer[#ALL],6)</f>
        <v>Female</v>
      </c>
      <c r="E774" s="23">
        <f>Sales[Order_Date]</f>
        <v>45353</v>
      </c>
      <c r="F774" s="21" t="str">
        <f>Sales[Store_ID]</f>
        <v>STORE11</v>
      </c>
      <c r="G774" s="21" t="str">
        <f t="array" ref="G774">INDEX(Store[Store_Name],MATCH(F774,Store[Store_ID],0))</f>
        <v>Aguirre-Keller</v>
      </c>
      <c r="H774" s="21" t="str">
        <f>Sales[Product_ID]</f>
        <v>PROD55</v>
      </c>
      <c r="I774" s="21" t="str">
        <f>VLOOKUP(H774,Products[],2)</f>
        <v>Ceramic Plant Pot</v>
      </c>
      <c r="J774" s="24">
        <f>Sales[Total_Amount]</f>
        <v>271.1792</v>
      </c>
      <c r="K774" s="21" t="str">
        <f t="shared" si="1"/>
        <v>Mar</v>
      </c>
      <c r="L774" s="21">
        <f t="shared" si="2"/>
        <v>2024</v>
      </c>
      <c r="N774" s="33"/>
      <c r="O774" s="34"/>
    </row>
    <row r="775" ht="22.5" customHeight="1">
      <c r="A775" s="21" t="s">
        <v>2740</v>
      </c>
      <c r="B775" s="21" t="s">
        <v>1359</v>
      </c>
      <c r="C775" s="21" t="str">
        <f t="array" ref="C775">XLOOKUP(B775,Customer[Customer_ID],Customer[Name(Cleaned)])</f>
        <v>Thomas Moore</v>
      </c>
      <c r="D775" s="22" t="str">
        <f>VLOOKUP(B775,Customer[#ALL],6)</f>
        <v>Male</v>
      </c>
      <c r="E775" s="23">
        <f>Sales[Order_Date]</f>
        <v>45490</v>
      </c>
      <c r="F775" s="21" t="str">
        <f>Sales[Store_ID]</f>
        <v>STORE7</v>
      </c>
      <c r="G775" s="21" t="str">
        <f t="array" ref="G775">INDEX(Store[Store_Name],MATCH(F775,Store[Store_ID],0))</f>
        <v>Martinez-Mullins</v>
      </c>
      <c r="H775" s="21" t="str">
        <f>Sales[Product_ID]</f>
        <v>PROD11</v>
      </c>
      <c r="I775" s="21" t="str">
        <f>VLOOKUP(H775,Products[],2)</f>
        <v>Men's Graphic T-Shirt</v>
      </c>
      <c r="J775" s="24">
        <f>Sales[Total_Amount]</f>
        <v>263.0463</v>
      </c>
      <c r="K775" s="21" t="str">
        <f t="shared" si="1"/>
        <v>Jul</v>
      </c>
      <c r="L775" s="21">
        <f t="shared" si="2"/>
        <v>2024</v>
      </c>
      <c r="N775" s="33"/>
      <c r="O775" s="34"/>
    </row>
    <row r="776" ht="22.5" customHeight="1">
      <c r="A776" s="21" t="s">
        <v>2741</v>
      </c>
      <c r="B776" s="21" t="s">
        <v>309</v>
      </c>
      <c r="C776" s="21" t="str">
        <f t="array" ref="C776">XLOOKUP(B776,Customer[Customer_ID],Customer[Name(Cleaned)])</f>
        <v>Thomas Robinson</v>
      </c>
      <c r="D776" s="22" t="str">
        <f>VLOOKUP(B776,Customer[#ALL],6)</f>
        <v>Male</v>
      </c>
      <c r="E776" s="23">
        <f>Sales[Order_Date]</f>
        <v>45850</v>
      </c>
      <c r="F776" s="21" t="str">
        <f>Sales[Store_ID]</f>
        <v>STORE7</v>
      </c>
      <c r="G776" s="21" t="str">
        <f t="array" ref="G776">INDEX(Store[Store_Name],MATCH(F776,Store[Store_ID],0))</f>
        <v>Martinez-Mullins</v>
      </c>
      <c r="H776" s="21" t="str">
        <f>Sales[Product_ID]</f>
        <v>PROD10</v>
      </c>
      <c r="I776" s="21" t="str">
        <f>VLOOKUP(H776,Products[],2)</f>
        <v>Men's Graphic T-Shirt</v>
      </c>
      <c r="J776" s="24">
        <f>Sales[Total_Amount]</f>
        <v>52.1508</v>
      </c>
      <c r="K776" s="21" t="str">
        <f t="shared" si="1"/>
        <v>Jul</v>
      </c>
      <c r="L776" s="21">
        <f t="shared" si="2"/>
        <v>2025</v>
      </c>
      <c r="N776" s="33"/>
      <c r="O776" s="34"/>
    </row>
    <row r="777" ht="22.5" customHeight="1">
      <c r="A777" s="21" t="s">
        <v>2742</v>
      </c>
      <c r="B777" s="21" t="s">
        <v>1311</v>
      </c>
      <c r="C777" s="21" t="str">
        <f t="array" ref="C777">XLOOKUP(B777,Customer[Customer_ID],Customer[Name(Cleaned)])</f>
        <v>Karen King</v>
      </c>
      <c r="D777" s="22" t="str">
        <f>VLOOKUP(B777,Customer[#ALL],6)</f>
        <v>Male</v>
      </c>
      <c r="E777" s="23">
        <f>Sales[Order_Date]</f>
        <v>45515</v>
      </c>
      <c r="F777" s="21" t="str">
        <f>Sales[Store_ID]</f>
        <v>STORE18</v>
      </c>
      <c r="G777" s="21" t="str">
        <f t="array" ref="G777">INDEX(Store[Store_Name],MATCH(F777,Store[Store_ID],0))</f>
        <v>Guerrero-Schmitt</v>
      </c>
      <c r="H777" s="21" t="str">
        <f>Sales[Product_ID]</f>
        <v>PROD67</v>
      </c>
      <c r="I777" s="21" t="str">
        <f>VLOOKUP(H777,Products[],2)</f>
        <v>Smart LED Light Strip</v>
      </c>
      <c r="J777" s="24">
        <f>Sales[Total_Amount]</f>
        <v>843.0236</v>
      </c>
      <c r="K777" s="21" t="str">
        <f t="shared" si="1"/>
        <v>Aug</v>
      </c>
      <c r="L777" s="21">
        <f t="shared" si="2"/>
        <v>2024</v>
      </c>
      <c r="N777" s="33"/>
      <c r="O777" s="34"/>
    </row>
    <row r="778" ht="22.5" customHeight="1">
      <c r="A778" s="21" t="s">
        <v>2743</v>
      </c>
      <c r="B778" s="21" t="s">
        <v>155</v>
      </c>
      <c r="C778" s="21" t="str">
        <f t="array" ref="C778">XLOOKUP(B778,Customer[Customer_ID],Customer[Name(Cleaned)])</f>
        <v>Christopher Carter</v>
      </c>
      <c r="D778" s="22" t="str">
        <f>VLOOKUP(B778,Customer[#ALL],6)</f>
        <v>Male</v>
      </c>
      <c r="E778" s="23">
        <f>Sales[Order_Date]</f>
        <v>45322</v>
      </c>
      <c r="F778" s="21" t="str">
        <f>Sales[Store_ID]</f>
        <v>STORE18</v>
      </c>
      <c r="G778" s="21" t="str">
        <f t="array" ref="G778">INDEX(Store[Store_Name],MATCH(F778,Store[Store_ID],0))</f>
        <v>Guerrero-Schmitt</v>
      </c>
      <c r="H778" s="21" t="str">
        <f>Sales[Product_ID]</f>
        <v>PROD18</v>
      </c>
      <c r="I778" s="21" t="str">
        <f>VLOOKUP(H778,Products[],2)</f>
        <v>Women's Denim Jeans</v>
      </c>
      <c r="J778" s="24">
        <f>Sales[Total_Amount]</f>
        <v>223.516</v>
      </c>
      <c r="K778" s="21" t="str">
        <f t="shared" si="1"/>
        <v>Jan</v>
      </c>
      <c r="L778" s="21">
        <f t="shared" si="2"/>
        <v>2024</v>
      </c>
      <c r="N778" s="33"/>
      <c r="O778" s="34"/>
    </row>
    <row r="779" ht="22.5" customHeight="1">
      <c r="A779" s="21" t="s">
        <v>2744</v>
      </c>
      <c r="B779" s="21" t="s">
        <v>1308</v>
      </c>
      <c r="C779" s="21" t="str">
        <f t="array" ref="C779">XLOOKUP(B779,Customer[Customer_ID],Customer[Name(Cleaned)])</f>
        <v>Jennifer Myers</v>
      </c>
      <c r="D779" s="22" t="str">
        <f>VLOOKUP(B779,Customer[#ALL],6)</f>
        <v>Female</v>
      </c>
      <c r="E779" s="23">
        <f>Sales[Order_Date]</f>
        <v>45542</v>
      </c>
      <c r="F779" s="21" t="str">
        <f>Sales[Store_ID]</f>
        <v>STORE15</v>
      </c>
      <c r="G779" s="21" t="str">
        <f t="array" ref="G779">INDEX(Store[Store_Name],MATCH(F779,Store[Store_ID],0))</f>
        <v>Shelton PLC</v>
      </c>
      <c r="H779" s="21" t="str">
        <f>Sales[Product_ID]</f>
        <v>PROD0</v>
      </c>
      <c r="I779" s="21" t="str">
        <f>VLOOKUP(H779,Products[],2)</f>
        <v>Brother Laser Printer</v>
      </c>
      <c r="J779" s="24">
        <f>Sales[Total_Amount]</f>
        <v>1124.3964</v>
      </c>
      <c r="K779" s="21" t="str">
        <f t="shared" si="1"/>
        <v>Sep</v>
      </c>
      <c r="L779" s="21">
        <f t="shared" si="2"/>
        <v>2024</v>
      </c>
      <c r="N779" s="33"/>
      <c r="O779" s="34"/>
    </row>
    <row r="780" ht="22.5" customHeight="1">
      <c r="A780" s="21" t="s">
        <v>2745</v>
      </c>
      <c r="B780" s="21" t="s">
        <v>259</v>
      </c>
      <c r="C780" s="21" t="str">
        <f t="array" ref="C780">XLOOKUP(B780,Customer[Customer_ID],Customer[Name(Cleaned)])</f>
        <v>Mr. Mark Beasley</v>
      </c>
      <c r="D780" s="22" t="str">
        <f>VLOOKUP(B780,Customer[#ALL],6)</f>
        <v>Male</v>
      </c>
      <c r="E780" s="23">
        <f>Sales[Order_Date]</f>
        <v>45675</v>
      </c>
      <c r="F780" s="21" t="str">
        <f>Sales[Store_ID]</f>
        <v>STORE14</v>
      </c>
      <c r="G780" s="21" t="str">
        <f t="array" ref="G780">INDEX(Store[Store_Name],MATCH(F780,Store[Store_ID],0))</f>
        <v>Mcdonald Inc</v>
      </c>
      <c r="H780" s="21" t="str">
        <f>Sales[Product_ID]</f>
        <v>PROD27</v>
      </c>
      <c r="I780" s="21" t="str">
        <f>VLOOKUP(H780,Products[],2)</f>
        <v>Decorative Floor Vase</v>
      </c>
      <c r="J780" s="24">
        <f>Sales[Total_Amount]</f>
        <v>1618.6016</v>
      </c>
      <c r="K780" s="21" t="str">
        <f t="shared" si="1"/>
        <v>Jan</v>
      </c>
      <c r="L780" s="21">
        <f t="shared" si="2"/>
        <v>2025</v>
      </c>
      <c r="N780" s="33"/>
      <c r="O780" s="34"/>
    </row>
    <row r="781" ht="22.5" customHeight="1">
      <c r="A781" s="21" t="s">
        <v>2746</v>
      </c>
      <c r="B781" s="21" t="s">
        <v>296</v>
      </c>
      <c r="C781" s="21" t="str">
        <f t="array" ref="C781">XLOOKUP(B781,Customer[Customer_ID],Customer[Name(Cleaned)])</f>
        <v>Molly Gardner</v>
      </c>
      <c r="D781" s="22" t="str">
        <f>VLOOKUP(B781,Customer[#ALL],6)</f>
        <v>Male</v>
      </c>
      <c r="E781" s="23">
        <f>Sales[Order_Date]</f>
        <v>45637</v>
      </c>
      <c r="F781" s="21" t="str">
        <f>Sales[Store_ID]</f>
        <v>STORE4</v>
      </c>
      <c r="G781" s="21" t="str">
        <f t="array" ref="G781">INDEX(Store[Store_Name],MATCH(F781,Store[Store_ID],0))</f>
        <v>Alexander Group</v>
      </c>
      <c r="H781" s="21" t="str">
        <f>Sales[Product_ID]</f>
        <v>PROD27</v>
      </c>
      <c r="I781" s="21" t="str">
        <f>VLOOKUP(H781,Products[],2)</f>
        <v>Decorative Floor Vase</v>
      </c>
      <c r="J781" s="24">
        <f>Sales[Total_Amount]</f>
        <v>774.1426</v>
      </c>
      <c r="K781" s="21" t="str">
        <f t="shared" si="1"/>
        <v>Dec</v>
      </c>
      <c r="L781" s="21">
        <f t="shared" si="2"/>
        <v>2024</v>
      </c>
      <c r="N781" s="33"/>
      <c r="O781" s="34"/>
    </row>
    <row r="782" ht="22.5" customHeight="1">
      <c r="A782" s="21" t="s">
        <v>2747</v>
      </c>
      <c r="B782" s="21" t="s">
        <v>833</v>
      </c>
      <c r="C782" s="21" t="str">
        <f t="array" ref="C782">XLOOKUP(B782,Customer[Customer_ID],Customer[Name(Cleaned)])</f>
        <v>Kristen Fischer</v>
      </c>
      <c r="D782" s="22" t="str">
        <f>VLOOKUP(B782,Customer[#ALL],6)</f>
        <v>Female</v>
      </c>
      <c r="E782" s="23">
        <f>Sales[Order_Date]</f>
        <v>45390</v>
      </c>
      <c r="F782" s="21" t="str">
        <f>Sales[Store_ID]</f>
        <v>STORE6</v>
      </c>
      <c r="G782" s="21" t="str">
        <f t="array" ref="G782">INDEX(Store[Store_Name],MATCH(F782,Store[Store_ID],0))</f>
        <v>Benson-Elliott</v>
      </c>
      <c r="H782" s="21" t="str">
        <f>Sales[Product_ID]</f>
        <v>PROD34</v>
      </c>
      <c r="I782" s="21" t="str">
        <f>VLOOKUP(H782,Products[],2)</f>
        <v>Gaming Mechanical Keyboard</v>
      </c>
      <c r="J782" s="24">
        <f>Sales[Total_Amount]</f>
        <v>109.5624</v>
      </c>
      <c r="K782" s="21" t="str">
        <f t="shared" si="1"/>
        <v>Apr</v>
      </c>
      <c r="L782" s="21">
        <f t="shared" si="2"/>
        <v>2024</v>
      </c>
      <c r="N782" s="33"/>
      <c r="O782" s="34"/>
    </row>
    <row r="783" ht="22.5" customHeight="1">
      <c r="A783" s="21" t="s">
        <v>2748</v>
      </c>
      <c r="B783" s="21" t="s">
        <v>507</v>
      </c>
      <c r="C783" s="21" t="str">
        <f t="array" ref="C783">XLOOKUP(B783,Customer[Customer_ID],Customer[Name(Cleaned)])</f>
        <v>Rhonda Young</v>
      </c>
      <c r="D783" s="22" t="str">
        <f>VLOOKUP(B783,Customer[#ALL],6)</f>
        <v>Male</v>
      </c>
      <c r="E783" s="23">
        <f>Sales[Order_Date]</f>
        <v>45333</v>
      </c>
      <c r="F783" s="21" t="str">
        <f>Sales[Store_ID]</f>
        <v>STORE4</v>
      </c>
      <c r="G783" s="21" t="str">
        <f t="array" ref="G783">INDEX(Store[Store_Name],MATCH(F783,Store[Store_ID],0))</f>
        <v>Alexander Group</v>
      </c>
      <c r="H783" s="21" t="str">
        <f>Sales[Product_ID]</f>
        <v>PROD93</v>
      </c>
      <c r="I783" s="21" t="str">
        <f>VLOOKUP(H783,Products[],2)</f>
        <v>USB-C Laptop Charger</v>
      </c>
      <c r="J783" s="24">
        <f>Sales[Total_Amount]</f>
        <v>1759.434</v>
      </c>
      <c r="K783" s="21" t="str">
        <f t="shared" si="1"/>
        <v>Feb</v>
      </c>
      <c r="L783" s="21">
        <f t="shared" si="2"/>
        <v>2024</v>
      </c>
      <c r="N783" s="33"/>
      <c r="O783" s="34"/>
    </row>
    <row r="784" ht="22.5" customHeight="1">
      <c r="A784" s="21" t="s">
        <v>2749</v>
      </c>
      <c r="B784" s="21" t="s">
        <v>1441</v>
      </c>
      <c r="C784" s="21" t="str">
        <f t="array" ref="C784">XLOOKUP(B784,Customer[Customer_ID],Customer[Name(Cleaned)])</f>
        <v>Beth Martin</v>
      </c>
      <c r="D784" s="22" t="str">
        <f>VLOOKUP(B784,Customer[#ALL],6)</f>
        <v>Male</v>
      </c>
      <c r="E784" s="23">
        <f>Sales[Order_Date]</f>
        <v>45819</v>
      </c>
      <c r="F784" s="21" t="str">
        <f>Sales[Store_ID]</f>
        <v>STORE19</v>
      </c>
      <c r="G784" s="21" t="str">
        <f t="array" ref="G784">INDEX(Store[Store_Name],MATCH(F784,Store[Store_ID],0))</f>
        <v>Mann-Austin</v>
      </c>
      <c r="H784" s="21" t="str">
        <f>Sales[Product_ID]</f>
        <v>PROD91</v>
      </c>
      <c r="I784" s="21" t="str">
        <f>VLOOKUP(H784,Products[],2)</f>
        <v>Women's High Heels</v>
      </c>
      <c r="J784" s="24">
        <f>Sales[Total_Amount]</f>
        <v>2190.132</v>
      </c>
      <c r="K784" s="21" t="str">
        <f t="shared" si="1"/>
        <v>Jun</v>
      </c>
      <c r="L784" s="21">
        <f t="shared" si="2"/>
        <v>2025</v>
      </c>
      <c r="N784" s="33"/>
      <c r="O784" s="34"/>
    </row>
    <row r="785" ht="22.5" customHeight="1">
      <c r="A785" s="21" t="s">
        <v>2750</v>
      </c>
      <c r="B785" s="21" t="s">
        <v>717</v>
      </c>
      <c r="C785" s="21" t="str">
        <f t="array" ref="C785">XLOOKUP(B785,Customer[Customer_ID],Customer[Name(Cleaned)])</f>
        <v>Kathy Copeland</v>
      </c>
      <c r="D785" s="22" t="str">
        <f>VLOOKUP(B785,Customer[#ALL],6)</f>
        <v>Female</v>
      </c>
      <c r="E785" s="23">
        <f>Sales[Order_Date]</f>
        <v>45268</v>
      </c>
      <c r="F785" s="21" t="str">
        <f>Sales[Store_ID]</f>
        <v>STORE7</v>
      </c>
      <c r="G785" s="21" t="str">
        <f t="array" ref="G785">INDEX(Store[Store_Name],MATCH(F785,Store[Store_ID],0))</f>
        <v>Martinez-Mullins</v>
      </c>
      <c r="H785" s="21" t="str">
        <f>Sales[Product_ID]</f>
        <v>PROD37</v>
      </c>
      <c r="I785" s="21" t="str">
        <f>VLOOKUP(H785,Products[],2)</f>
        <v>Men's Casual Sneakers</v>
      </c>
      <c r="J785" s="24">
        <f>Sales[Total_Amount]</f>
        <v>1892.7168</v>
      </c>
      <c r="K785" s="21" t="str">
        <f t="shared" si="1"/>
        <v>Dec</v>
      </c>
      <c r="L785" s="21">
        <f t="shared" si="2"/>
        <v>2023</v>
      </c>
      <c r="N785" s="33"/>
      <c r="O785" s="34"/>
    </row>
    <row r="786" ht="22.5" customHeight="1">
      <c r="A786" s="21" t="s">
        <v>2751</v>
      </c>
      <c r="B786" s="21" t="s">
        <v>628</v>
      </c>
      <c r="C786" s="21" t="str">
        <f t="array" ref="C786">XLOOKUP(B786,Customer[Customer_ID],Customer[Name(Cleaned)])</f>
        <v>Dr. Suzanne Bullock</v>
      </c>
      <c r="D786" s="22" t="str">
        <f>VLOOKUP(B786,Customer[#ALL],6)</f>
        <v>Male</v>
      </c>
      <c r="E786" s="23">
        <f>Sales[Order_Date]</f>
        <v>45521</v>
      </c>
      <c r="F786" s="21" t="str">
        <f>Sales[Store_ID]</f>
        <v>STORE14</v>
      </c>
      <c r="G786" s="21" t="str">
        <f t="array" ref="G786">INDEX(Store[Store_Name],MATCH(F786,Store[Store_ID],0))</f>
        <v>Mcdonald Inc</v>
      </c>
      <c r="H786" s="21" t="str">
        <f>Sales[Product_ID]</f>
        <v>PROD33</v>
      </c>
      <c r="I786" s="21" t="str">
        <f>VLOOKUP(H786,Products[],2)</f>
        <v>Modern Wall Clock</v>
      </c>
      <c r="J786" s="24">
        <f>Sales[Total_Amount]</f>
        <v>178.514</v>
      </c>
      <c r="K786" s="21" t="str">
        <f t="shared" si="1"/>
        <v>Aug</v>
      </c>
      <c r="L786" s="21">
        <f t="shared" si="2"/>
        <v>2024</v>
      </c>
      <c r="N786" s="33"/>
      <c r="O786" s="34"/>
    </row>
    <row r="787" ht="22.5" customHeight="1">
      <c r="A787" s="21" t="s">
        <v>2752</v>
      </c>
      <c r="B787" s="21" t="s">
        <v>349</v>
      </c>
      <c r="C787" s="21" t="str">
        <f t="array" ref="C787">XLOOKUP(B787,Customer[Customer_ID],Customer[Name(Cleaned)])</f>
        <v>Amy Fowler</v>
      </c>
      <c r="D787" s="22" t="str">
        <f>VLOOKUP(B787,Customer[#ALL],6)</f>
        <v>Male</v>
      </c>
      <c r="E787" s="23">
        <f>Sales[Order_Date]</f>
        <v>45693</v>
      </c>
      <c r="F787" s="21" t="str">
        <f>Sales[Store_ID]</f>
        <v>STORE8</v>
      </c>
      <c r="G787" s="21" t="str">
        <f t="array" ref="G787">INDEX(Store[Store_Name],MATCH(F787,Store[Store_ID],0))</f>
        <v>Bean, Jones and Park</v>
      </c>
      <c r="H787" s="21" t="str">
        <f>Sales[Product_ID]</f>
        <v>PROD19</v>
      </c>
      <c r="I787" s="21" t="str">
        <f>VLOOKUP(H787,Products[],2)</f>
        <v>Knee Support Brace</v>
      </c>
      <c r="J787" s="24">
        <f>Sales[Total_Amount]</f>
        <v>152.0343</v>
      </c>
      <c r="K787" s="21" t="str">
        <f t="shared" si="1"/>
        <v>Feb</v>
      </c>
      <c r="L787" s="21">
        <f t="shared" si="2"/>
        <v>2025</v>
      </c>
      <c r="N787" s="33"/>
      <c r="O787" s="34"/>
    </row>
    <row r="788" ht="22.5" customHeight="1">
      <c r="A788" s="21" t="s">
        <v>2753</v>
      </c>
      <c r="B788" s="21" t="s">
        <v>824</v>
      </c>
      <c r="C788" s="21" t="str">
        <f t="array" ref="C788">XLOOKUP(B788,Customer[Customer_ID],Customer[Name(Cleaned)])</f>
        <v>Dr. Ashley Yates Md</v>
      </c>
      <c r="D788" s="22" t="str">
        <f>VLOOKUP(B788,Customer[#ALL],6)</f>
        <v>Female</v>
      </c>
      <c r="E788" s="23">
        <f>Sales[Order_Date]</f>
        <v>45734</v>
      </c>
      <c r="F788" s="21" t="str">
        <f>Sales[Store_ID]</f>
        <v>STORE18</v>
      </c>
      <c r="G788" s="21" t="str">
        <f t="array" ref="G788">INDEX(Store[Store_Name],MATCH(F788,Store[Store_ID],0))</f>
        <v>Guerrero-Schmitt</v>
      </c>
      <c r="H788" s="21" t="str">
        <f>Sales[Product_ID]</f>
        <v>PROD43</v>
      </c>
      <c r="I788" s="21" t="str">
        <f>VLOOKUP(H788,Products[],2)</f>
        <v>USB External Hard Drive</v>
      </c>
      <c r="J788" s="24">
        <f>Sales[Total_Amount]</f>
        <v>2282.2626</v>
      </c>
      <c r="K788" s="21" t="str">
        <f t="shared" si="1"/>
        <v>Mar</v>
      </c>
      <c r="L788" s="21">
        <f t="shared" si="2"/>
        <v>2025</v>
      </c>
      <c r="N788" s="33"/>
      <c r="O788" s="34"/>
    </row>
    <row r="789" ht="22.5" customHeight="1">
      <c r="A789" s="21" t="s">
        <v>2754</v>
      </c>
      <c r="B789" s="21" t="s">
        <v>222</v>
      </c>
      <c r="C789" s="21" t="str">
        <f t="array" ref="C789">XLOOKUP(B789,Customer[Customer_ID],Customer[Name(Cleaned)])</f>
        <v>Jay Patel</v>
      </c>
      <c r="D789" s="22" t="str">
        <f>VLOOKUP(B789,Customer[#ALL],6)</f>
        <v>Male</v>
      </c>
      <c r="E789" s="23">
        <f>Sales[Order_Date]</f>
        <v>45377</v>
      </c>
      <c r="F789" s="21" t="str">
        <f>Sales[Store_ID]</f>
        <v>STORE8</v>
      </c>
      <c r="G789" s="21" t="str">
        <f t="array" ref="G789">INDEX(Store[Store_Name],MATCH(F789,Store[Store_ID],0))</f>
        <v>Bean, Jones and Park</v>
      </c>
      <c r="H789" s="21" t="str">
        <f>Sales[Product_ID]</f>
        <v>PROD44</v>
      </c>
      <c r="I789" s="21" t="str">
        <f>VLOOKUP(H789,Products[],2)</f>
        <v>Adjustable Jump Rope</v>
      </c>
      <c r="J789" s="24">
        <f>Sales[Total_Amount]</f>
        <v>1990.035</v>
      </c>
      <c r="K789" s="21" t="str">
        <f t="shared" si="1"/>
        <v>Mar</v>
      </c>
      <c r="L789" s="21">
        <f t="shared" si="2"/>
        <v>2024</v>
      </c>
      <c r="N789" s="33"/>
      <c r="O789" s="34"/>
    </row>
    <row r="790" ht="22.5" customHeight="1">
      <c r="A790" s="21" t="s">
        <v>2755</v>
      </c>
      <c r="B790" s="21" t="s">
        <v>1371</v>
      </c>
      <c r="C790" s="21" t="str">
        <f t="array" ref="C790">XLOOKUP(B790,Customer[Customer_ID],Customer[Name(Cleaned)])</f>
        <v>Melinda Rivera</v>
      </c>
      <c r="D790" s="22" t="str">
        <f>VLOOKUP(B790,Customer[#ALL],6)</f>
        <v>Male</v>
      </c>
      <c r="E790" s="23">
        <f>Sales[Order_Date]</f>
        <v>45778</v>
      </c>
      <c r="F790" s="21" t="str">
        <f>Sales[Store_ID]</f>
        <v>STORE10</v>
      </c>
      <c r="G790" s="21" t="str">
        <f t="array" ref="G790">INDEX(Store[Store_Name],MATCH(F790,Store[Store_ID],0))</f>
        <v>Hill, Wagner and Ballard</v>
      </c>
      <c r="H790" s="21" t="str">
        <f>Sales[Product_ID]</f>
        <v>PROD67</v>
      </c>
      <c r="I790" s="21" t="str">
        <f>VLOOKUP(H790,Products[],2)</f>
        <v>Smart LED Light Strip</v>
      </c>
      <c r="J790" s="24">
        <f>Sales[Total_Amount]</f>
        <v>1366.898</v>
      </c>
      <c r="K790" s="21" t="str">
        <f t="shared" si="1"/>
        <v>May</v>
      </c>
      <c r="L790" s="21">
        <f t="shared" si="2"/>
        <v>2025</v>
      </c>
      <c r="N790" s="33"/>
      <c r="O790" s="34"/>
    </row>
    <row r="791" ht="22.5" customHeight="1">
      <c r="A791" s="21" t="s">
        <v>2756</v>
      </c>
      <c r="B791" s="21" t="s">
        <v>203</v>
      </c>
      <c r="C791" s="21" t="str">
        <f t="array" ref="C791">XLOOKUP(B791,Customer[Customer_ID],Customer[Name(Cleaned)])</f>
        <v>Sarah Rodgers</v>
      </c>
      <c r="D791" s="22" t="str">
        <f>VLOOKUP(B791,Customer[#ALL],6)</f>
        <v>Male</v>
      </c>
      <c r="E791" s="23">
        <f>Sales[Order_Date]</f>
        <v>45715</v>
      </c>
      <c r="F791" s="21" t="str">
        <f>Sales[Store_ID]</f>
        <v>STORE4</v>
      </c>
      <c r="G791" s="21" t="str">
        <f t="array" ref="G791">INDEX(Store[Store_Name],MATCH(F791,Store[Store_ID],0))</f>
        <v>Alexander Group</v>
      </c>
      <c r="H791" s="21" t="str">
        <f>Sales[Product_ID]</f>
        <v>PROD50</v>
      </c>
      <c r="I791" s="21" t="str">
        <f>VLOOKUP(H791,Products[],2)</f>
        <v>Boxing Hand Wraps</v>
      </c>
      <c r="J791" s="24">
        <f>Sales[Total_Amount]</f>
        <v>1885.5162</v>
      </c>
      <c r="K791" s="21" t="str">
        <f t="shared" si="1"/>
        <v>Feb</v>
      </c>
      <c r="L791" s="21">
        <f t="shared" si="2"/>
        <v>2025</v>
      </c>
      <c r="N791" s="33"/>
      <c r="O791" s="34"/>
    </row>
    <row r="792" ht="22.5" customHeight="1">
      <c r="A792" s="21" t="s">
        <v>2757</v>
      </c>
      <c r="B792" s="21" t="s">
        <v>736</v>
      </c>
      <c r="C792" s="21" t="str">
        <f t="array" ref="C792">XLOOKUP(B792,Customer[Customer_ID],Customer[Name(Cleaned)])</f>
        <v>Robert Harris</v>
      </c>
      <c r="D792" s="22" t="str">
        <f>VLOOKUP(B792,Customer[#ALL],6)</f>
        <v>Female</v>
      </c>
      <c r="E792" s="23">
        <f>Sales[Order_Date]</f>
        <v>45492</v>
      </c>
      <c r="F792" s="21" t="str">
        <f>Sales[Store_ID]</f>
        <v>STORE18</v>
      </c>
      <c r="G792" s="21" t="str">
        <f t="array" ref="G792">INDEX(Store[Store_Name],MATCH(F792,Store[Store_ID],0))</f>
        <v>Guerrero-Schmitt</v>
      </c>
      <c r="H792" s="21" t="str">
        <f>Sales[Product_ID]</f>
        <v>PROD56</v>
      </c>
      <c r="I792" s="21" t="str">
        <f>VLOOKUP(H792,Products[],2)</f>
        <v>Premium Blanket Throw</v>
      </c>
      <c r="J792" s="24">
        <f>Sales[Total_Amount]</f>
        <v>571.3318</v>
      </c>
      <c r="K792" s="21" t="str">
        <f t="shared" si="1"/>
        <v>Jul</v>
      </c>
      <c r="L792" s="21">
        <f t="shared" si="2"/>
        <v>2024</v>
      </c>
      <c r="N792" s="33"/>
      <c r="O792" s="34"/>
    </row>
    <row r="793" ht="22.5" customHeight="1">
      <c r="A793" s="21" t="s">
        <v>2758</v>
      </c>
      <c r="B793" s="21" t="s">
        <v>591</v>
      </c>
      <c r="C793" s="21" t="str">
        <f t="array" ref="C793">XLOOKUP(B793,Customer[Customer_ID],Customer[Name(Cleaned)])</f>
        <v>Michelle Rogers</v>
      </c>
      <c r="D793" s="22" t="str">
        <f>VLOOKUP(B793,Customer[#ALL],6)</f>
        <v>Female</v>
      </c>
      <c r="E793" s="23">
        <f>Sales[Order_Date]</f>
        <v>45795</v>
      </c>
      <c r="F793" s="21" t="str">
        <f>Sales[Store_ID]</f>
        <v>STORE11</v>
      </c>
      <c r="G793" s="21" t="str">
        <f t="array" ref="G793">INDEX(Store[Store_Name],MATCH(F793,Store[Store_ID],0))</f>
        <v>Aguirre-Keller</v>
      </c>
      <c r="H793" s="21" t="str">
        <f>Sales[Product_ID]</f>
        <v>PROD49</v>
      </c>
      <c r="I793" s="21" t="str">
        <f>VLOOKUP(H793,Products[],2)</f>
        <v>Men's Roll-On Perfume</v>
      </c>
      <c r="J793" s="24">
        <f>Sales[Total_Amount]</f>
        <v>240.5592</v>
      </c>
      <c r="K793" s="21" t="str">
        <f t="shared" si="1"/>
        <v>May</v>
      </c>
      <c r="L793" s="21">
        <f t="shared" si="2"/>
        <v>2025</v>
      </c>
      <c r="N793" s="33"/>
      <c r="O793" s="34"/>
    </row>
    <row r="794" ht="22.5" customHeight="1">
      <c r="A794" s="21" t="s">
        <v>2759</v>
      </c>
      <c r="B794" s="21" t="s">
        <v>896</v>
      </c>
      <c r="C794" s="21" t="str">
        <f t="array" ref="C794">XLOOKUP(B794,Customer[Customer_ID],Customer[Name(Cleaned)])</f>
        <v>Jeffrey Gomez</v>
      </c>
      <c r="D794" s="22" t="str">
        <f>VLOOKUP(B794,Customer[#ALL],6)</f>
        <v>Male</v>
      </c>
      <c r="E794" s="23">
        <f>Sales[Order_Date]</f>
        <v>45292</v>
      </c>
      <c r="F794" s="21" t="str">
        <f>Sales[Store_ID]</f>
        <v>STORE5</v>
      </c>
      <c r="G794" s="21" t="str">
        <f t="array" ref="G794">INDEX(Store[Store_Name],MATCH(F794,Store[Store_ID],0))</f>
        <v>Gray Ltd</v>
      </c>
      <c r="H794" s="21" t="str">
        <f>Sales[Product_ID]</f>
        <v>PROD19</v>
      </c>
      <c r="I794" s="21" t="str">
        <f>VLOOKUP(H794,Products[],2)</f>
        <v>Knee Support Brace</v>
      </c>
      <c r="J794" s="24">
        <f>Sales[Total_Amount]</f>
        <v>240.4482</v>
      </c>
      <c r="K794" s="21" t="str">
        <f t="shared" si="1"/>
        <v>Jan</v>
      </c>
      <c r="L794" s="21">
        <f t="shared" si="2"/>
        <v>2024</v>
      </c>
      <c r="N794" s="33"/>
      <c r="O794" s="34"/>
    </row>
    <row r="795" ht="22.5" customHeight="1">
      <c r="A795" s="21" t="s">
        <v>2760</v>
      </c>
      <c r="B795" s="21" t="s">
        <v>720</v>
      </c>
      <c r="C795" s="21" t="str">
        <f t="array" ref="C795">XLOOKUP(B795,Customer[Customer_ID],Customer[Name(Cleaned)])</f>
        <v>Julia Jackson</v>
      </c>
      <c r="D795" s="22" t="str">
        <f>VLOOKUP(B795,Customer[#ALL],6)</f>
        <v>Female</v>
      </c>
      <c r="E795" s="23">
        <f>Sales[Order_Date]</f>
        <v>45316</v>
      </c>
      <c r="F795" s="21" t="str">
        <f>Sales[Store_ID]</f>
        <v>STORE6</v>
      </c>
      <c r="G795" s="21" t="str">
        <f t="array" ref="G795">INDEX(Store[Store_Name],MATCH(F795,Store[Store_ID],0))</f>
        <v>Benson-Elliott</v>
      </c>
      <c r="H795" s="21" t="str">
        <f>Sales[Product_ID]</f>
        <v>PROD79</v>
      </c>
      <c r="I795" s="21" t="str">
        <f>VLOOKUP(H795,Products[],2)</f>
        <v>Decorative Lamp Shade</v>
      </c>
      <c r="J795" s="24">
        <f>Sales[Total_Amount]</f>
        <v>502.53</v>
      </c>
      <c r="K795" s="21" t="str">
        <f t="shared" si="1"/>
        <v>Jan</v>
      </c>
      <c r="L795" s="21">
        <f t="shared" si="2"/>
        <v>2024</v>
      </c>
      <c r="N795" s="33"/>
      <c r="O795" s="34"/>
    </row>
    <row r="796" ht="22.5" customHeight="1">
      <c r="A796" s="21" t="s">
        <v>2761</v>
      </c>
      <c r="B796" s="21" t="s">
        <v>286</v>
      </c>
      <c r="C796" s="21" t="str">
        <f t="array" ref="C796">XLOOKUP(B796,Customer[Customer_ID],Customer[Name(Cleaned)])</f>
        <v>Nathan Campbell</v>
      </c>
      <c r="D796" s="22" t="str">
        <f>VLOOKUP(B796,Customer[#ALL],6)</f>
        <v>Female</v>
      </c>
      <c r="E796" s="23">
        <f>Sales[Order_Date]</f>
        <v>45548</v>
      </c>
      <c r="F796" s="21" t="str">
        <f>Sales[Store_ID]</f>
        <v>STORE16</v>
      </c>
      <c r="G796" s="21" t="str">
        <f t="array" ref="G796">INDEX(Store[Store_Name],MATCH(F796,Store[Store_ID],0))</f>
        <v>Frederick-Wright</v>
      </c>
      <c r="H796" s="21" t="str">
        <f>Sales[Product_ID]</f>
        <v>PROD1</v>
      </c>
      <c r="I796" s="21" t="str">
        <f>VLOOKUP(H796,Products[],2)</f>
        <v>Men's Graphic T-Shirt</v>
      </c>
      <c r="J796" s="24">
        <f>Sales[Total_Amount]</f>
        <v>905.1656</v>
      </c>
      <c r="K796" s="21" t="str">
        <f t="shared" si="1"/>
        <v>Sep</v>
      </c>
      <c r="L796" s="21">
        <f t="shared" si="2"/>
        <v>2024</v>
      </c>
      <c r="N796" s="33"/>
      <c r="O796" s="34"/>
    </row>
    <row r="797" ht="22.5" customHeight="1">
      <c r="A797" s="21" t="s">
        <v>2762</v>
      </c>
      <c r="B797" s="21" t="s">
        <v>1459</v>
      </c>
      <c r="C797" s="21" t="str">
        <f t="array" ref="C797">XLOOKUP(B797,Customer[Customer_ID],Customer[Name(Cleaned)])</f>
        <v>Gregory Curtis</v>
      </c>
      <c r="D797" s="22" t="str">
        <f>VLOOKUP(B797,Customer[#ALL],6)</f>
        <v>Female</v>
      </c>
      <c r="E797" s="23">
        <f>Sales[Order_Date]</f>
        <v>45572</v>
      </c>
      <c r="F797" s="21" t="str">
        <f>Sales[Store_ID]</f>
        <v>STORE3</v>
      </c>
      <c r="G797" s="21" t="str">
        <f t="array" ref="G797">INDEX(Store[Store_Name],MATCH(F797,Store[Store_ID],0))</f>
        <v>Johnson-Wright</v>
      </c>
      <c r="H797" s="21" t="str">
        <f>Sales[Product_ID]</f>
        <v>PROD74</v>
      </c>
      <c r="I797" s="21" t="str">
        <f>VLOOKUP(H797,Products[],2)</f>
        <v>Bluetooth Car Audio System</v>
      </c>
      <c r="J797" s="24">
        <f>Sales[Total_Amount]</f>
        <v>364.08</v>
      </c>
      <c r="K797" s="21" t="str">
        <f t="shared" si="1"/>
        <v>Oct</v>
      </c>
      <c r="L797" s="21">
        <f t="shared" si="2"/>
        <v>2024</v>
      </c>
      <c r="N797" s="33"/>
      <c r="O797" s="34"/>
    </row>
    <row r="798" ht="22.5" customHeight="1">
      <c r="A798" s="21" t="s">
        <v>2763</v>
      </c>
      <c r="B798" s="21" t="s">
        <v>1508</v>
      </c>
      <c r="C798" s="21" t="str">
        <f t="array" ref="C798">XLOOKUP(B798,Customer[Customer_ID],Customer[Name(Cleaned)])</f>
        <v>Sara Ingram</v>
      </c>
      <c r="D798" s="22" t="str">
        <f>VLOOKUP(B798,Customer[#ALL],6)</f>
        <v>Male</v>
      </c>
      <c r="E798" s="23">
        <f>Sales[Order_Date]</f>
        <v>45347</v>
      </c>
      <c r="F798" s="21" t="str">
        <f>Sales[Store_ID]</f>
        <v>STORE14</v>
      </c>
      <c r="G798" s="21" t="str">
        <f t="array" ref="G798">INDEX(Store[Store_Name],MATCH(F798,Store[Store_ID],0))</f>
        <v>Mcdonald Inc</v>
      </c>
      <c r="H798" s="21" t="str">
        <f>Sales[Product_ID]</f>
        <v>PROD37</v>
      </c>
      <c r="I798" s="21" t="str">
        <f>VLOOKUP(H798,Products[],2)</f>
        <v>Men's Casual Sneakers</v>
      </c>
      <c r="J798" s="24">
        <f>Sales[Total_Amount]</f>
        <v>2925.7312</v>
      </c>
      <c r="K798" s="21" t="str">
        <f t="shared" si="1"/>
        <v>Feb</v>
      </c>
      <c r="L798" s="21">
        <f t="shared" si="2"/>
        <v>2024</v>
      </c>
      <c r="N798" s="33"/>
      <c r="O798" s="34"/>
    </row>
    <row r="799" ht="22.5" customHeight="1">
      <c r="A799" s="21" t="s">
        <v>2764</v>
      </c>
      <c r="B799" s="21" t="s">
        <v>1359</v>
      </c>
      <c r="C799" s="21" t="str">
        <f t="array" ref="C799">XLOOKUP(B799,Customer[Customer_ID],Customer[Name(Cleaned)])</f>
        <v>Thomas Moore</v>
      </c>
      <c r="D799" s="22" t="str">
        <f>VLOOKUP(B799,Customer[#ALL],6)</f>
        <v>Male</v>
      </c>
      <c r="E799" s="23">
        <f>Sales[Order_Date]</f>
        <v>45823</v>
      </c>
      <c r="F799" s="21" t="str">
        <f>Sales[Store_ID]</f>
        <v>STORE1</v>
      </c>
      <c r="G799" s="21" t="str">
        <f t="array" ref="G799">INDEX(Store[Store_Name],MATCH(F799,Store[Store_ID],0))</f>
        <v>Martinez, Adkins and Johnson</v>
      </c>
      <c r="H799" s="21" t="str">
        <f>Sales[Product_ID]</f>
        <v>PROD12</v>
      </c>
      <c r="I799" s="21" t="str">
        <f>VLOOKUP(H799,Products[],2)</f>
        <v>Hair Strengthening Shampoo</v>
      </c>
      <c r="J799" s="24">
        <f>Sales[Total_Amount]</f>
        <v>111.1636</v>
      </c>
      <c r="K799" s="21" t="str">
        <f t="shared" si="1"/>
        <v>Jun</v>
      </c>
      <c r="L799" s="21">
        <f t="shared" si="2"/>
        <v>2025</v>
      </c>
      <c r="N799" s="33"/>
      <c r="O799" s="34"/>
    </row>
    <row r="800" ht="22.5" customHeight="1">
      <c r="A800" s="21" t="s">
        <v>2765</v>
      </c>
      <c r="B800" s="21" t="s">
        <v>1259</v>
      </c>
      <c r="C800" s="21" t="str">
        <f t="array" ref="C800">XLOOKUP(B800,Customer[Customer_ID],Customer[Name(Cleaned)])</f>
        <v>John Donaldson</v>
      </c>
      <c r="D800" s="22" t="str">
        <f>VLOOKUP(B800,Customer[#ALL],6)</f>
        <v>Female</v>
      </c>
      <c r="E800" s="23">
        <f>Sales[Order_Date]</f>
        <v>45394</v>
      </c>
      <c r="F800" s="21" t="str">
        <f>Sales[Store_ID]</f>
        <v>STORE18</v>
      </c>
      <c r="G800" s="21" t="str">
        <f t="array" ref="G800">INDEX(Store[Store_Name],MATCH(F800,Store[Store_ID],0))</f>
        <v>Guerrero-Schmitt</v>
      </c>
      <c r="H800" s="21" t="str">
        <f>Sales[Product_ID]</f>
        <v>PROD77</v>
      </c>
      <c r="I800" s="21" t="str">
        <f>VLOOKUP(H800,Products[],2)</f>
        <v>WiFi Mesh Router</v>
      </c>
      <c r="J800" s="24">
        <f>Sales[Total_Amount]</f>
        <v>97.0002</v>
      </c>
      <c r="K800" s="21" t="str">
        <f t="shared" si="1"/>
        <v>Apr</v>
      </c>
      <c r="L800" s="21">
        <f t="shared" si="2"/>
        <v>2024</v>
      </c>
      <c r="N800" s="33"/>
      <c r="O800" s="34"/>
    </row>
    <row r="801" ht="22.5" customHeight="1">
      <c r="A801" s="21" t="s">
        <v>2766</v>
      </c>
      <c r="B801" s="21" t="s">
        <v>238</v>
      </c>
      <c r="C801" s="21" t="str">
        <f t="array" ref="C801">XLOOKUP(B801,Customer[Customer_ID],Customer[Name(Cleaned)])</f>
        <v>James Bean</v>
      </c>
      <c r="D801" s="22" t="str">
        <f>VLOOKUP(B801,Customer[#ALL],6)</f>
        <v>Female</v>
      </c>
      <c r="E801" s="23">
        <f>Sales[Order_Date]</f>
        <v>45265</v>
      </c>
      <c r="F801" s="21" t="str">
        <f>Sales[Store_ID]</f>
        <v>STORE18</v>
      </c>
      <c r="G801" s="21" t="str">
        <f t="array" ref="G801">INDEX(Store[Store_Name],MATCH(F801,Store[Store_ID],0))</f>
        <v>Guerrero-Schmitt</v>
      </c>
      <c r="H801" s="21" t="str">
        <f>Sales[Product_ID]</f>
        <v>PROD22</v>
      </c>
      <c r="I801" s="21" t="str">
        <f>VLOOKUP(H801,Products[],2)</f>
        <v>Carbon Fiber Tennis Racket</v>
      </c>
      <c r="J801" s="24">
        <f>Sales[Total_Amount]</f>
        <v>1492.9516</v>
      </c>
      <c r="K801" s="21" t="str">
        <f t="shared" si="1"/>
        <v>Dec</v>
      </c>
      <c r="L801" s="21">
        <f t="shared" si="2"/>
        <v>2023</v>
      </c>
      <c r="N801" s="33"/>
      <c r="O801" s="34"/>
    </row>
    <row r="802" ht="22.5" customHeight="1">
      <c r="A802" s="21" t="s">
        <v>2767</v>
      </c>
      <c r="B802" s="21" t="s">
        <v>252</v>
      </c>
      <c r="C802" s="21" t="str">
        <f t="array" ref="C802">XLOOKUP(B802,Customer[Customer_ID],Customer[Name(Cleaned)])</f>
        <v>Cody Diaz</v>
      </c>
      <c r="D802" s="22" t="str">
        <f>VLOOKUP(B802,Customer[#ALL],6)</f>
        <v>Male</v>
      </c>
      <c r="E802" s="23">
        <f>Sales[Order_Date]</f>
        <v>45261</v>
      </c>
      <c r="F802" s="21" t="str">
        <f>Sales[Store_ID]</f>
        <v>STORE3</v>
      </c>
      <c r="G802" s="21" t="str">
        <f t="array" ref="G802">INDEX(Store[Store_Name],MATCH(F802,Store[Store_ID],0))</f>
        <v>Johnson-Wright</v>
      </c>
      <c r="H802" s="21" t="str">
        <f>Sales[Product_ID]</f>
        <v>PROD78</v>
      </c>
      <c r="I802" s="21" t="str">
        <f>VLOOKUP(H802,Products[],2)</f>
        <v>Essential Oil Diffuser</v>
      </c>
      <c r="J802" s="24">
        <f>Sales[Total_Amount]</f>
        <v>1136.0936</v>
      </c>
      <c r="K802" s="21" t="str">
        <f t="shared" si="1"/>
        <v>Dec</v>
      </c>
      <c r="L802" s="21">
        <f t="shared" si="2"/>
        <v>2023</v>
      </c>
      <c r="N802" s="33"/>
      <c r="O802" s="34"/>
    </row>
    <row r="803" ht="22.5" customHeight="1">
      <c r="A803" s="21" t="s">
        <v>2768</v>
      </c>
      <c r="B803" s="21" t="s">
        <v>47</v>
      </c>
      <c r="C803" s="21" t="str">
        <f t="array" ref="C803">XLOOKUP(B803,Customer[Customer_ID],Customer[Name(Cleaned)])</f>
        <v>Daniel Boyd</v>
      </c>
      <c r="D803" s="22" t="str">
        <f>VLOOKUP(B803,Customer[#ALL],6)</f>
        <v>Male</v>
      </c>
      <c r="E803" s="23">
        <f>Sales[Order_Date]</f>
        <v>45702</v>
      </c>
      <c r="F803" s="21" t="str">
        <f>Sales[Store_ID]</f>
        <v>STORE12</v>
      </c>
      <c r="G803" s="21" t="str">
        <f t="array" ref="G803">INDEX(Store[Store_Name],MATCH(F803,Store[Store_ID],0))</f>
        <v>Thomas, Bridges and Harris</v>
      </c>
      <c r="H803" s="21" t="str">
        <f>Sales[Product_ID]</f>
        <v>PROD55</v>
      </c>
      <c r="I803" s="21" t="str">
        <f>VLOOKUP(H803,Products[],2)</f>
        <v>Ceramic Plant Pot</v>
      </c>
      <c r="J803" s="24">
        <f>Sales[Total_Amount]</f>
        <v>727.818</v>
      </c>
      <c r="K803" s="21" t="str">
        <f t="shared" si="1"/>
        <v>Feb</v>
      </c>
      <c r="L803" s="21">
        <f t="shared" si="2"/>
        <v>2025</v>
      </c>
      <c r="N803" s="33"/>
      <c r="O803" s="34"/>
    </row>
    <row r="804" ht="22.5" customHeight="1">
      <c r="A804" s="21" t="s">
        <v>2769</v>
      </c>
      <c r="B804" s="21" t="s">
        <v>1095</v>
      </c>
      <c r="C804" s="21" t="str">
        <f t="array" ref="C804">XLOOKUP(B804,Customer[Customer_ID],Customer[Name(Cleaned)])</f>
        <v>Evelyn Brown</v>
      </c>
      <c r="D804" s="22" t="str">
        <f>VLOOKUP(B804,Customer[#ALL],6)</f>
        <v>Female</v>
      </c>
      <c r="E804" s="23">
        <f>Sales[Order_Date]</f>
        <v>45267</v>
      </c>
      <c r="F804" s="21" t="str">
        <f>Sales[Store_ID]</f>
        <v>STORE10</v>
      </c>
      <c r="G804" s="21" t="str">
        <f t="array" ref="G804">INDEX(Store[Store_Name],MATCH(F804,Store[Store_ID],0))</f>
        <v>Hill, Wagner and Ballard</v>
      </c>
      <c r="H804" s="21" t="str">
        <f>Sales[Product_ID]</f>
        <v>PROD89</v>
      </c>
      <c r="I804" s="21" t="str">
        <f>VLOOKUP(H804,Products[],2)</f>
        <v>Face Foundation Kit</v>
      </c>
      <c r="J804" s="24">
        <f>Sales[Total_Amount]</f>
        <v>1241.88</v>
      </c>
      <c r="K804" s="21" t="str">
        <f t="shared" si="1"/>
        <v>Dec</v>
      </c>
      <c r="L804" s="21">
        <f t="shared" si="2"/>
        <v>2023</v>
      </c>
      <c r="N804" s="33"/>
      <c r="O804" s="34"/>
    </row>
    <row r="805" ht="22.5" customHeight="1">
      <c r="A805" s="21" t="s">
        <v>2770</v>
      </c>
      <c r="B805" s="21" t="s">
        <v>1356</v>
      </c>
      <c r="C805" s="21" t="str">
        <f t="array" ref="C805">XLOOKUP(B805,Customer[Customer_ID],Customer[Name(Cleaned)])</f>
        <v>Summer Weiss</v>
      </c>
      <c r="D805" s="22" t="str">
        <f>VLOOKUP(B805,Customer[#ALL],6)</f>
        <v>Female</v>
      </c>
      <c r="E805" s="23">
        <f>Sales[Order_Date]</f>
        <v>45624</v>
      </c>
      <c r="F805" s="21" t="str">
        <f>Sales[Store_ID]</f>
        <v>STORE19</v>
      </c>
      <c r="G805" s="21" t="str">
        <f t="array" ref="G805">INDEX(Store[Store_Name],MATCH(F805,Store[Store_ID],0))</f>
        <v>Mann-Austin</v>
      </c>
      <c r="H805" s="21" t="str">
        <f>Sales[Product_ID]</f>
        <v>PROD0</v>
      </c>
      <c r="I805" s="21" t="str">
        <f>VLOOKUP(H805,Products[],2)</f>
        <v>Brother Laser Printer</v>
      </c>
      <c r="J805" s="24">
        <f>Sales[Total_Amount]</f>
        <v>413.073</v>
      </c>
      <c r="K805" s="21" t="str">
        <f t="shared" si="1"/>
        <v>Nov</v>
      </c>
      <c r="L805" s="21">
        <f t="shared" si="2"/>
        <v>2024</v>
      </c>
      <c r="N805" s="33"/>
      <c r="O805" s="34"/>
    </row>
    <row r="806" ht="22.5" customHeight="1">
      <c r="A806" s="21" t="s">
        <v>2771</v>
      </c>
      <c r="B806" s="21" t="s">
        <v>932</v>
      </c>
      <c r="C806" s="21" t="str">
        <f t="array" ref="C806">XLOOKUP(B806,Customer[Customer_ID],Customer[Name(Cleaned)])</f>
        <v>Jennifer Figueroa</v>
      </c>
      <c r="D806" s="22" t="str">
        <f>VLOOKUP(B806,Customer[#ALL],6)</f>
        <v>Female</v>
      </c>
      <c r="E806" s="23">
        <f>Sales[Order_Date]</f>
        <v>45736</v>
      </c>
      <c r="F806" s="21" t="str">
        <f>Sales[Store_ID]</f>
        <v>STORE7</v>
      </c>
      <c r="G806" s="21" t="str">
        <f t="array" ref="G806">INDEX(Store[Store_Name],MATCH(F806,Store[Store_ID],0))</f>
        <v>Martinez-Mullins</v>
      </c>
      <c r="H806" s="21" t="str">
        <f>Sales[Product_ID]</f>
        <v>PROD43</v>
      </c>
      <c r="I806" s="21" t="str">
        <f>VLOOKUP(H806,Products[],2)</f>
        <v>USB External Hard Drive</v>
      </c>
      <c r="J806" s="24">
        <f>Sales[Total_Amount]</f>
        <v>922.9692</v>
      </c>
      <c r="K806" s="21" t="str">
        <f t="shared" si="1"/>
        <v>Mar</v>
      </c>
      <c r="L806" s="21">
        <f t="shared" si="2"/>
        <v>2025</v>
      </c>
      <c r="N806" s="33"/>
      <c r="O806" s="34"/>
    </row>
    <row r="807" ht="22.5" customHeight="1">
      <c r="A807" s="21" t="s">
        <v>2772</v>
      </c>
      <c r="B807" s="21" t="s">
        <v>1320</v>
      </c>
      <c r="C807" s="21" t="str">
        <f t="array" ref="C807">XLOOKUP(B807,Customer[Customer_ID],Customer[Name(Cleaned)])</f>
        <v>Dr. Tamara White Md</v>
      </c>
      <c r="D807" s="22" t="str">
        <f>VLOOKUP(B807,Customer[#ALL],6)</f>
        <v>Female</v>
      </c>
      <c r="E807" s="23">
        <f>Sales[Order_Date]</f>
        <v>45709</v>
      </c>
      <c r="F807" s="21" t="str">
        <f>Sales[Store_ID]</f>
        <v>STORE0</v>
      </c>
      <c r="G807" s="21" t="str">
        <f t="array" ref="G807">INDEX(Store[Store_Name],MATCH(F807,Store[Store_ID],0))</f>
        <v>Rivera-Warner</v>
      </c>
      <c r="H807" s="21" t="str">
        <f>Sales[Product_ID]</f>
        <v>PROD58</v>
      </c>
      <c r="I807" s="21" t="str">
        <f>VLOOKUP(H807,Products[],2)</f>
        <v>Womens Cotton Scarf</v>
      </c>
      <c r="J807" s="24">
        <f>Sales[Total_Amount]</f>
        <v>336.4578</v>
      </c>
      <c r="K807" s="21" t="str">
        <f t="shared" si="1"/>
        <v>Feb</v>
      </c>
      <c r="L807" s="21">
        <f t="shared" si="2"/>
        <v>2025</v>
      </c>
      <c r="N807" s="33"/>
      <c r="O807" s="34"/>
    </row>
    <row r="808" ht="22.5" customHeight="1">
      <c r="A808" s="21" t="s">
        <v>2773</v>
      </c>
      <c r="B808" s="21" t="s">
        <v>1540</v>
      </c>
      <c r="C808" s="21" t="str">
        <f t="array" ref="C808">XLOOKUP(B808,Customer[Customer_ID],Customer[Name(Cleaned)])</f>
        <v>Christopher Ford</v>
      </c>
      <c r="D808" s="22" t="str">
        <f>VLOOKUP(B808,Customer[#ALL],6)</f>
        <v>Female</v>
      </c>
      <c r="E808" s="23">
        <f>Sales[Order_Date]</f>
        <v>45738</v>
      </c>
      <c r="F808" s="21" t="str">
        <f>Sales[Store_ID]</f>
        <v>STORE12</v>
      </c>
      <c r="G808" s="21" t="str">
        <f t="array" ref="G808">INDEX(Store[Store_Name],MATCH(F808,Store[Store_ID],0))</f>
        <v>Thomas, Bridges and Harris</v>
      </c>
      <c r="H808" s="21" t="str">
        <f>Sales[Product_ID]</f>
        <v>PROD89</v>
      </c>
      <c r="I808" s="21" t="str">
        <f>VLOOKUP(H808,Products[],2)</f>
        <v>Face Foundation Kit</v>
      </c>
      <c r="J808" s="24">
        <f>Sales[Total_Amount]</f>
        <v>2798.4132</v>
      </c>
      <c r="K808" s="21" t="str">
        <f t="shared" si="1"/>
        <v>Mar</v>
      </c>
      <c r="L808" s="21">
        <f t="shared" si="2"/>
        <v>2025</v>
      </c>
      <c r="N808" s="33"/>
      <c r="O808" s="34"/>
    </row>
    <row r="809" ht="22.5" customHeight="1">
      <c r="A809" s="21" t="s">
        <v>2774</v>
      </c>
      <c r="B809" s="21" t="s">
        <v>1239</v>
      </c>
      <c r="C809" s="21" t="str">
        <f t="array" ref="C809">XLOOKUP(B809,Customer[Customer_ID],Customer[Name(Cleaned)])</f>
        <v>Jacqueline Payne</v>
      </c>
      <c r="D809" s="22" t="str">
        <f>VLOOKUP(B809,Customer[#ALL],6)</f>
        <v>Female</v>
      </c>
      <c r="E809" s="23">
        <f>Sales[Order_Date]</f>
        <v>45685</v>
      </c>
      <c r="F809" s="21" t="str">
        <f>Sales[Store_ID]</f>
        <v>STORE3</v>
      </c>
      <c r="G809" s="21" t="str">
        <f t="array" ref="G809">INDEX(Store[Store_Name],MATCH(F809,Store[Store_ID],0))</f>
        <v>Johnson-Wright</v>
      </c>
      <c r="H809" s="21" t="str">
        <f>Sales[Product_ID]</f>
        <v>PROD27</v>
      </c>
      <c r="I809" s="21" t="str">
        <f>VLOOKUP(H809,Products[],2)</f>
        <v>Decorative Floor Vase</v>
      </c>
      <c r="J809" s="24">
        <f>Sales[Total_Amount]</f>
        <v>1303.3905</v>
      </c>
      <c r="K809" s="21" t="str">
        <f t="shared" si="1"/>
        <v>Jan</v>
      </c>
      <c r="L809" s="21">
        <f t="shared" si="2"/>
        <v>2025</v>
      </c>
      <c r="N809" s="33"/>
      <c r="O809" s="34"/>
    </row>
    <row r="810" ht="22.5" customHeight="1">
      <c r="A810" s="21" t="s">
        <v>2775</v>
      </c>
      <c r="B810" s="21" t="s">
        <v>55</v>
      </c>
      <c r="C810" s="21" t="str">
        <f t="array" ref="C810">XLOOKUP(B810,Customer[Customer_ID],Customer[Name(Cleaned)])</f>
        <v>Ms. Maria Leach</v>
      </c>
      <c r="D810" s="22" t="str">
        <f>VLOOKUP(B810,Customer[#ALL],6)</f>
        <v>Female</v>
      </c>
      <c r="E810" s="23">
        <f>Sales[Order_Date]</f>
        <v>45701</v>
      </c>
      <c r="F810" s="21" t="str">
        <f>Sales[Store_ID]</f>
        <v>STORE18</v>
      </c>
      <c r="G810" s="21" t="str">
        <f t="array" ref="G810">INDEX(Store[Store_Name],MATCH(F810,Store[Store_ID],0))</f>
        <v>Guerrero-Schmitt</v>
      </c>
      <c r="H810" s="21" t="str">
        <f>Sales[Product_ID]</f>
        <v>PROD91</v>
      </c>
      <c r="I810" s="21" t="str">
        <f>VLOOKUP(H810,Products[],2)</f>
        <v>Women's High Heels</v>
      </c>
      <c r="J810" s="24">
        <f>Sales[Total_Amount]</f>
        <v>1113.882</v>
      </c>
      <c r="K810" s="21" t="str">
        <f t="shared" si="1"/>
        <v>Feb</v>
      </c>
      <c r="L810" s="21">
        <f t="shared" si="2"/>
        <v>2025</v>
      </c>
      <c r="N810" s="33"/>
      <c r="O810" s="34"/>
    </row>
    <row r="811" ht="22.5" customHeight="1">
      <c r="A811" s="21" t="s">
        <v>2776</v>
      </c>
      <c r="B811" s="21" t="s">
        <v>437</v>
      </c>
      <c r="C811" s="21" t="str">
        <f t="array" ref="C811">XLOOKUP(B811,Customer[Customer_ID],Customer[Name(Cleaned)])</f>
        <v>Donald Lee</v>
      </c>
      <c r="D811" s="22" t="str">
        <f>VLOOKUP(B811,Customer[#ALL],6)</f>
        <v>Female</v>
      </c>
      <c r="E811" s="23">
        <f>Sales[Order_Date]</f>
        <v>45745</v>
      </c>
      <c r="F811" s="21" t="str">
        <f>Sales[Store_ID]</f>
        <v>STORE5</v>
      </c>
      <c r="G811" s="21" t="str">
        <f t="array" ref="G811">INDEX(Store[Store_Name],MATCH(F811,Store[Store_ID],0))</f>
        <v>Gray Ltd</v>
      </c>
      <c r="H811" s="21" t="str">
        <f>Sales[Product_ID]</f>
        <v>PROD63</v>
      </c>
      <c r="I811" s="21" t="str">
        <f>VLOOKUP(H811,Products[],2)</f>
        <v>Organic Sunscreen Lotion</v>
      </c>
      <c r="J811" s="24">
        <f>Sales[Total_Amount]</f>
        <v>2700.3312</v>
      </c>
      <c r="K811" s="21" t="str">
        <f t="shared" si="1"/>
        <v>Mar</v>
      </c>
      <c r="L811" s="21">
        <f t="shared" si="2"/>
        <v>2025</v>
      </c>
      <c r="N811" s="33"/>
      <c r="O811" s="34"/>
    </row>
    <row r="812" ht="22.5" customHeight="1">
      <c r="A812" s="21" t="s">
        <v>2777</v>
      </c>
      <c r="B812" s="21" t="s">
        <v>108</v>
      </c>
      <c r="C812" s="21" t="str">
        <f t="array" ref="C812">XLOOKUP(B812,Customer[Customer_ID],Customer[Name(Cleaned)])</f>
        <v>Jonathan Steele</v>
      </c>
      <c r="D812" s="22" t="str">
        <f>VLOOKUP(B812,Customer[#ALL],6)</f>
        <v>Male</v>
      </c>
      <c r="E812" s="23">
        <f>Sales[Order_Date]</f>
        <v>45214</v>
      </c>
      <c r="F812" s="21" t="str">
        <f>Sales[Store_ID]</f>
        <v>STORE0</v>
      </c>
      <c r="G812" s="21" t="str">
        <f t="array" ref="G812">INDEX(Store[Store_Name],MATCH(F812,Store[Store_ID],0))</f>
        <v>Rivera-Warner</v>
      </c>
      <c r="H812" s="21" t="str">
        <f>Sales[Product_ID]</f>
        <v>PROD12</v>
      </c>
      <c r="I812" s="21" t="str">
        <f>VLOOKUP(H812,Products[],2)</f>
        <v>Hair Strengthening Shampoo</v>
      </c>
      <c r="J812" s="24">
        <f>Sales[Total_Amount]</f>
        <v>130.932</v>
      </c>
      <c r="K812" s="21" t="str">
        <f t="shared" si="1"/>
        <v>Oct</v>
      </c>
      <c r="L812" s="21">
        <f t="shared" si="2"/>
        <v>2023</v>
      </c>
      <c r="N812" s="33"/>
      <c r="O812" s="34"/>
    </row>
    <row r="813" ht="22.5" customHeight="1">
      <c r="A813" s="21" t="s">
        <v>2778</v>
      </c>
      <c r="B813" s="21" t="s">
        <v>206</v>
      </c>
      <c r="C813" s="21" t="str">
        <f t="array" ref="C813">XLOOKUP(B813,Customer[Customer_ID],Customer[Name(Cleaned)])</f>
        <v>Debra Liu</v>
      </c>
      <c r="D813" s="22" t="str">
        <f>VLOOKUP(B813,Customer[#ALL],6)</f>
        <v>Female</v>
      </c>
      <c r="E813" s="23">
        <f>Sales[Order_Date]</f>
        <v>45547</v>
      </c>
      <c r="F813" s="21" t="str">
        <f>Sales[Store_ID]</f>
        <v>STORE11</v>
      </c>
      <c r="G813" s="21" t="str">
        <f t="array" ref="G813">INDEX(Store[Store_Name],MATCH(F813,Store[Store_ID],0))</f>
        <v>Aguirre-Keller</v>
      </c>
      <c r="H813" s="21" t="str">
        <f>Sales[Product_ID]</f>
        <v>PROD31</v>
      </c>
      <c r="I813" s="21" t="str">
        <f>VLOOKUP(H813,Products[],2)</f>
        <v>Basketball</v>
      </c>
      <c r="J813" s="24">
        <f>Sales[Total_Amount]</f>
        <v>2483.28</v>
      </c>
      <c r="K813" s="21" t="str">
        <f t="shared" si="1"/>
        <v>Sep</v>
      </c>
      <c r="L813" s="21">
        <f t="shared" si="2"/>
        <v>2024</v>
      </c>
      <c r="N813" s="33"/>
      <c r="O813" s="34"/>
    </row>
    <row r="814" ht="22.5" customHeight="1">
      <c r="A814" s="21" t="s">
        <v>2779</v>
      </c>
      <c r="B814" s="21" t="s">
        <v>941</v>
      </c>
      <c r="C814" s="21" t="str">
        <f t="array" ref="C814">XLOOKUP(B814,Customer[Customer_ID],Customer[Name(Cleaned)])</f>
        <v>Ricardo Jones</v>
      </c>
      <c r="D814" s="22" t="str">
        <f>VLOOKUP(B814,Customer[#ALL],6)</f>
        <v>Female</v>
      </c>
      <c r="E814" s="23">
        <f>Sales[Order_Date]</f>
        <v>45296</v>
      </c>
      <c r="F814" s="21" t="str">
        <f>Sales[Store_ID]</f>
        <v>STORE14</v>
      </c>
      <c r="G814" s="21" t="str">
        <f t="array" ref="G814">INDEX(Store[Store_Name],MATCH(F814,Store[Store_ID],0))</f>
        <v>Mcdonald Inc</v>
      </c>
      <c r="H814" s="21" t="str">
        <f>Sales[Product_ID]</f>
        <v>PROD1</v>
      </c>
      <c r="I814" s="21" t="str">
        <f>VLOOKUP(H814,Products[],2)</f>
        <v>Men's Graphic T-Shirt</v>
      </c>
      <c r="J814" s="24">
        <f>Sales[Total_Amount]</f>
        <v>514.3424</v>
      </c>
      <c r="K814" s="21" t="str">
        <f t="shared" si="1"/>
        <v>Jan</v>
      </c>
      <c r="L814" s="21">
        <f t="shared" si="2"/>
        <v>2024</v>
      </c>
      <c r="N814" s="33"/>
      <c r="O814" s="34"/>
    </row>
    <row r="815" ht="22.5" customHeight="1">
      <c r="A815" s="21" t="s">
        <v>2780</v>
      </c>
      <c r="B815" s="21" t="s">
        <v>1508</v>
      </c>
      <c r="C815" s="21" t="str">
        <f t="array" ref="C815">XLOOKUP(B815,Customer[Customer_ID],Customer[Name(Cleaned)])</f>
        <v>Sara Ingram</v>
      </c>
      <c r="D815" s="22" t="str">
        <f>VLOOKUP(B815,Customer[#ALL],6)</f>
        <v>Male</v>
      </c>
      <c r="E815" s="23">
        <f>Sales[Order_Date]</f>
        <v>45314</v>
      </c>
      <c r="F815" s="21" t="str">
        <f>Sales[Store_ID]</f>
        <v>STORE2</v>
      </c>
      <c r="G815" s="21" t="str">
        <f t="array" ref="G815">INDEX(Store[Store_Name],MATCH(F815,Store[Store_ID],0))</f>
        <v>Black-Horn</v>
      </c>
      <c r="H815" s="21" t="str">
        <f>Sales[Product_ID]</f>
        <v>PROD26</v>
      </c>
      <c r="I815" s="21" t="str">
        <f>VLOOKUP(H815,Products[],2)</f>
        <v>Wireless Bluetooth Speaker</v>
      </c>
      <c r="J815" s="24">
        <f>Sales[Total_Amount]</f>
        <v>1068.246</v>
      </c>
      <c r="K815" s="21" t="str">
        <f t="shared" si="1"/>
        <v>Jan</v>
      </c>
      <c r="L815" s="21">
        <f t="shared" si="2"/>
        <v>2024</v>
      </c>
      <c r="N815" s="33"/>
      <c r="O815" s="34"/>
    </row>
    <row r="816" ht="22.5" customHeight="1">
      <c r="A816" s="21" t="s">
        <v>2781</v>
      </c>
      <c r="B816" s="21" t="s">
        <v>1488</v>
      </c>
      <c r="C816" s="21" t="str">
        <f t="array" ref="C816">XLOOKUP(B816,Customer[Customer_ID],Customer[Name(Cleaned)])</f>
        <v>Earl Smith Dds</v>
      </c>
      <c r="D816" s="22" t="str">
        <f>VLOOKUP(B816,Customer[#ALL],6)</f>
        <v>Female</v>
      </c>
      <c r="E816" s="23">
        <f>Sales[Order_Date]</f>
        <v>45549</v>
      </c>
      <c r="F816" s="21" t="str">
        <f>Sales[Store_ID]</f>
        <v>STORE18</v>
      </c>
      <c r="G816" s="21" t="str">
        <f t="array" ref="G816">INDEX(Store[Store_Name],MATCH(F816,Store[Store_ID],0))</f>
        <v>Guerrero-Schmitt</v>
      </c>
      <c r="H816" s="21" t="str">
        <f>Sales[Product_ID]</f>
        <v>PROD31</v>
      </c>
      <c r="I816" s="21" t="str">
        <f>VLOOKUP(H816,Products[],2)</f>
        <v>Basketball</v>
      </c>
      <c r="J816" s="24">
        <f>Sales[Total_Amount]</f>
        <v>973.028</v>
      </c>
      <c r="K816" s="21" t="str">
        <f t="shared" si="1"/>
        <v>Sep</v>
      </c>
      <c r="L816" s="21">
        <f t="shared" si="2"/>
        <v>2024</v>
      </c>
      <c r="N816" s="33"/>
      <c r="O816" s="34"/>
    </row>
    <row r="817" ht="22.5" customHeight="1">
      <c r="A817" s="21" t="s">
        <v>2782</v>
      </c>
      <c r="B817" s="21" t="s">
        <v>723</v>
      </c>
      <c r="C817" s="21" t="str">
        <f t="array" ref="C817">XLOOKUP(B817,Customer[Customer_ID],Customer[Name(Cleaned)])</f>
        <v>Jordan Wells</v>
      </c>
      <c r="D817" s="22" t="str">
        <f>VLOOKUP(B817,Customer[#ALL],6)</f>
        <v>Male</v>
      </c>
      <c r="E817" s="23">
        <f>Sales[Order_Date]</f>
        <v>45231</v>
      </c>
      <c r="F817" s="21" t="str">
        <f>Sales[Store_ID]</f>
        <v>STORE10</v>
      </c>
      <c r="G817" s="21" t="str">
        <f t="array" ref="G817">INDEX(Store[Store_Name],MATCH(F817,Store[Store_ID],0))</f>
        <v>Hill, Wagner and Ballard</v>
      </c>
      <c r="H817" s="21" t="str">
        <f>Sales[Product_ID]</f>
        <v>PROD94</v>
      </c>
      <c r="I817" s="21" t="str">
        <f>VLOOKUP(H817,Products[],2)</f>
        <v>Vitamin E Body Lotion</v>
      </c>
      <c r="J817" s="24">
        <f>Sales[Total_Amount]</f>
        <v>1347.7384</v>
      </c>
      <c r="K817" s="21" t="str">
        <f t="shared" si="1"/>
        <v>Nov</v>
      </c>
      <c r="L817" s="21">
        <f t="shared" si="2"/>
        <v>2023</v>
      </c>
      <c r="N817" s="33"/>
      <c r="O817" s="34"/>
    </row>
    <row r="818" ht="22.5" customHeight="1">
      <c r="A818" s="21" t="s">
        <v>2783</v>
      </c>
      <c r="B818" s="21" t="s">
        <v>213</v>
      </c>
      <c r="C818" s="21" t="str">
        <f t="array" ref="C818">XLOOKUP(B818,Customer[Customer_ID],Customer[Name(Cleaned)])</f>
        <v>Katherine Dorsey</v>
      </c>
      <c r="D818" s="22" t="str">
        <f>VLOOKUP(B818,Customer[#ALL],6)</f>
        <v>Female</v>
      </c>
      <c r="E818" s="23">
        <f>Sales[Order_Date]</f>
        <v>45628</v>
      </c>
      <c r="F818" s="21" t="str">
        <f>Sales[Store_ID]</f>
        <v>STORE18</v>
      </c>
      <c r="G818" s="21" t="str">
        <f t="array" ref="G818">INDEX(Store[Store_Name],MATCH(F818,Store[Store_ID],0))</f>
        <v>Guerrero-Schmitt</v>
      </c>
      <c r="H818" s="21" t="str">
        <f>Sales[Product_ID]</f>
        <v>PROD66</v>
      </c>
      <c r="I818" s="21" t="str">
        <f>VLOOKUP(H818,Products[],2)</f>
        <v>Women's Hair Dryer Brush</v>
      </c>
      <c r="J818" s="24">
        <f>Sales[Total_Amount]</f>
        <v>1624.4892</v>
      </c>
      <c r="K818" s="21" t="str">
        <f t="shared" si="1"/>
        <v>Dec</v>
      </c>
      <c r="L818" s="21">
        <f t="shared" si="2"/>
        <v>2024</v>
      </c>
      <c r="N818" s="33"/>
      <c r="O818" s="34"/>
    </row>
    <row r="819" ht="22.5" customHeight="1">
      <c r="A819" s="21" t="s">
        <v>2784</v>
      </c>
      <c r="B819" s="21" t="s">
        <v>30</v>
      </c>
      <c r="C819" s="21" t="str">
        <f t="array" ref="C819">XLOOKUP(B819,Customer[Customer_ID],Customer[Name(Cleaned)])</f>
        <v>Jeremy Harris</v>
      </c>
      <c r="D819" s="22" t="str">
        <f>VLOOKUP(B819,Customer[#ALL],6)</f>
        <v>Male</v>
      </c>
      <c r="E819" s="23">
        <f>Sales[Order_Date]</f>
        <v>45862</v>
      </c>
      <c r="F819" s="21" t="str">
        <f>Sales[Store_ID]</f>
        <v>STORE9</v>
      </c>
      <c r="G819" s="21" t="str">
        <f t="array" ref="G819">INDEX(Store[Store_Name],MATCH(F819,Store[Store_ID],0))</f>
        <v>Moore, Padilla and Butler</v>
      </c>
      <c r="H819" s="21" t="str">
        <f>Sales[Product_ID]</f>
        <v>PROD12</v>
      </c>
      <c r="I819" s="21" t="str">
        <f>VLOOKUP(H819,Products[],2)</f>
        <v>Hair Strengthening Shampoo</v>
      </c>
      <c r="J819" s="24">
        <f>Sales[Total_Amount]</f>
        <v>428.897</v>
      </c>
      <c r="K819" s="21" t="str">
        <f t="shared" si="1"/>
        <v>Jul</v>
      </c>
      <c r="L819" s="21">
        <f t="shared" si="2"/>
        <v>2025</v>
      </c>
      <c r="N819" s="33"/>
      <c r="O819" s="34"/>
    </row>
    <row r="820" ht="22.5" customHeight="1">
      <c r="A820" s="21" t="s">
        <v>2785</v>
      </c>
      <c r="B820" s="21" t="s">
        <v>672</v>
      </c>
      <c r="C820" s="21" t="str">
        <f t="array" ref="C820">XLOOKUP(B820,Customer[Customer_ID],Customer[Name(Cleaned)])</f>
        <v>Christina Garcia</v>
      </c>
      <c r="D820" s="22" t="str">
        <f>VLOOKUP(B820,Customer[#ALL],6)</f>
        <v>Male</v>
      </c>
      <c r="E820" s="23">
        <f>Sales[Order_Date]</f>
        <v>45843</v>
      </c>
      <c r="F820" s="21" t="str">
        <f>Sales[Store_ID]</f>
        <v>STORE13</v>
      </c>
      <c r="G820" s="21" t="str">
        <f t="array" ref="G820">INDEX(Store[Store_Name],MATCH(F820,Store[Store_ID],0))</f>
        <v>Gardner, Humphrey and Contreras</v>
      </c>
      <c r="H820" s="21" t="str">
        <f>Sales[Product_ID]</f>
        <v>PROD36</v>
      </c>
      <c r="I820" s="21" t="str">
        <f>VLOOKUP(H820,Products[],2)</f>
        <v>Women's Summer Dress</v>
      </c>
      <c r="J820" s="24">
        <f>Sales[Total_Amount]</f>
        <v>303.8114</v>
      </c>
      <c r="K820" s="21" t="str">
        <f t="shared" si="1"/>
        <v>Jul</v>
      </c>
      <c r="L820" s="21">
        <f t="shared" si="2"/>
        <v>2025</v>
      </c>
      <c r="N820" s="33"/>
      <c r="O820" s="34"/>
    </row>
    <row r="821" ht="22.5" customHeight="1">
      <c r="A821" s="21" t="s">
        <v>2786</v>
      </c>
      <c r="B821" s="21" t="s">
        <v>213</v>
      </c>
      <c r="C821" s="21" t="str">
        <f t="array" ref="C821">XLOOKUP(B821,Customer[Customer_ID],Customer[Name(Cleaned)])</f>
        <v>Katherine Dorsey</v>
      </c>
      <c r="D821" s="22" t="str">
        <f>VLOOKUP(B821,Customer[#ALL],6)</f>
        <v>Female</v>
      </c>
      <c r="E821" s="23">
        <f>Sales[Order_Date]</f>
        <v>45482</v>
      </c>
      <c r="F821" s="21" t="str">
        <f>Sales[Store_ID]</f>
        <v>STORE17</v>
      </c>
      <c r="G821" s="21" t="str">
        <f t="array" ref="G821">INDEX(Store[Store_Name],MATCH(F821,Store[Store_ID],0))</f>
        <v>Holloway Ltd</v>
      </c>
      <c r="H821" s="21" t="str">
        <f>Sales[Product_ID]</f>
        <v>PROD93</v>
      </c>
      <c r="I821" s="21" t="str">
        <f>VLOOKUP(H821,Products[],2)</f>
        <v>USB-C Laptop Charger</v>
      </c>
      <c r="J821" s="24">
        <f>Sales[Total_Amount]</f>
        <v>3237.0576</v>
      </c>
      <c r="K821" s="21" t="str">
        <f t="shared" si="1"/>
        <v>Jul</v>
      </c>
      <c r="L821" s="21">
        <f t="shared" si="2"/>
        <v>2024</v>
      </c>
      <c r="N821" s="33"/>
      <c r="O821" s="34"/>
    </row>
    <row r="822" ht="22.5" customHeight="1">
      <c r="A822" s="21" t="s">
        <v>2787</v>
      </c>
      <c r="B822" s="21" t="s">
        <v>413</v>
      </c>
      <c r="C822" s="21" t="str">
        <f t="array" ref="C822">XLOOKUP(B822,Customer[Customer_ID],Customer[Name(Cleaned)])</f>
        <v>Anthony Phillips</v>
      </c>
      <c r="D822" s="22" t="str">
        <f>VLOOKUP(B822,Customer[#ALL],6)</f>
        <v>Male</v>
      </c>
      <c r="E822" s="23">
        <f>Sales[Order_Date]</f>
        <v>45313</v>
      </c>
      <c r="F822" s="21" t="str">
        <f>Sales[Store_ID]</f>
        <v>STORE17</v>
      </c>
      <c r="G822" s="21" t="str">
        <f t="array" ref="G822">INDEX(Store[Store_Name],MATCH(F822,Store[Store_ID],0))</f>
        <v>Holloway Ltd</v>
      </c>
      <c r="H822" s="21" t="str">
        <f>Sales[Product_ID]</f>
        <v>PROD25</v>
      </c>
      <c r="I822" s="21" t="str">
        <f>VLOOKUP(H822,Products[],2)</f>
        <v>Women's Scarf Set</v>
      </c>
      <c r="J822" s="24">
        <f>Sales[Total_Amount]</f>
        <v>2243.3928</v>
      </c>
      <c r="K822" s="21" t="str">
        <f t="shared" si="1"/>
        <v>Jan</v>
      </c>
      <c r="L822" s="21">
        <f t="shared" si="2"/>
        <v>2024</v>
      </c>
      <c r="N822" s="33"/>
      <c r="O822" s="34"/>
    </row>
    <row r="823" ht="22.5" customHeight="1">
      <c r="A823" s="21" t="s">
        <v>2788</v>
      </c>
      <c r="B823" s="21" t="s">
        <v>1095</v>
      </c>
      <c r="C823" s="21" t="str">
        <f t="array" ref="C823">XLOOKUP(B823,Customer[Customer_ID],Customer[Name(Cleaned)])</f>
        <v>Evelyn Brown</v>
      </c>
      <c r="D823" s="22" t="str">
        <f>VLOOKUP(B823,Customer[#ALL],6)</f>
        <v>Female</v>
      </c>
      <c r="E823" s="23">
        <f>Sales[Order_Date]</f>
        <v>45314</v>
      </c>
      <c r="F823" s="21" t="str">
        <f>Sales[Store_ID]</f>
        <v>STORE4</v>
      </c>
      <c r="G823" s="21" t="str">
        <f t="array" ref="G823">INDEX(Store[Store_Name],MATCH(F823,Store[Store_ID],0))</f>
        <v>Alexander Group</v>
      </c>
      <c r="H823" s="21" t="str">
        <f>Sales[Product_ID]</f>
        <v>PROD60</v>
      </c>
      <c r="I823" s="21" t="str">
        <f>VLOOKUP(H823,Products[],2)</f>
        <v>Luxury Perfume Spray</v>
      </c>
      <c r="J823" s="24">
        <f>Sales[Total_Amount]</f>
        <v>72.7996</v>
      </c>
      <c r="K823" s="21" t="str">
        <f t="shared" si="1"/>
        <v>Jan</v>
      </c>
      <c r="L823" s="21">
        <f t="shared" si="2"/>
        <v>2024</v>
      </c>
      <c r="N823" s="33"/>
      <c r="O823" s="34"/>
    </row>
    <row r="824" ht="22.5" customHeight="1">
      <c r="A824" s="21" t="s">
        <v>2789</v>
      </c>
      <c r="B824" s="21" t="s">
        <v>640</v>
      </c>
      <c r="C824" s="21" t="str">
        <f t="array" ref="C824">XLOOKUP(B824,Customer[Customer_ID],Customer[Name(Cleaned)])</f>
        <v>Todd Poole</v>
      </c>
      <c r="D824" s="22" t="str">
        <f>VLOOKUP(B824,Customer[#ALL],6)</f>
        <v>Male</v>
      </c>
      <c r="E824" s="23">
        <f>Sales[Order_Date]</f>
        <v>45526</v>
      </c>
      <c r="F824" s="21" t="str">
        <f>Sales[Store_ID]</f>
        <v>STORE4</v>
      </c>
      <c r="G824" s="21" t="str">
        <f t="array" ref="G824">INDEX(Store[Store_Name],MATCH(F824,Store[Store_ID],0))</f>
        <v>Alexander Group</v>
      </c>
      <c r="H824" s="21" t="str">
        <f>Sales[Product_ID]</f>
        <v>PROD78</v>
      </c>
      <c r="I824" s="21" t="str">
        <f>VLOOKUP(H824,Products[],2)</f>
        <v>Essential Oil Diffuser</v>
      </c>
      <c r="J824" s="24">
        <f>Sales[Total_Amount]</f>
        <v>1744.8368</v>
      </c>
      <c r="K824" s="21" t="str">
        <f t="shared" si="1"/>
        <v>Aug</v>
      </c>
      <c r="L824" s="21">
        <f t="shared" si="2"/>
        <v>2024</v>
      </c>
      <c r="N824" s="33"/>
      <c r="O824" s="34"/>
    </row>
    <row r="825" ht="22.5" customHeight="1">
      <c r="A825" s="21" t="s">
        <v>2790</v>
      </c>
      <c r="B825" s="21" t="s">
        <v>1011</v>
      </c>
      <c r="C825" s="21" t="str">
        <f t="array" ref="C825">XLOOKUP(B825,Customer[Customer_ID],Customer[Name(Cleaned)])</f>
        <v>Robert House</v>
      </c>
      <c r="D825" s="22" t="str">
        <f>VLOOKUP(B825,Customer[#ALL],6)</f>
        <v>Female</v>
      </c>
      <c r="E825" s="23">
        <f>Sales[Order_Date]</f>
        <v>45887</v>
      </c>
      <c r="F825" s="21" t="str">
        <f>Sales[Store_ID]</f>
        <v>STORE0</v>
      </c>
      <c r="G825" s="21" t="str">
        <f t="array" ref="G825">INDEX(Store[Store_Name],MATCH(F825,Store[Store_ID],0))</f>
        <v>Rivera-Warner</v>
      </c>
      <c r="H825" s="21" t="str">
        <f>Sales[Product_ID]</f>
        <v>PROD96</v>
      </c>
      <c r="I825" s="21" t="str">
        <f>VLOOKUP(H825,Products[],2)</f>
        <v>Women's Formal Blazer</v>
      </c>
      <c r="J825" s="24">
        <f>Sales[Total_Amount]</f>
        <v>883.7166</v>
      </c>
      <c r="K825" s="21" t="str">
        <f t="shared" si="1"/>
        <v>Aug</v>
      </c>
      <c r="L825" s="21">
        <f t="shared" si="2"/>
        <v>2025</v>
      </c>
      <c r="N825" s="33"/>
      <c r="O825" s="34"/>
    </row>
    <row r="826" ht="22.5" customHeight="1">
      <c r="A826" s="21" t="s">
        <v>2791</v>
      </c>
      <c r="B826" s="21" t="s">
        <v>944</v>
      </c>
      <c r="C826" s="21" t="str">
        <f t="array" ref="C826">XLOOKUP(B826,Customer[Customer_ID],Customer[Name(Cleaned)])</f>
        <v>Gloria Taylor</v>
      </c>
      <c r="D826" s="22" t="str">
        <f>VLOOKUP(B826,Customer[#ALL],6)</f>
        <v>Male</v>
      </c>
      <c r="E826" s="23">
        <f>Sales[Order_Date]</f>
        <v>45267</v>
      </c>
      <c r="F826" s="21" t="str">
        <f>Sales[Store_ID]</f>
        <v>STORE7</v>
      </c>
      <c r="G826" s="21" t="str">
        <f t="array" ref="G826">INDEX(Store[Store_Name],MATCH(F826,Store[Store_ID],0))</f>
        <v>Martinez-Mullins</v>
      </c>
      <c r="H826" s="21" t="str">
        <f>Sales[Product_ID]</f>
        <v>PROD20</v>
      </c>
      <c r="I826" s="21" t="str">
        <f>VLOOKUP(H826,Products[],2)</f>
        <v>Outdoor Sports Water Bottle</v>
      </c>
      <c r="J826" s="24">
        <f>Sales[Total_Amount]</f>
        <v>2873.864</v>
      </c>
      <c r="K826" s="21" t="str">
        <f t="shared" si="1"/>
        <v>Dec</v>
      </c>
      <c r="L826" s="21">
        <f t="shared" si="2"/>
        <v>2023</v>
      </c>
      <c r="N826" s="33"/>
      <c r="O826" s="34"/>
    </row>
    <row r="827" ht="22.5" customHeight="1">
      <c r="A827" s="21" t="s">
        <v>2792</v>
      </c>
      <c r="B827" s="21" t="s">
        <v>203</v>
      </c>
      <c r="C827" s="21" t="str">
        <f t="array" ref="C827">XLOOKUP(B827,Customer[Customer_ID],Customer[Name(Cleaned)])</f>
        <v>Sarah Rodgers</v>
      </c>
      <c r="D827" s="22" t="str">
        <f>VLOOKUP(B827,Customer[#ALL],6)</f>
        <v>Male</v>
      </c>
      <c r="E827" s="23">
        <f>Sales[Order_Date]</f>
        <v>45562</v>
      </c>
      <c r="F827" s="21" t="str">
        <f>Sales[Store_ID]</f>
        <v>STORE19</v>
      </c>
      <c r="G827" s="21" t="str">
        <f t="array" ref="G827">INDEX(Store[Store_Name],MATCH(F827,Store[Store_ID],0))</f>
        <v>Mann-Austin</v>
      </c>
      <c r="H827" s="21" t="str">
        <f>Sales[Product_ID]</f>
        <v>PROD37</v>
      </c>
      <c r="I827" s="21" t="str">
        <f>VLOOKUP(H827,Products[],2)</f>
        <v>Men's Casual Sneakers</v>
      </c>
      <c r="J827" s="24">
        <f>Sales[Total_Amount]</f>
        <v>1629.7616</v>
      </c>
      <c r="K827" s="21" t="str">
        <f t="shared" si="1"/>
        <v>Sep</v>
      </c>
      <c r="L827" s="21">
        <f t="shared" si="2"/>
        <v>2024</v>
      </c>
      <c r="N827" s="33"/>
      <c r="O827" s="34"/>
    </row>
    <row r="828" ht="22.5" customHeight="1">
      <c r="A828" s="21" t="s">
        <v>2793</v>
      </c>
      <c r="B828" s="21" t="s">
        <v>55</v>
      </c>
      <c r="C828" s="21" t="str">
        <f t="array" ref="C828">XLOOKUP(B828,Customer[Customer_ID],Customer[Name(Cleaned)])</f>
        <v>Ms. Maria Leach</v>
      </c>
      <c r="D828" s="22" t="str">
        <f>VLOOKUP(B828,Customer[#ALL],6)</f>
        <v>Female</v>
      </c>
      <c r="E828" s="23">
        <f>Sales[Order_Date]</f>
        <v>45880</v>
      </c>
      <c r="F828" s="21" t="str">
        <f>Sales[Store_ID]</f>
        <v>STORE2</v>
      </c>
      <c r="G828" s="21" t="str">
        <f t="array" ref="G828">INDEX(Store[Store_Name],MATCH(F828,Store[Store_ID],0))</f>
        <v>Black-Horn</v>
      </c>
      <c r="H828" s="21" t="str">
        <f>Sales[Product_ID]</f>
        <v>PROD96</v>
      </c>
      <c r="I828" s="21" t="str">
        <f>VLOOKUP(H828,Products[],2)</f>
        <v>Women's Formal Blazer</v>
      </c>
      <c r="J828" s="24">
        <f>Sales[Total_Amount]</f>
        <v>1616.2152</v>
      </c>
      <c r="K828" s="21" t="str">
        <f t="shared" si="1"/>
        <v>Aug</v>
      </c>
      <c r="L828" s="21">
        <f t="shared" si="2"/>
        <v>2025</v>
      </c>
      <c r="N828" s="33"/>
      <c r="O828" s="34"/>
    </row>
    <row r="829" ht="22.5" customHeight="1">
      <c r="A829" s="21" t="s">
        <v>2794</v>
      </c>
      <c r="B829" s="21" t="s">
        <v>944</v>
      </c>
      <c r="C829" s="21" t="str">
        <f t="array" ref="C829">XLOOKUP(B829,Customer[Customer_ID],Customer[Name(Cleaned)])</f>
        <v>Gloria Taylor</v>
      </c>
      <c r="D829" s="22" t="str">
        <f>VLOOKUP(B829,Customer[#ALL],6)</f>
        <v>Male</v>
      </c>
      <c r="E829" s="23">
        <f>Sales[Order_Date]</f>
        <v>45556</v>
      </c>
      <c r="F829" s="21" t="str">
        <f>Sales[Store_ID]</f>
        <v>STORE3</v>
      </c>
      <c r="G829" s="21" t="str">
        <f t="array" ref="G829">INDEX(Store[Store_Name],MATCH(F829,Store[Store_ID],0))</f>
        <v>Johnson-Wright</v>
      </c>
      <c r="H829" s="21" t="str">
        <f>Sales[Product_ID]</f>
        <v>PROD73</v>
      </c>
      <c r="I829" s="21" t="str">
        <f>VLOOKUP(H829,Products[],2)</f>
        <v>Shin Guards – Adult</v>
      </c>
      <c r="J829" s="24">
        <f>Sales[Total_Amount]</f>
        <v>24.13</v>
      </c>
      <c r="K829" s="21" t="str">
        <f t="shared" si="1"/>
        <v>Sep</v>
      </c>
      <c r="L829" s="21">
        <f t="shared" si="2"/>
        <v>2024</v>
      </c>
      <c r="N829" s="33"/>
      <c r="O829" s="34"/>
    </row>
    <row r="830" ht="22.5" customHeight="1">
      <c r="A830" s="21" t="s">
        <v>2795</v>
      </c>
      <c r="B830" s="21" t="s">
        <v>1155</v>
      </c>
      <c r="C830" s="21" t="str">
        <f t="array" ref="C830">XLOOKUP(B830,Customer[Customer_ID],Customer[Name(Cleaned)])</f>
        <v>Chloe Aguilar</v>
      </c>
      <c r="D830" s="22" t="str">
        <f>VLOOKUP(B830,Customer[#ALL],6)</f>
        <v>Female</v>
      </c>
      <c r="E830" s="23">
        <f>Sales[Order_Date]</f>
        <v>45355</v>
      </c>
      <c r="F830" s="21" t="str">
        <f>Sales[Store_ID]</f>
        <v>STORE3</v>
      </c>
      <c r="G830" s="21" t="str">
        <f t="array" ref="G830">INDEX(Store[Store_Name],MATCH(F830,Store[Store_ID],0))</f>
        <v>Johnson-Wright</v>
      </c>
      <c r="H830" s="21" t="str">
        <f>Sales[Product_ID]</f>
        <v>PROD41</v>
      </c>
      <c r="I830" s="21" t="str">
        <f>VLOOKUP(H830,Products[],2)</f>
        <v>Yoga Exercise Mat</v>
      </c>
      <c r="J830" s="24">
        <f>Sales[Total_Amount]</f>
        <v>510.2202</v>
      </c>
      <c r="K830" s="21" t="str">
        <f t="shared" si="1"/>
        <v>Mar</v>
      </c>
      <c r="L830" s="21">
        <f t="shared" si="2"/>
        <v>2024</v>
      </c>
      <c r="N830" s="33"/>
      <c r="O830" s="34"/>
    </row>
    <row r="831" ht="22.5" customHeight="1">
      <c r="A831" s="21" t="s">
        <v>2796</v>
      </c>
      <c r="B831" s="21" t="s">
        <v>1500</v>
      </c>
      <c r="C831" s="21" t="str">
        <f t="array" ref="C831">XLOOKUP(B831,Customer[Customer_ID],Customer[Name(Cleaned)])</f>
        <v>Sheri Joyce</v>
      </c>
      <c r="D831" s="22" t="str">
        <f>VLOOKUP(B831,Customer[#ALL],6)</f>
        <v>Female</v>
      </c>
      <c r="E831" s="23">
        <f>Sales[Order_Date]</f>
        <v>45244</v>
      </c>
      <c r="F831" s="21" t="str">
        <f>Sales[Store_ID]</f>
        <v>STORE14</v>
      </c>
      <c r="G831" s="21" t="str">
        <f t="array" ref="G831">INDEX(Store[Store_Name],MATCH(F831,Store[Store_ID],0))</f>
        <v>Mcdonald Inc</v>
      </c>
      <c r="H831" s="21" t="str">
        <f>Sales[Product_ID]</f>
        <v>PROD46</v>
      </c>
      <c r="I831" s="21" t="str">
        <f>VLOOKUP(H831,Products[],2)</f>
        <v>Men's Winter Jacket</v>
      </c>
      <c r="J831" s="24">
        <f>Sales[Total_Amount]</f>
        <v>529.677</v>
      </c>
      <c r="K831" s="21" t="str">
        <f t="shared" si="1"/>
        <v>Nov</v>
      </c>
      <c r="L831" s="21">
        <f t="shared" si="2"/>
        <v>2023</v>
      </c>
      <c r="N831" s="33"/>
      <c r="O831" s="34"/>
    </row>
    <row r="832" ht="22.5" customHeight="1">
      <c r="A832" s="21" t="s">
        <v>2797</v>
      </c>
      <c r="B832" s="21" t="s">
        <v>929</v>
      </c>
      <c r="C832" s="21" t="str">
        <f t="array" ref="C832">XLOOKUP(B832,Customer[Customer_ID],Customer[Name(Cleaned)])</f>
        <v>Misty Ferguson</v>
      </c>
      <c r="D832" s="22" t="str">
        <f>VLOOKUP(B832,Customer[#ALL],6)</f>
        <v>Female</v>
      </c>
      <c r="E832" s="23">
        <f>Sales[Order_Date]</f>
        <v>45863</v>
      </c>
      <c r="F832" s="21" t="str">
        <f>Sales[Store_ID]</f>
        <v>STORE15</v>
      </c>
      <c r="G832" s="21" t="str">
        <f t="array" ref="G832">INDEX(Store[Store_Name],MATCH(F832,Store[Store_ID],0))</f>
        <v>Shelton PLC</v>
      </c>
      <c r="H832" s="21" t="str">
        <f>Sales[Product_ID]</f>
        <v>PROD60</v>
      </c>
      <c r="I832" s="21" t="str">
        <f>VLOOKUP(H832,Products[],2)</f>
        <v>Luxury Perfume Spray</v>
      </c>
      <c r="J832" s="24">
        <f>Sales[Total_Amount]</f>
        <v>102.172</v>
      </c>
      <c r="K832" s="21" t="str">
        <f t="shared" si="1"/>
        <v>Jul</v>
      </c>
      <c r="L832" s="21">
        <f t="shared" si="2"/>
        <v>2025</v>
      </c>
      <c r="N832" s="33"/>
      <c r="O832" s="34"/>
    </row>
    <row r="833" ht="22.5" customHeight="1">
      <c r="A833" s="21" t="s">
        <v>2798</v>
      </c>
      <c r="B833" s="21" t="s">
        <v>368</v>
      </c>
      <c r="C833" s="21" t="str">
        <f t="array" ref="C833">XLOOKUP(B833,Customer[Customer_ID],Customer[Name(Cleaned)])</f>
        <v>Colleen Maynard</v>
      </c>
      <c r="D833" s="22" t="str">
        <f>VLOOKUP(B833,Customer[#ALL],6)</f>
        <v>Female</v>
      </c>
      <c r="E833" s="23">
        <f>Sales[Order_Date]</f>
        <v>45573</v>
      </c>
      <c r="F833" s="21" t="str">
        <f>Sales[Store_ID]</f>
        <v>STORE4</v>
      </c>
      <c r="G833" s="21" t="str">
        <f t="array" ref="G833">INDEX(Store[Store_Name],MATCH(F833,Store[Store_ID],0))</f>
        <v>Alexander Group</v>
      </c>
      <c r="H833" s="21" t="str">
        <f>Sales[Product_ID]</f>
        <v>PROD70</v>
      </c>
      <c r="I833" s="21" t="str">
        <f>VLOOKUP(H833,Products[],2)</f>
        <v>Kitchen Storage Rack</v>
      </c>
      <c r="J833" s="24">
        <f>Sales[Total_Amount]</f>
        <v>2409.8216</v>
      </c>
      <c r="K833" s="21" t="str">
        <f t="shared" si="1"/>
        <v>Oct</v>
      </c>
      <c r="L833" s="21">
        <f t="shared" si="2"/>
        <v>2024</v>
      </c>
      <c r="N833" s="33"/>
      <c r="O833" s="34"/>
    </row>
    <row r="834" ht="22.5" customHeight="1">
      <c r="A834" s="21" t="s">
        <v>2799</v>
      </c>
      <c r="B834" s="21" t="s">
        <v>172</v>
      </c>
      <c r="C834" s="21" t="str">
        <f t="array" ref="C834">XLOOKUP(B834,Customer[Customer_ID],Customer[Name(Cleaned)])</f>
        <v>William Martin</v>
      </c>
      <c r="D834" s="22" t="str">
        <f>VLOOKUP(B834,Customer[#ALL],6)</f>
        <v>Female</v>
      </c>
      <c r="E834" s="23">
        <f>Sales[Order_Date]</f>
        <v>45792</v>
      </c>
      <c r="F834" s="21" t="str">
        <f>Sales[Store_ID]</f>
        <v>STORE11</v>
      </c>
      <c r="G834" s="21" t="str">
        <f t="array" ref="G834">INDEX(Store[Store_Name],MATCH(F834,Store[Store_ID],0))</f>
        <v>Aguirre-Keller</v>
      </c>
      <c r="H834" s="21" t="str">
        <f>Sales[Product_ID]</f>
        <v>PROD64</v>
      </c>
      <c r="I834" s="21" t="str">
        <f>VLOOKUP(H834,Products[],2)</f>
        <v>Matte Lipstick Set</v>
      </c>
      <c r="J834" s="24">
        <f>Sales[Total_Amount]</f>
        <v>1810.8324</v>
      </c>
      <c r="K834" s="21" t="str">
        <f t="shared" si="1"/>
        <v>May</v>
      </c>
      <c r="L834" s="21">
        <f t="shared" si="2"/>
        <v>2025</v>
      </c>
      <c r="N834" s="33"/>
      <c r="O834" s="34"/>
    </row>
    <row r="835" ht="22.5" customHeight="1">
      <c r="A835" s="21" t="s">
        <v>2800</v>
      </c>
      <c r="B835" s="21" t="s">
        <v>1444</v>
      </c>
      <c r="C835" s="21" t="str">
        <f t="array" ref="C835">XLOOKUP(B835,Customer[Customer_ID],Customer[Name(Cleaned)])</f>
        <v>Samantha Lee</v>
      </c>
      <c r="D835" s="22" t="str">
        <f>VLOOKUP(B835,Customer[#ALL],6)</f>
        <v>Male</v>
      </c>
      <c r="E835" s="23">
        <f>Sales[Order_Date]</f>
        <v>45744</v>
      </c>
      <c r="F835" s="21" t="str">
        <f>Sales[Store_ID]</f>
        <v>STORE15</v>
      </c>
      <c r="G835" s="21" t="str">
        <f t="array" ref="G835">INDEX(Store[Store_Name],MATCH(F835,Store[Store_ID],0))</f>
        <v>Shelton PLC</v>
      </c>
      <c r="H835" s="21" t="str">
        <f>Sales[Product_ID]</f>
        <v>PROD31</v>
      </c>
      <c r="I835" s="21" t="str">
        <f>VLOOKUP(H835,Products[],2)</f>
        <v>Basketball</v>
      </c>
      <c r="J835" s="24">
        <f>Sales[Total_Amount]</f>
        <v>50.048</v>
      </c>
      <c r="K835" s="21" t="str">
        <f t="shared" si="1"/>
        <v>Mar</v>
      </c>
      <c r="L835" s="21">
        <f t="shared" si="2"/>
        <v>2025</v>
      </c>
      <c r="N835" s="33"/>
      <c r="O835" s="34"/>
    </row>
    <row r="836" ht="22.5" customHeight="1">
      <c r="A836" s="21" t="s">
        <v>2801</v>
      </c>
      <c r="B836" s="21" t="s">
        <v>1182</v>
      </c>
      <c r="C836" s="21" t="str">
        <f t="array" ref="C836">XLOOKUP(B836,Customer[Customer_ID],Customer[Name(Cleaned)])</f>
        <v>James Orozco</v>
      </c>
      <c r="D836" s="22" t="str">
        <f>VLOOKUP(B836,Customer[#ALL],6)</f>
        <v>Male</v>
      </c>
      <c r="E836" s="23">
        <f>Sales[Order_Date]</f>
        <v>45842</v>
      </c>
      <c r="F836" s="21" t="str">
        <f>Sales[Store_ID]</f>
        <v>STORE6</v>
      </c>
      <c r="G836" s="21" t="str">
        <f t="array" ref="G836">INDEX(Store[Store_Name],MATCH(F836,Store[Store_ID],0))</f>
        <v>Benson-Elliott</v>
      </c>
      <c r="H836" s="21" t="str">
        <f>Sales[Product_ID]</f>
        <v>PROD82</v>
      </c>
      <c r="I836" s="21" t="str">
        <f>VLOOKUP(H836,Products[],2)</f>
        <v>Fitness Resistance Bands</v>
      </c>
      <c r="J836" s="24">
        <f>Sales[Total_Amount]</f>
        <v>1276.6416</v>
      </c>
      <c r="K836" s="21" t="str">
        <f t="shared" si="1"/>
        <v>Jul</v>
      </c>
      <c r="L836" s="21">
        <f t="shared" si="2"/>
        <v>2025</v>
      </c>
      <c r="N836" s="33"/>
      <c r="O836" s="34"/>
    </row>
    <row r="837" ht="22.5" customHeight="1">
      <c r="A837" s="21" t="s">
        <v>2802</v>
      </c>
      <c r="B837" s="21" t="s">
        <v>1194</v>
      </c>
      <c r="C837" s="21" t="str">
        <f t="array" ref="C837">XLOOKUP(B837,Customer[Customer_ID],Customer[Name(Cleaned)])</f>
        <v>Charles Conley</v>
      </c>
      <c r="D837" s="22" t="str">
        <f>VLOOKUP(B837,Customer[#ALL],6)</f>
        <v>Male</v>
      </c>
      <c r="E837" s="23">
        <f>Sales[Order_Date]</f>
        <v>45641</v>
      </c>
      <c r="F837" s="21" t="str">
        <f>Sales[Store_ID]</f>
        <v>STORE1</v>
      </c>
      <c r="G837" s="21" t="str">
        <f t="array" ref="G837">INDEX(Store[Store_Name],MATCH(F837,Store[Store_ID],0))</f>
        <v>Martinez, Adkins and Johnson</v>
      </c>
      <c r="H837" s="21" t="str">
        <f>Sales[Product_ID]</f>
        <v>PROD92</v>
      </c>
      <c r="I837" s="21" t="str">
        <f>VLOOKUP(H837,Products[],2)</f>
        <v>Microwave Oven</v>
      </c>
      <c r="J837" s="24">
        <f>Sales[Total_Amount]</f>
        <v>1217.158</v>
      </c>
      <c r="K837" s="21" t="str">
        <f t="shared" si="1"/>
        <v>Dec</v>
      </c>
      <c r="L837" s="21">
        <f t="shared" si="2"/>
        <v>2024</v>
      </c>
      <c r="N837" s="33"/>
      <c r="O837" s="34"/>
    </row>
    <row r="838" ht="22.5" customHeight="1">
      <c r="A838" s="21" t="s">
        <v>2803</v>
      </c>
      <c r="B838" s="21" t="s">
        <v>78</v>
      </c>
      <c r="C838" s="21" t="str">
        <f t="array" ref="C838">XLOOKUP(B838,Customer[Customer_ID],Customer[Name(Cleaned)])</f>
        <v>Laura Alvarez</v>
      </c>
      <c r="D838" s="22" t="str">
        <f>VLOOKUP(B838,Customer[#ALL],6)</f>
        <v>Male</v>
      </c>
      <c r="E838" s="23">
        <f>Sales[Order_Date]</f>
        <v>45502</v>
      </c>
      <c r="F838" s="21" t="str">
        <f>Sales[Store_ID]</f>
        <v>STORE15</v>
      </c>
      <c r="G838" s="21" t="str">
        <f t="array" ref="G838">INDEX(Store[Store_Name],MATCH(F838,Store[Store_ID],0))</f>
        <v>Shelton PLC</v>
      </c>
      <c r="H838" s="21" t="str">
        <f>Sales[Product_ID]</f>
        <v>PROD64</v>
      </c>
      <c r="I838" s="21" t="str">
        <f>VLOOKUP(H838,Products[],2)</f>
        <v>Matte Lipstick Set</v>
      </c>
      <c r="J838" s="24">
        <f>Sales[Total_Amount]</f>
        <v>1418.3784</v>
      </c>
      <c r="K838" s="21" t="str">
        <f t="shared" si="1"/>
        <v>Jul</v>
      </c>
      <c r="L838" s="21">
        <f t="shared" si="2"/>
        <v>2024</v>
      </c>
      <c r="N838" s="33"/>
      <c r="O838" s="34"/>
    </row>
    <row r="839" ht="22.5" customHeight="1">
      <c r="A839" s="21" t="s">
        <v>2804</v>
      </c>
      <c r="B839" s="21" t="s">
        <v>836</v>
      </c>
      <c r="C839" s="21" t="str">
        <f t="array" ref="C839">XLOOKUP(B839,Customer[Customer_ID],Customer[Name(Cleaned)])</f>
        <v>Christopher David</v>
      </c>
      <c r="D839" s="22" t="str">
        <f>VLOOKUP(B839,Customer[#ALL],6)</f>
        <v>Female</v>
      </c>
      <c r="E839" s="23">
        <f>Sales[Order_Date]</f>
        <v>45296</v>
      </c>
      <c r="F839" s="21" t="str">
        <f>Sales[Store_ID]</f>
        <v>STORE19</v>
      </c>
      <c r="G839" s="21" t="str">
        <f t="array" ref="G839">INDEX(Store[Store_Name],MATCH(F839,Store[Store_ID],0))</f>
        <v>Mann-Austin</v>
      </c>
      <c r="H839" s="21" t="str">
        <f>Sales[Product_ID]</f>
        <v>PROD97</v>
      </c>
      <c r="I839" s="21" t="str">
        <f>VLOOKUP(H839,Products[],2)</f>
        <v>Cricket Bat</v>
      </c>
      <c r="J839" s="24">
        <f>Sales[Total_Amount]</f>
        <v>2031.7928</v>
      </c>
      <c r="K839" s="21" t="str">
        <f t="shared" si="1"/>
        <v>Jan</v>
      </c>
      <c r="L839" s="21">
        <f t="shared" si="2"/>
        <v>2024</v>
      </c>
      <c r="N839" s="33"/>
      <c r="O839" s="34"/>
    </row>
    <row r="840" ht="22.5" customHeight="1">
      <c r="A840" s="21" t="s">
        <v>2805</v>
      </c>
      <c r="B840" s="21" t="s">
        <v>203</v>
      </c>
      <c r="C840" s="21" t="str">
        <f t="array" ref="C840">XLOOKUP(B840,Customer[Customer_ID],Customer[Name(Cleaned)])</f>
        <v>Sarah Rodgers</v>
      </c>
      <c r="D840" s="22" t="str">
        <f>VLOOKUP(B840,Customer[#ALL],6)</f>
        <v>Male</v>
      </c>
      <c r="E840" s="23">
        <f>Sales[Order_Date]</f>
        <v>45886</v>
      </c>
      <c r="F840" s="21" t="str">
        <f>Sales[Store_ID]</f>
        <v>STORE4</v>
      </c>
      <c r="G840" s="21" t="str">
        <f t="array" ref="G840">INDEX(Store[Store_Name],MATCH(F840,Store[Store_ID],0))</f>
        <v>Alexander Group</v>
      </c>
      <c r="H840" s="21" t="str">
        <f>Sales[Product_ID]</f>
        <v>PROD12</v>
      </c>
      <c r="I840" s="21" t="str">
        <f>VLOOKUP(H840,Products[],2)</f>
        <v>Hair Strengthening Shampoo</v>
      </c>
      <c r="J840" s="24">
        <f>Sales[Total_Amount]</f>
        <v>2407.0584</v>
      </c>
      <c r="K840" s="21" t="str">
        <f t="shared" si="1"/>
        <v>Aug</v>
      </c>
      <c r="L840" s="21">
        <f t="shared" si="2"/>
        <v>2025</v>
      </c>
      <c r="N840" s="33"/>
      <c r="O840" s="34"/>
    </row>
    <row r="841" ht="22.5" customHeight="1">
      <c r="A841" s="21" t="s">
        <v>2806</v>
      </c>
      <c r="B841" s="21" t="s">
        <v>329</v>
      </c>
      <c r="C841" s="21" t="str">
        <f t="array" ref="C841">XLOOKUP(B841,Customer[Customer_ID],Customer[Name(Cleaned)])</f>
        <v>Jamie Yoder</v>
      </c>
      <c r="D841" s="22" t="str">
        <f>VLOOKUP(B841,Customer[#ALL],6)</f>
        <v>Female</v>
      </c>
      <c r="E841" s="23">
        <f>Sales[Order_Date]</f>
        <v>45425</v>
      </c>
      <c r="F841" s="21" t="str">
        <f>Sales[Store_ID]</f>
        <v>STORE1</v>
      </c>
      <c r="G841" s="21" t="str">
        <f t="array" ref="G841">INDEX(Store[Store_Name],MATCH(F841,Store[Store_ID],0))</f>
        <v>Martinez, Adkins and Johnson</v>
      </c>
      <c r="H841" s="21" t="str">
        <f>Sales[Product_ID]</f>
        <v>PROD39</v>
      </c>
      <c r="I841" s="21" t="str">
        <f>VLOOKUP(H841,Products[],2)</f>
        <v>Portable Power Bank</v>
      </c>
      <c r="J841" s="24">
        <f>Sales[Total_Amount]</f>
        <v>1058.16</v>
      </c>
      <c r="K841" s="21" t="str">
        <f t="shared" si="1"/>
        <v>May</v>
      </c>
      <c r="L841" s="21">
        <f t="shared" si="2"/>
        <v>2024</v>
      </c>
      <c r="N841" s="33"/>
      <c r="O841" s="34"/>
    </row>
    <row r="842" ht="22.5" customHeight="1">
      <c r="A842" s="21" t="s">
        <v>2807</v>
      </c>
      <c r="B842" s="21" t="s">
        <v>585</v>
      </c>
      <c r="C842" s="21" t="str">
        <f t="array" ref="C842">XLOOKUP(B842,Customer[Customer_ID],Customer[Name(Cleaned)])</f>
        <v>Teresa Stokes</v>
      </c>
      <c r="D842" s="22" t="str">
        <f>VLOOKUP(B842,Customer[#ALL],6)</f>
        <v>Male</v>
      </c>
      <c r="E842" s="23">
        <f>Sales[Order_Date]</f>
        <v>45797</v>
      </c>
      <c r="F842" s="21" t="str">
        <f>Sales[Store_ID]</f>
        <v>STORE12</v>
      </c>
      <c r="G842" s="21" t="str">
        <f t="array" ref="G842">INDEX(Store[Store_Name],MATCH(F842,Store[Store_ID],0))</f>
        <v>Thomas, Bridges and Harris</v>
      </c>
      <c r="H842" s="21" t="str">
        <f>Sales[Product_ID]</f>
        <v>PROD11</v>
      </c>
      <c r="I842" s="21" t="str">
        <f>VLOOKUP(H842,Products[],2)</f>
        <v>Men's Graphic T-Shirt</v>
      </c>
      <c r="J842" s="24">
        <f>Sales[Total_Amount]</f>
        <v>380.8458</v>
      </c>
      <c r="K842" s="21" t="str">
        <f t="shared" si="1"/>
        <v>May</v>
      </c>
      <c r="L842" s="21">
        <f t="shared" si="2"/>
        <v>2025</v>
      </c>
      <c r="N842" s="33"/>
      <c r="O842" s="34"/>
    </row>
    <row r="843" ht="22.5" customHeight="1">
      <c r="A843" s="21" t="s">
        <v>2808</v>
      </c>
      <c r="B843" s="21" t="s">
        <v>755</v>
      </c>
      <c r="C843" s="21" t="str">
        <f t="array" ref="C843">XLOOKUP(B843,Customer[Customer_ID],Customer[Name(Cleaned)])</f>
        <v>Timothy Sanders</v>
      </c>
      <c r="D843" s="22" t="str">
        <f>VLOOKUP(B843,Customer[#ALL],6)</f>
        <v>Female</v>
      </c>
      <c r="E843" s="23">
        <f>Sales[Order_Date]</f>
        <v>45898</v>
      </c>
      <c r="F843" s="21" t="str">
        <f>Sales[Store_ID]</f>
        <v>STORE11</v>
      </c>
      <c r="G843" s="21" t="str">
        <f t="array" ref="G843">INDEX(Store[Store_Name],MATCH(F843,Store[Store_ID],0))</f>
        <v>Aguirre-Keller</v>
      </c>
      <c r="H843" s="21" t="str">
        <f>Sales[Product_ID]</f>
        <v>PROD66</v>
      </c>
      <c r="I843" s="21" t="str">
        <f>VLOOKUP(H843,Products[],2)</f>
        <v>Women's Hair Dryer Brush</v>
      </c>
      <c r="J843" s="24">
        <f>Sales[Total_Amount]</f>
        <v>865.0363</v>
      </c>
      <c r="K843" s="21" t="str">
        <f t="shared" si="1"/>
        <v>Aug</v>
      </c>
      <c r="L843" s="21">
        <f t="shared" si="2"/>
        <v>2025</v>
      </c>
      <c r="N843" s="33"/>
      <c r="O843" s="34"/>
    </row>
    <row r="844" ht="22.5" customHeight="1">
      <c r="A844" s="21" t="s">
        <v>2809</v>
      </c>
      <c r="B844" s="21" t="s">
        <v>1107</v>
      </c>
      <c r="C844" s="21" t="str">
        <f t="array" ref="C844">XLOOKUP(B844,Customer[Customer_ID],Customer[Name(Cleaned)])</f>
        <v>Sherry Cabrera</v>
      </c>
      <c r="D844" s="22" t="str">
        <f>VLOOKUP(B844,Customer[#ALL],6)</f>
        <v>Female</v>
      </c>
      <c r="E844" s="23">
        <f>Sales[Order_Date]</f>
        <v>45390</v>
      </c>
      <c r="F844" s="21" t="str">
        <f>Sales[Store_ID]</f>
        <v>STORE17</v>
      </c>
      <c r="G844" s="21" t="str">
        <f t="array" ref="G844">INDEX(Store[Store_Name],MATCH(F844,Store[Store_ID],0))</f>
        <v>Holloway Ltd</v>
      </c>
      <c r="H844" s="21" t="str">
        <f>Sales[Product_ID]</f>
        <v>PROD89</v>
      </c>
      <c r="I844" s="21" t="str">
        <f>VLOOKUP(H844,Products[],2)</f>
        <v>Face Foundation Kit</v>
      </c>
      <c r="J844" s="24">
        <f>Sales[Total_Amount]</f>
        <v>649.605</v>
      </c>
      <c r="K844" s="21" t="str">
        <f t="shared" si="1"/>
        <v>Apr</v>
      </c>
      <c r="L844" s="21">
        <f t="shared" si="2"/>
        <v>2024</v>
      </c>
      <c r="N844" s="33"/>
      <c r="O844" s="34"/>
    </row>
    <row r="845" ht="22.5" customHeight="1">
      <c r="A845" s="21" t="s">
        <v>2810</v>
      </c>
      <c r="B845" s="21" t="s">
        <v>66</v>
      </c>
      <c r="C845" s="21" t="str">
        <f t="array" ref="C845">XLOOKUP(B845,Customer[Customer_ID],Customer[Name(Cleaned)])</f>
        <v>Kenneth Lambert</v>
      </c>
      <c r="D845" s="22" t="str">
        <f>VLOOKUP(B845,Customer[#ALL],6)</f>
        <v>Male</v>
      </c>
      <c r="E845" s="23">
        <f>Sales[Order_Date]</f>
        <v>45355</v>
      </c>
      <c r="F845" s="21" t="str">
        <f>Sales[Store_ID]</f>
        <v>STORE19</v>
      </c>
      <c r="G845" s="21" t="str">
        <f t="array" ref="G845">INDEX(Store[Store_Name],MATCH(F845,Store[Store_ID],0))</f>
        <v>Mann-Austin</v>
      </c>
      <c r="H845" s="21" t="str">
        <f>Sales[Product_ID]</f>
        <v>PROD66</v>
      </c>
      <c r="I845" s="21" t="str">
        <f>VLOOKUP(H845,Products[],2)</f>
        <v>Women's Hair Dryer Brush</v>
      </c>
      <c r="J845" s="24">
        <f>Sales[Total_Amount]</f>
        <v>1748.5209</v>
      </c>
      <c r="K845" s="21" t="str">
        <f t="shared" si="1"/>
        <v>Mar</v>
      </c>
      <c r="L845" s="21">
        <f t="shared" si="2"/>
        <v>2024</v>
      </c>
      <c r="N845" s="33"/>
      <c r="O845" s="34"/>
    </row>
    <row r="846" ht="22.5" customHeight="1">
      <c r="A846" s="21" t="s">
        <v>2811</v>
      </c>
      <c r="B846" s="21" t="s">
        <v>286</v>
      </c>
      <c r="C846" s="21" t="str">
        <f t="array" ref="C846">XLOOKUP(B846,Customer[Customer_ID],Customer[Name(Cleaned)])</f>
        <v>Nathan Campbell</v>
      </c>
      <c r="D846" s="22" t="str">
        <f>VLOOKUP(B846,Customer[#ALL],6)</f>
        <v>Female</v>
      </c>
      <c r="E846" s="23">
        <f>Sales[Order_Date]</f>
        <v>45916</v>
      </c>
      <c r="F846" s="21" t="str">
        <f>Sales[Store_ID]</f>
        <v>STORE0</v>
      </c>
      <c r="G846" s="21" t="str">
        <f t="array" ref="G846">INDEX(Store[Store_Name],MATCH(F846,Store[Store_ID],0))</f>
        <v>Rivera-Warner</v>
      </c>
      <c r="H846" s="21" t="str">
        <f>Sales[Product_ID]</f>
        <v>PROD36</v>
      </c>
      <c r="I846" s="21" t="str">
        <f>VLOOKUP(H846,Products[],2)</f>
        <v>Women's Summer Dress</v>
      </c>
      <c r="J846" s="24">
        <f>Sales[Total_Amount]</f>
        <v>609.4584</v>
      </c>
      <c r="K846" s="21" t="str">
        <f t="shared" si="1"/>
        <v>Sep</v>
      </c>
      <c r="L846" s="21">
        <f t="shared" si="2"/>
        <v>2025</v>
      </c>
      <c r="N846" s="33"/>
      <c r="O846" s="34"/>
    </row>
    <row r="847" ht="22.5" customHeight="1">
      <c r="A847" s="21" t="s">
        <v>2812</v>
      </c>
      <c r="B847" s="21" t="s">
        <v>70</v>
      </c>
      <c r="C847" s="21" t="str">
        <f t="array" ref="C847">XLOOKUP(B847,Customer[Customer_ID],Customer[Name(Cleaned)])</f>
        <v>Nathan Hernandez</v>
      </c>
      <c r="D847" s="22" t="str">
        <f>VLOOKUP(B847,Customer[#ALL],6)</f>
        <v>Male</v>
      </c>
      <c r="E847" s="23">
        <f>Sales[Order_Date]</f>
        <v>45448</v>
      </c>
      <c r="F847" s="21" t="str">
        <f>Sales[Store_ID]</f>
        <v>STORE17</v>
      </c>
      <c r="G847" s="21" t="str">
        <f t="array" ref="G847">INDEX(Store[Store_Name],MATCH(F847,Store[Store_ID],0))</f>
        <v>Holloway Ltd</v>
      </c>
      <c r="H847" s="21" t="str">
        <f>Sales[Product_ID]</f>
        <v>PROD14</v>
      </c>
      <c r="I847" s="21" t="str">
        <f>VLOOKUP(H847,Products[],2)</f>
        <v>Decorative Wall Mirror</v>
      </c>
      <c r="J847" s="24">
        <f>Sales[Total_Amount]</f>
        <v>2922.2952</v>
      </c>
      <c r="K847" s="21" t="str">
        <f t="shared" si="1"/>
        <v>Jun</v>
      </c>
      <c r="L847" s="21">
        <f t="shared" si="2"/>
        <v>2024</v>
      </c>
      <c r="N847" s="33"/>
      <c r="O847" s="34"/>
    </row>
    <row r="848" ht="22.5" customHeight="1">
      <c r="A848" s="21" t="s">
        <v>2813</v>
      </c>
      <c r="B848" s="21" t="s">
        <v>450</v>
      </c>
      <c r="C848" s="21" t="str">
        <f t="array" ref="C848">XLOOKUP(B848,Customer[Customer_ID],Customer[Name(Cleaned)])</f>
        <v>Susan Mcdonald</v>
      </c>
      <c r="D848" s="22" t="str">
        <f>VLOOKUP(B848,Customer[#ALL],6)</f>
        <v>Female</v>
      </c>
      <c r="E848" s="23">
        <f>Sales[Order_Date]</f>
        <v>45371</v>
      </c>
      <c r="F848" s="21" t="str">
        <f>Sales[Store_ID]</f>
        <v>STORE15</v>
      </c>
      <c r="G848" s="21" t="str">
        <f t="array" ref="G848">INDEX(Store[Store_Name],MATCH(F848,Store[Store_ID],0))</f>
        <v>Shelton PLC</v>
      </c>
      <c r="H848" s="21" t="str">
        <f>Sales[Product_ID]</f>
        <v>PROD25</v>
      </c>
      <c r="I848" s="21" t="str">
        <f>VLOOKUP(H848,Products[],2)</f>
        <v>Women's Scarf Set</v>
      </c>
      <c r="J848" s="24">
        <f>Sales[Total_Amount]</f>
        <v>617.292</v>
      </c>
      <c r="K848" s="21" t="str">
        <f t="shared" si="1"/>
        <v>Mar</v>
      </c>
      <c r="L848" s="21">
        <f t="shared" si="2"/>
        <v>2024</v>
      </c>
      <c r="N848" s="33"/>
      <c r="O848" s="34"/>
    </row>
    <row r="849" ht="22.5" customHeight="1">
      <c r="A849" s="21" t="s">
        <v>2814</v>
      </c>
      <c r="B849" s="21" t="s">
        <v>534</v>
      </c>
      <c r="C849" s="21" t="str">
        <f t="array" ref="C849">XLOOKUP(B849,Customer[Customer_ID],Customer[Name(Cleaned)])</f>
        <v>Maria Sanchez</v>
      </c>
      <c r="D849" s="22" t="str">
        <f>VLOOKUP(B849,Customer[#ALL],6)</f>
        <v>Female</v>
      </c>
      <c r="E849" s="23">
        <f>Sales[Order_Date]</f>
        <v>45402</v>
      </c>
      <c r="F849" s="21" t="str">
        <f>Sales[Store_ID]</f>
        <v>STORE15</v>
      </c>
      <c r="G849" s="21" t="str">
        <f t="array" ref="G849">INDEX(Store[Store_Name],MATCH(F849,Store[Store_ID],0))</f>
        <v>Shelton PLC</v>
      </c>
      <c r="H849" s="21" t="str">
        <f>Sales[Product_ID]</f>
        <v>PROD62</v>
      </c>
      <c r="I849" s="21" t="str">
        <f>VLOOKUP(H849,Products[],2)</f>
        <v>Laptop Cooling Pad</v>
      </c>
      <c r="J849" s="24">
        <f>Sales[Total_Amount]</f>
        <v>545.6808</v>
      </c>
      <c r="K849" s="21" t="str">
        <f t="shared" si="1"/>
        <v>Apr</v>
      </c>
      <c r="L849" s="21">
        <f t="shared" si="2"/>
        <v>2024</v>
      </c>
      <c r="N849" s="33"/>
      <c r="O849" s="34"/>
    </row>
    <row r="850" ht="22.5" customHeight="1">
      <c r="A850" s="21" t="s">
        <v>2815</v>
      </c>
      <c r="B850" s="21" t="s">
        <v>830</v>
      </c>
      <c r="C850" s="21" t="str">
        <f t="array" ref="C850">XLOOKUP(B850,Customer[Customer_ID],Customer[Name(Cleaned)])</f>
        <v>Damon Perez</v>
      </c>
      <c r="D850" s="22" t="str">
        <f>VLOOKUP(B850,Customer[#ALL],6)</f>
        <v>Female</v>
      </c>
      <c r="E850" s="23">
        <f>Sales[Order_Date]</f>
        <v>45581</v>
      </c>
      <c r="F850" s="21" t="str">
        <f>Sales[Store_ID]</f>
        <v>STORE19</v>
      </c>
      <c r="G850" s="21" t="str">
        <f t="array" ref="G850">INDEX(Store[Store_Name],MATCH(F850,Store[Store_ID],0))</f>
        <v>Mann-Austin</v>
      </c>
      <c r="H850" s="21" t="str">
        <f>Sales[Product_ID]</f>
        <v>PROD79</v>
      </c>
      <c r="I850" s="21" t="str">
        <f>VLOOKUP(H850,Products[],2)</f>
        <v>Decorative Lamp Shade</v>
      </c>
      <c r="J850" s="24">
        <f>Sales[Total_Amount]</f>
        <v>99.2692</v>
      </c>
      <c r="K850" s="21" t="str">
        <f t="shared" si="1"/>
        <v>Oct</v>
      </c>
      <c r="L850" s="21">
        <f t="shared" si="2"/>
        <v>2024</v>
      </c>
      <c r="N850" s="33"/>
      <c r="O850" s="34"/>
    </row>
    <row r="851" ht="22.5" customHeight="1">
      <c r="A851" s="21" t="s">
        <v>2816</v>
      </c>
      <c r="B851" s="21" t="s">
        <v>213</v>
      </c>
      <c r="C851" s="21" t="str">
        <f t="array" ref="C851">XLOOKUP(B851,Customer[Customer_ID],Customer[Name(Cleaned)])</f>
        <v>Katherine Dorsey</v>
      </c>
      <c r="D851" s="22" t="str">
        <f>VLOOKUP(B851,Customer[#ALL],6)</f>
        <v>Female</v>
      </c>
      <c r="E851" s="23">
        <f>Sales[Order_Date]</f>
        <v>45610</v>
      </c>
      <c r="F851" s="21" t="str">
        <f>Sales[Store_ID]</f>
        <v>STORE13</v>
      </c>
      <c r="G851" s="21" t="str">
        <f t="array" ref="G851">INDEX(Store[Store_Name],MATCH(F851,Store[Store_ID],0))</f>
        <v>Gardner, Humphrey and Contreras</v>
      </c>
      <c r="H851" s="21" t="str">
        <f>Sales[Product_ID]</f>
        <v>PROD84</v>
      </c>
      <c r="I851" s="21" t="str">
        <f>VLOOKUP(H851,Products[],2)</f>
        <v>Wooden Bookshelf</v>
      </c>
      <c r="J851" s="24">
        <f>Sales[Total_Amount]</f>
        <v>1025.85</v>
      </c>
      <c r="K851" s="21" t="str">
        <f t="shared" si="1"/>
        <v>Nov</v>
      </c>
      <c r="L851" s="21">
        <f t="shared" si="2"/>
        <v>2024</v>
      </c>
      <c r="N851" s="33"/>
      <c r="O851" s="34"/>
    </row>
    <row r="852" ht="22.5" customHeight="1">
      <c r="A852" s="21" t="s">
        <v>2817</v>
      </c>
      <c r="B852" s="21" t="s">
        <v>914</v>
      </c>
      <c r="C852" s="21" t="str">
        <f t="array" ref="C852">XLOOKUP(B852,Customer[Customer_ID],Customer[Name(Cleaned)])</f>
        <v>Bryan Garcia</v>
      </c>
      <c r="D852" s="22" t="str">
        <f>VLOOKUP(B852,Customer[#ALL],6)</f>
        <v>Male</v>
      </c>
      <c r="E852" s="23">
        <f>Sales[Order_Date]</f>
        <v>45438</v>
      </c>
      <c r="F852" s="21" t="str">
        <f>Sales[Store_ID]</f>
        <v>STORE16</v>
      </c>
      <c r="G852" s="21" t="str">
        <f t="array" ref="G852">INDEX(Store[Store_Name],MATCH(F852,Store[Store_ID],0))</f>
        <v>Frederick-Wright</v>
      </c>
      <c r="H852" s="21" t="str">
        <f>Sales[Product_ID]</f>
        <v>PROD22</v>
      </c>
      <c r="I852" s="21" t="str">
        <f>VLOOKUP(H852,Products[],2)</f>
        <v>Carbon Fiber Tennis Racket</v>
      </c>
      <c r="J852" s="24">
        <f>Sales[Total_Amount]</f>
        <v>1140.456</v>
      </c>
      <c r="K852" s="21" t="str">
        <f t="shared" si="1"/>
        <v>May</v>
      </c>
      <c r="L852" s="21">
        <f t="shared" si="2"/>
        <v>2024</v>
      </c>
      <c r="N852" s="33"/>
      <c r="O852" s="34"/>
    </row>
    <row r="853" ht="22.5" customHeight="1">
      <c r="A853" s="21" t="s">
        <v>2818</v>
      </c>
      <c r="B853" s="21" t="s">
        <v>410</v>
      </c>
      <c r="C853" s="21" t="str">
        <f t="array" ref="C853">XLOOKUP(B853,Customer[Customer_ID],Customer[Name(Cleaned)])</f>
        <v>Tyler Conrad</v>
      </c>
      <c r="D853" s="22" t="str">
        <f>VLOOKUP(B853,Customer[#ALL],6)</f>
        <v>Male</v>
      </c>
      <c r="E853" s="23">
        <f>Sales[Order_Date]</f>
        <v>45705</v>
      </c>
      <c r="F853" s="21" t="str">
        <f>Sales[Store_ID]</f>
        <v>STORE17</v>
      </c>
      <c r="G853" s="21" t="str">
        <f t="array" ref="G853">INDEX(Store[Store_Name],MATCH(F853,Store[Store_ID],0))</f>
        <v>Holloway Ltd</v>
      </c>
      <c r="H853" s="21" t="str">
        <f>Sales[Product_ID]</f>
        <v>PROD28</v>
      </c>
      <c r="I853" s="21" t="str">
        <f>VLOOKUP(H853,Products[],2)</f>
        <v>Sports Stopwatch Timer</v>
      </c>
      <c r="J853" s="24">
        <f>Sales[Total_Amount]</f>
        <v>508.8864</v>
      </c>
      <c r="K853" s="21" t="str">
        <f t="shared" si="1"/>
        <v>Feb</v>
      </c>
      <c r="L853" s="21">
        <f t="shared" si="2"/>
        <v>2025</v>
      </c>
      <c r="N853" s="33"/>
      <c r="O853" s="34"/>
    </row>
    <row r="854" ht="22.5" customHeight="1">
      <c r="A854" s="21" t="s">
        <v>2819</v>
      </c>
      <c r="B854" s="21" t="s">
        <v>183</v>
      </c>
      <c r="C854" s="21" t="str">
        <f t="array" ref="C854">XLOOKUP(B854,Customer[Customer_ID],Customer[Name(Cleaned)])</f>
        <v>Jordan Jackson Dds</v>
      </c>
      <c r="D854" s="22" t="str">
        <f>VLOOKUP(B854,Customer[#ALL],6)</f>
        <v>Female</v>
      </c>
      <c r="E854" s="23">
        <f>Sales[Order_Date]</f>
        <v>45695</v>
      </c>
      <c r="F854" s="21" t="str">
        <f>Sales[Store_ID]</f>
        <v>STORE0</v>
      </c>
      <c r="G854" s="21" t="str">
        <f t="array" ref="G854">INDEX(Store[Store_Name],MATCH(F854,Store[Store_ID],0))</f>
        <v>Rivera-Warner</v>
      </c>
      <c r="H854" s="21" t="str">
        <f>Sales[Product_ID]</f>
        <v>PROD25</v>
      </c>
      <c r="I854" s="21" t="str">
        <f>VLOOKUP(H854,Products[],2)</f>
        <v>Women's Scarf Set</v>
      </c>
      <c r="J854" s="24">
        <f>Sales[Total_Amount]</f>
        <v>1181.7432</v>
      </c>
      <c r="K854" s="21" t="str">
        <f t="shared" si="1"/>
        <v>Feb</v>
      </c>
      <c r="L854" s="21">
        <f t="shared" si="2"/>
        <v>2025</v>
      </c>
      <c r="N854" s="33"/>
      <c r="O854" s="34"/>
    </row>
    <row r="855" ht="22.5" customHeight="1">
      <c r="A855" s="21" t="s">
        <v>2820</v>
      </c>
      <c r="B855" s="21" t="s">
        <v>1368</v>
      </c>
      <c r="C855" s="21" t="str">
        <f t="array" ref="C855">XLOOKUP(B855,Customer[Customer_ID],Customer[Name(Cleaned)])</f>
        <v>Sharon Simpson</v>
      </c>
      <c r="D855" s="22" t="str">
        <f>VLOOKUP(B855,Customer[#ALL],6)</f>
        <v>Female</v>
      </c>
      <c r="E855" s="23">
        <f>Sales[Order_Date]</f>
        <v>45571</v>
      </c>
      <c r="F855" s="21" t="str">
        <f>Sales[Store_ID]</f>
        <v>STORE8</v>
      </c>
      <c r="G855" s="21" t="str">
        <f t="array" ref="G855">INDEX(Store[Store_Name],MATCH(F855,Store[Store_ID],0))</f>
        <v>Bean, Jones and Park</v>
      </c>
      <c r="H855" s="21" t="str">
        <f>Sales[Product_ID]</f>
        <v>PROD19</v>
      </c>
      <c r="I855" s="21" t="str">
        <f>VLOOKUP(H855,Products[],2)</f>
        <v>Knee Support Brace</v>
      </c>
      <c r="J855" s="24">
        <f>Sales[Total_Amount]</f>
        <v>1566.5664</v>
      </c>
      <c r="K855" s="21" t="str">
        <f t="shared" si="1"/>
        <v>Oct</v>
      </c>
      <c r="L855" s="21">
        <f t="shared" si="2"/>
        <v>2024</v>
      </c>
      <c r="N855" s="33"/>
      <c r="O855" s="34"/>
    </row>
    <row r="856" ht="22.5" customHeight="1">
      <c r="A856" s="21" t="s">
        <v>2821</v>
      </c>
      <c r="B856" s="21" t="s">
        <v>821</v>
      </c>
      <c r="C856" s="21" t="str">
        <f t="array" ref="C856">XLOOKUP(B856,Customer[Customer_ID],Customer[Name(Cleaned)])</f>
        <v>John Mccoy</v>
      </c>
      <c r="D856" s="22" t="str">
        <f>VLOOKUP(B856,Customer[#ALL],6)</f>
        <v>Female</v>
      </c>
      <c r="E856" s="23">
        <f>Sales[Order_Date]</f>
        <v>45544</v>
      </c>
      <c r="F856" s="21" t="str">
        <f>Sales[Store_ID]</f>
        <v>STORE16</v>
      </c>
      <c r="G856" s="21" t="str">
        <f t="array" ref="G856">INDEX(Store[Store_Name],MATCH(F856,Store[Store_ID],0))</f>
        <v>Frederick-Wright</v>
      </c>
      <c r="H856" s="21" t="str">
        <f>Sales[Product_ID]</f>
        <v>PROD13</v>
      </c>
      <c r="I856" s="21" t="str">
        <f>VLOOKUP(H856,Products[],2)</f>
        <v>USB-C Fast Charger</v>
      </c>
      <c r="J856" s="24">
        <f>Sales[Total_Amount]</f>
        <v>568.6148</v>
      </c>
      <c r="K856" s="21" t="str">
        <f t="shared" si="1"/>
        <v>Sep</v>
      </c>
      <c r="L856" s="21">
        <f t="shared" si="2"/>
        <v>2024</v>
      </c>
      <c r="N856" s="33"/>
      <c r="O856" s="34"/>
    </row>
    <row r="857" ht="22.5" customHeight="1">
      <c r="A857" s="21" t="s">
        <v>2822</v>
      </c>
      <c r="B857" s="21" t="s">
        <v>1532</v>
      </c>
      <c r="C857" s="21" t="str">
        <f t="array" ref="C857">XLOOKUP(B857,Customer[Customer_ID],Customer[Name(Cleaned)])</f>
        <v>Amanda Powell</v>
      </c>
      <c r="D857" s="22" t="str">
        <f>VLOOKUP(B857,Customer[#ALL],6)</f>
        <v>Female</v>
      </c>
      <c r="E857" s="23">
        <f>Sales[Order_Date]</f>
        <v>45654</v>
      </c>
      <c r="F857" s="21" t="str">
        <f>Sales[Store_ID]</f>
        <v>STORE6</v>
      </c>
      <c r="G857" s="21" t="str">
        <f t="array" ref="G857">INDEX(Store[Store_Name],MATCH(F857,Store[Store_ID],0))</f>
        <v>Benson-Elliott</v>
      </c>
      <c r="H857" s="21" t="str">
        <f>Sales[Product_ID]</f>
        <v>PROD22</v>
      </c>
      <c r="I857" s="21" t="str">
        <f>VLOOKUP(H857,Products[],2)</f>
        <v>Carbon Fiber Tennis Racket</v>
      </c>
      <c r="J857" s="24">
        <f>Sales[Total_Amount]</f>
        <v>1208.2028</v>
      </c>
      <c r="K857" s="21" t="str">
        <f t="shared" si="1"/>
        <v>Dec</v>
      </c>
      <c r="L857" s="21">
        <f t="shared" si="2"/>
        <v>2024</v>
      </c>
      <c r="N857" s="33"/>
      <c r="O857" s="34"/>
    </row>
    <row r="858" ht="22.5" customHeight="1">
      <c r="A858" s="21" t="s">
        <v>2823</v>
      </c>
      <c r="B858" s="21" t="s">
        <v>1270</v>
      </c>
      <c r="C858" s="21" t="str">
        <f t="array" ref="C858">XLOOKUP(B858,Customer[Customer_ID],Customer[Name(Cleaned)])</f>
        <v>Justin Ingram</v>
      </c>
      <c r="D858" s="22" t="str">
        <f>VLOOKUP(B858,Customer[#ALL],6)</f>
        <v>Female</v>
      </c>
      <c r="E858" s="23">
        <f>Sales[Order_Date]</f>
        <v>45589</v>
      </c>
      <c r="F858" s="21" t="str">
        <f>Sales[Store_ID]</f>
        <v>STORE6</v>
      </c>
      <c r="G858" s="21" t="str">
        <f t="array" ref="G858">INDEX(Store[Store_Name],MATCH(F858,Store[Store_ID],0))</f>
        <v>Benson-Elliott</v>
      </c>
      <c r="H858" s="21" t="str">
        <f>Sales[Product_ID]</f>
        <v>PROD63</v>
      </c>
      <c r="I858" s="21" t="str">
        <f>VLOOKUP(H858,Products[],2)</f>
        <v>Organic Sunscreen Lotion</v>
      </c>
      <c r="J858" s="24">
        <f>Sales[Total_Amount]</f>
        <v>493.6428</v>
      </c>
      <c r="K858" s="21" t="str">
        <f t="shared" si="1"/>
        <v>Oct</v>
      </c>
      <c r="L858" s="21">
        <f t="shared" si="2"/>
        <v>2024</v>
      </c>
      <c r="N858" s="33"/>
      <c r="O858" s="34"/>
    </row>
    <row r="859" ht="22.5" customHeight="1">
      <c r="A859" s="21" t="s">
        <v>2824</v>
      </c>
      <c r="B859" s="21" t="s">
        <v>1549</v>
      </c>
      <c r="C859" s="21" t="str">
        <f t="array" ref="C859">XLOOKUP(B859,Customer[Customer_ID],Customer[Name(Cleaned)])</f>
        <v>Philip Pennington</v>
      </c>
      <c r="D859" s="22" t="str">
        <f>VLOOKUP(B859,Customer[#ALL],6)</f>
        <v>Male</v>
      </c>
      <c r="E859" s="23">
        <f>Sales[Order_Date]</f>
        <v>45670</v>
      </c>
      <c r="F859" s="21" t="str">
        <f>Sales[Store_ID]</f>
        <v>STORE8</v>
      </c>
      <c r="G859" s="21" t="str">
        <f t="array" ref="G859">INDEX(Store[Store_Name],MATCH(F859,Store[Store_ID],0))</f>
        <v>Bean, Jones and Park</v>
      </c>
      <c r="H859" s="21" t="str">
        <f>Sales[Product_ID]</f>
        <v>PROD55</v>
      </c>
      <c r="I859" s="21" t="str">
        <f>VLOOKUP(H859,Products[],2)</f>
        <v>Ceramic Plant Pot</v>
      </c>
      <c r="J859" s="24">
        <f>Sales[Total_Amount]</f>
        <v>75.84</v>
      </c>
      <c r="K859" s="21" t="str">
        <f t="shared" si="1"/>
        <v>Jan</v>
      </c>
      <c r="L859" s="21">
        <f t="shared" si="2"/>
        <v>2025</v>
      </c>
      <c r="N859" s="33"/>
      <c r="O859" s="34"/>
    </row>
    <row r="860" ht="22.5" customHeight="1">
      <c r="A860" s="21" t="s">
        <v>2825</v>
      </c>
      <c r="B860" s="21" t="s">
        <v>1092</v>
      </c>
      <c r="C860" s="21" t="str">
        <f t="array" ref="C860">XLOOKUP(B860,Customer[Customer_ID],Customer[Name(Cleaned)])</f>
        <v>Ryan Moore</v>
      </c>
      <c r="D860" s="22" t="str">
        <f>VLOOKUP(B860,Customer[#ALL],6)</f>
        <v>Female</v>
      </c>
      <c r="E860" s="23">
        <f>Sales[Order_Date]</f>
        <v>45487</v>
      </c>
      <c r="F860" s="21" t="str">
        <f>Sales[Store_ID]</f>
        <v>STORE10</v>
      </c>
      <c r="G860" s="21" t="str">
        <f t="array" ref="G860">INDEX(Store[Store_Name],MATCH(F860,Store[Store_ID],0))</f>
        <v>Hill, Wagner and Ballard</v>
      </c>
      <c r="H860" s="21" t="str">
        <f>Sales[Product_ID]</f>
        <v>PROD7</v>
      </c>
      <c r="I860" s="21" t="str">
        <f>VLOOKUP(H860,Products[],2)</f>
        <v>Men's Sports Shorts</v>
      </c>
      <c r="J860" s="24">
        <f>Sales[Total_Amount]</f>
        <v>2065.5936</v>
      </c>
      <c r="K860" s="21" t="str">
        <f t="shared" si="1"/>
        <v>Jul</v>
      </c>
      <c r="L860" s="21">
        <f t="shared" si="2"/>
        <v>2024</v>
      </c>
      <c r="N860" s="33"/>
      <c r="O860" s="34"/>
    </row>
    <row r="861" ht="22.5" customHeight="1">
      <c r="A861" s="21" t="s">
        <v>2826</v>
      </c>
      <c r="B861" s="21" t="s">
        <v>1273</v>
      </c>
      <c r="C861" s="21" t="str">
        <f t="array" ref="C861">XLOOKUP(B861,Customer[Customer_ID],Customer[Name(Cleaned)])</f>
        <v>David Ross</v>
      </c>
      <c r="D861" s="22" t="str">
        <f>VLOOKUP(B861,Customer[#ALL],6)</f>
        <v>Male</v>
      </c>
      <c r="E861" s="23">
        <f>Sales[Order_Date]</f>
        <v>45418</v>
      </c>
      <c r="F861" s="21" t="str">
        <f>Sales[Store_ID]</f>
        <v>STORE7</v>
      </c>
      <c r="G861" s="21" t="str">
        <f t="array" ref="G861">INDEX(Store[Store_Name],MATCH(F861,Store[Store_ID],0))</f>
        <v>Martinez-Mullins</v>
      </c>
      <c r="H861" s="21" t="str">
        <f>Sales[Product_ID]</f>
        <v>PROD79</v>
      </c>
      <c r="I861" s="21" t="str">
        <f>VLOOKUP(H861,Products[],2)</f>
        <v>Decorative Lamp Shade</v>
      </c>
      <c r="J861" s="24">
        <f>Sales[Total_Amount]</f>
        <v>199.7961</v>
      </c>
      <c r="K861" s="21" t="str">
        <f t="shared" si="1"/>
        <v>May</v>
      </c>
      <c r="L861" s="21">
        <f t="shared" si="2"/>
        <v>2024</v>
      </c>
      <c r="N861" s="33"/>
      <c r="O861" s="34"/>
    </row>
    <row r="862" ht="22.5" customHeight="1">
      <c r="A862" s="21" t="s">
        <v>2827</v>
      </c>
      <c r="B862" s="21" t="s">
        <v>1131</v>
      </c>
      <c r="C862" s="21" t="str">
        <f t="array" ref="C862">XLOOKUP(B862,Customer[Customer_ID],Customer[Name(Cleaned)])</f>
        <v>Steve Hunt</v>
      </c>
      <c r="D862" s="22" t="str">
        <f>VLOOKUP(B862,Customer[#ALL],6)</f>
        <v>Female</v>
      </c>
      <c r="E862" s="23">
        <f>Sales[Order_Date]</f>
        <v>45338</v>
      </c>
      <c r="F862" s="21" t="str">
        <f>Sales[Store_ID]</f>
        <v>STORE12</v>
      </c>
      <c r="G862" s="21" t="str">
        <f t="array" ref="G862">INDEX(Store[Store_Name],MATCH(F862,Store[Store_ID],0))</f>
        <v>Thomas, Bridges and Harris</v>
      </c>
      <c r="H862" s="21" t="str">
        <f>Sales[Product_ID]</f>
        <v>PROD55</v>
      </c>
      <c r="I862" s="21" t="str">
        <f>VLOOKUP(H862,Products[],2)</f>
        <v>Ceramic Plant Pot</v>
      </c>
      <c r="J862" s="24">
        <f>Sales[Total_Amount]</f>
        <v>880.6616</v>
      </c>
      <c r="K862" s="21" t="str">
        <f t="shared" si="1"/>
        <v>Feb</v>
      </c>
      <c r="L862" s="21">
        <f t="shared" si="2"/>
        <v>2024</v>
      </c>
      <c r="N862" s="33"/>
      <c r="O862" s="34"/>
    </row>
    <row r="863" ht="22.5" customHeight="1">
      <c r="A863" s="21" t="s">
        <v>2828</v>
      </c>
      <c r="B863" s="21" t="s">
        <v>255</v>
      </c>
      <c r="C863" s="21" t="str">
        <f t="array" ref="C863">XLOOKUP(B863,Customer[Customer_ID],Customer[Name(Cleaned)])</f>
        <v>Amber Mcclain</v>
      </c>
      <c r="D863" s="22" t="str">
        <f>VLOOKUP(B863,Customer[#ALL],6)</f>
        <v>Female</v>
      </c>
      <c r="E863" s="23">
        <f>Sales[Order_Date]</f>
        <v>45507</v>
      </c>
      <c r="F863" s="21" t="str">
        <f>Sales[Store_ID]</f>
        <v>STORE19</v>
      </c>
      <c r="G863" s="21" t="str">
        <f t="array" ref="G863">INDEX(Store[Store_Name],MATCH(F863,Store[Store_ID],0))</f>
        <v>Mann-Austin</v>
      </c>
      <c r="H863" s="21" t="str">
        <f>Sales[Product_ID]</f>
        <v>PROD41</v>
      </c>
      <c r="I863" s="21" t="str">
        <f>VLOOKUP(H863,Products[],2)</f>
        <v>Yoga Exercise Mat</v>
      </c>
      <c r="J863" s="24">
        <f>Sales[Total_Amount]</f>
        <v>93.8232</v>
      </c>
      <c r="K863" s="21" t="str">
        <f t="shared" si="1"/>
        <v>Aug</v>
      </c>
      <c r="L863" s="21">
        <f t="shared" si="2"/>
        <v>2024</v>
      </c>
      <c r="N863" s="33"/>
      <c r="O863" s="34"/>
    </row>
    <row r="864" ht="22.5" customHeight="1">
      <c r="A864" s="21" t="s">
        <v>2829</v>
      </c>
      <c r="B864" s="21" t="s">
        <v>1523</v>
      </c>
      <c r="C864" s="21" t="str">
        <f t="array" ref="C864">XLOOKUP(B864,Customer[Customer_ID],Customer[Name(Cleaned)])</f>
        <v>Scott Harris</v>
      </c>
      <c r="D864" s="22" t="str">
        <f>VLOOKUP(B864,Customer[#ALL],6)</f>
        <v>Female</v>
      </c>
      <c r="E864" s="23">
        <f>Sales[Order_Date]</f>
        <v>45275</v>
      </c>
      <c r="F864" s="21" t="str">
        <f>Sales[Store_ID]</f>
        <v>STORE1</v>
      </c>
      <c r="G864" s="21" t="str">
        <f t="array" ref="G864">INDEX(Store[Store_Name],MATCH(F864,Store[Store_ID],0))</f>
        <v>Martinez, Adkins and Johnson</v>
      </c>
      <c r="H864" s="21" t="str">
        <f>Sales[Product_ID]</f>
        <v>PROD67</v>
      </c>
      <c r="I864" s="21" t="str">
        <f>VLOOKUP(H864,Products[],2)</f>
        <v>Smart LED Light Strip</v>
      </c>
      <c r="J864" s="24">
        <f>Sales[Total_Amount]</f>
        <v>3539.8656</v>
      </c>
      <c r="K864" s="21" t="str">
        <f t="shared" si="1"/>
        <v>Dec</v>
      </c>
      <c r="L864" s="21">
        <f t="shared" si="2"/>
        <v>2023</v>
      </c>
      <c r="N864" s="33"/>
      <c r="O864" s="34"/>
    </row>
    <row r="865" ht="22.5" customHeight="1">
      <c r="A865" s="21" t="s">
        <v>2830</v>
      </c>
      <c r="B865" s="21" t="s">
        <v>1047</v>
      </c>
      <c r="C865" s="21" t="str">
        <f t="array" ref="C865">XLOOKUP(B865,Customer[Customer_ID],Customer[Name(Cleaned)])</f>
        <v>Mario Harvey Jr.</v>
      </c>
      <c r="D865" s="22" t="str">
        <f>VLOOKUP(B865,Customer[#ALL],6)</f>
        <v>Female</v>
      </c>
      <c r="E865" s="23">
        <f>Sales[Order_Date]</f>
        <v>45319</v>
      </c>
      <c r="F865" s="21" t="str">
        <f>Sales[Store_ID]</f>
        <v>STORE16</v>
      </c>
      <c r="G865" s="21" t="str">
        <f t="array" ref="G865">INDEX(Store[Store_Name],MATCH(F865,Store[Store_ID],0))</f>
        <v>Frederick-Wright</v>
      </c>
      <c r="H865" s="21" t="str">
        <f>Sales[Product_ID]</f>
        <v>PROD86</v>
      </c>
      <c r="I865" s="21" t="str">
        <f>VLOOKUP(H865,Products[],2)</f>
        <v>Kitchen Cutting Board</v>
      </c>
      <c r="J865" s="24">
        <f>Sales[Total_Amount]</f>
        <v>1595.0952</v>
      </c>
      <c r="K865" s="21" t="str">
        <f t="shared" si="1"/>
        <v>Jan</v>
      </c>
      <c r="L865" s="21">
        <f t="shared" si="2"/>
        <v>2024</v>
      </c>
      <c r="N865" s="33"/>
      <c r="O865" s="34"/>
    </row>
    <row r="866" ht="22.5" customHeight="1">
      <c r="A866" s="21" t="s">
        <v>2831</v>
      </c>
      <c r="B866" s="21" t="s">
        <v>1047</v>
      </c>
      <c r="C866" s="21" t="str">
        <f t="array" ref="C866">XLOOKUP(B866,Customer[Customer_ID],Customer[Name(Cleaned)])</f>
        <v>Mario Harvey Jr.</v>
      </c>
      <c r="D866" s="22" t="str">
        <f>VLOOKUP(B866,Customer[#ALL],6)</f>
        <v>Female</v>
      </c>
      <c r="E866" s="23">
        <f>Sales[Order_Date]</f>
        <v>45620</v>
      </c>
      <c r="F866" s="21" t="str">
        <f>Sales[Store_ID]</f>
        <v>STORE0</v>
      </c>
      <c r="G866" s="21" t="str">
        <f t="array" ref="G866">INDEX(Store[Store_Name],MATCH(F866,Store[Store_ID],0))</f>
        <v>Rivera-Warner</v>
      </c>
      <c r="H866" s="21" t="str">
        <f>Sales[Product_ID]</f>
        <v>PROD5</v>
      </c>
      <c r="I866" s="21" t="str">
        <f>VLOOKUP(H866,Products[],2)</f>
        <v>Men's Roll-On Perfume</v>
      </c>
      <c r="J866" s="24">
        <f>Sales[Total_Amount]</f>
        <v>1815.754</v>
      </c>
      <c r="K866" s="21" t="str">
        <f t="shared" si="1"/>
        <v>Nov</v>
      </c>
      <c r="L866" s="21">
        <f t="shared" si="2"/>
        <v>2024</v>
      </c>
      <c r="N866" s="33"/>
      <c r="O866" s="34"/>
    </row>
    <row r="867" ht="22.5" customHeight="1">
      <c r="A867" s="21" t="s">
        <v>2832</v>
      </c>
      <c r="B867" s="21" t="s">
        <v>570</v>
      </c>
      <c r="C867" s="21" t="str">
        <f t="array" ref="C867">XLOOKUP(B867,Customer[Customer_ID],Customer[Name(Cleaned)])</f>
        <v>Daniel Contreras</v>
      </c>
      <c r="D867" s="22" t="str">
        <f>VLOOKUP(B867,Customer[#ALL],6)</f>
        <v>Male</v>
      </c>
      <c r="E867" s="23">
        <f>Sales[Order_Date]</f>
        <v>45831</v>
      </c>
      <c r="F867" s="21" t="str">
        <f>Sales[Store_ID]</f>
        <v>STORE12</v>
      </c>
      <c r="G867" s="21" t="str">
        <f t="array" ref="G867">INDEX(Store[Store_Name],MATCH(F867,Store[Store_ID],0))</f>
        <v>Thomas, Bridges and Harris</v>
      </c>
      <c r="H867" s="21" t="str">
        <f>Sales[Product_ID]</f>
        <v>PROD42</v>
      </c>
      <c r="I867" s="21" t="str">
        <f>VLOOKUP(H867,Products[],2)</f>
        <v>Smart Home WiFi Camera</v>
      </c>
      <c r="J867" s="24">
        <f>Sales[Total_Amount]</f>
        <v>1308.5928</v>
      </c>
      <c r="K867" s="21" t="str">
        <f t="shared" si="1"/>
        <v>Jun</v>
      </c>
      <c r="L867" s="21">
        <f t="shared" si="2"/>
        <v>2025</v>
      </c>
      <c r="N867" s="33"/>
      <c r="O867" s="34"/>
    </row>
    <row r="868" ht="22.5" customHeight="1">
      <c r="A868" s="21" t="s">
        <v>2833</v>
      </c>
      <c r="B868" s="21" t="s">
        <v>255</v>
      </c>
      <c r="C868" s="21" t="str">
        <f t="array" ref="C868">XLOOKUP(B868,Customer[Customer_ID],Customer[Name(Cleaned)])</f>
        <v>Amber Mcclain</v>
      </c>
      <c r="D868" s="22" t="str">
        <f>VLOOKUP(B868,Customer[#ALL],6)</f>
        <v>Female</v>
      </c>
      <c r="E868" s="23">
        <f>Sales[Order_Date]</f>
        <v>45373</v>
      </c>
      <c r="F868" s="21" t="str">
        <f>Sales[Store_ID]</f>
        <v>STORE3</v>
      </c>
      <c r="G868" s="21" t="str">
        <f t="array" ref="G868">INDEX(Store[Store_Name],MATCH(F868,Store[Store_ID],0))</f>
        <v>Johnson-Wright</v>
      </c>
      <c r="H868" s="21" t="str">
        <f>Sales[Product_ID]</f>
        <v>PROD43</v>
      </c>
      <c r="I868" s="21" t="str">
        <f>VLOOKUP(H868,Products[],2)</f>
        <v>USB External Hard Drive</v>
      </c>
      <c r="J868" s="24">
        <f>Sales[Total_Amount]</f>
        <v>782.16</v>
      </c>
      <c r="K868" s="21" t="str">
        <f t="shared" si="1"/>
        <v>Mar</v>
      </c>
      <c r="L868" s="21">
        <f t="shared" si="2"/>
        <v>2024</v>
      </c>
      <c r="N868" s="33"/>
      <c r="O868" s="34"/>
    </row>
    <row r="869" ht="22.5" customHeight="1">
      <c r="A869" s="21" t="s">
        <v>2834</v>
      </c>
      <c r="B869" s="21" t="s">
        <v>1182</v>
      </c>
      <c r="C869" s="21" t="str">
        <f t="array" ref="C869">XLOOKUP(B869,Customer[Customer_ID],Customer[Name(Cleaned)])</f>
        <v>James Orozco</v>
      </c>
      <c r="D869" s="22" t="str">
        <f>VLOOKUP(B869,Customer[#ALL],6)</f>
        <v>Male</v>
      </c>
      <c r="E869" s="23">
        <f>Sales[Order_Date]</f>
        <v>45863</v>
      </c>
      <c r="F869" s="21" t="str">
        <f>Sales[Store_ID]</f>
        <v>STORE7</v>
      </c>
      <c r="G869" s="21" t="str">
        <f t="array" ref="G869">INDEX(Store[Store_Name],MATCH(F869,Store[Store_ID],0))</f>
        <v>Martinez-Mullins</v>
      </c>
      <c r="H869" s="21" t="str">
        <f>Sales[Product_ID]</f>
        <v>PROD10</v>
      </c>
      <c r="I869" s="21" t="str">
        <f>VLOOKUP(H869,Products[],2)</f>
        <v>Men's Graphic T-Shirt</v>
      </c>
      <c r="J869" s="24">
        <f>Sales[Total_Amount]</f>
        <v>1876.3152</v>
      </c>
      <c r="K869" s="21" t="str">
        <f t="shared" si="1"/>
        <v>Jul</v>
      </c>
      <c r="L869" s="21">
        <f t="shared" si="2"/>
        <v>2025</v>
      </c>
      <c r="N869" s="33"/>
      <c r="O869" s="34"/>
    </row>
    <row r="870" ht="22.5" customHeight="1">
      <c r="A870" s="21" t="s">
        <v>2835</v>
      </c>
      <c r="B870" s="21" t="s">
        <v>252</v>
      </c>
      <c r="C870" s="21" t="str">
        <f t="array" ref="C870">XLOOKUP(B870,Customer[Customer_ID],Customer[Name(Cleaned)])</f>
        <v>Cody Diaz</v>
      </c>
      <c r="D870" s="22" t="str">
        <f>VLOOKUP(B870,Customer[#ALL],6)</f>
        <v>Male</v>
      </c>
      <c r="E870" s="23">
        <f>Sales[Order_Date]</f>
        <v>45885</v>
      </c>
      <c r="F870" s="21" t="str">
        <f>Sales[Store_ID]</f>
        <v>STORE5</v>
      </c>
      <c r="G870" s="21" t="str">
        <f t="array" ref="G870">INDEX(Store[Store_Name],MATCH(F870,Store[Store_ID],0))</f>
        <v>Gray Ltd</v>
      </c>
      <c r="H870" s="21" t="str">
        <f>Sales[Product_ID]</f>
        <v>PROD94</v>
      </c>
      <c r="I870" s="21" t="str">
        <f>VLOOKUP(H870,Products[],2)</f>
        <v>Vitamin E Body Lotion</v>
      </c>
      <c r="J870" s="24">
        <f>Sales[Total_Amount]</f>
        <v>2555.64</v>
      </c>
      <c r="K870" s="21" t="str">
        <f t="shared" si="1"/>
        <v>Aug</v>
      </c>
      <c r="L870" s="21">
        <f t="shared" si="2"/>
        <v>2025</v>
      </c>
      <c r="N870" s="33"/>
      <c r="O870" s="34"/>
    </row>
    <row r="871" ht="22.5" customHeight="1">
      <c r="A871" s="21" t="s">
        <v>2836</v>
      </c>
      <c r="B871" s="21" t="s">
        <v>525</v>
      </c>
      <c r="C871" s="21" t="str">
        <f t="array" ref="C871">XLOOKUP(B871,Customer[Customer_ID],Customer[Name(Cleaned)])</f>
        <v>Joseph Faulkner</v>
      </c>
      <c r="D871" s="22" t="str">
        <f>VLOOKUP(B871,Customer[#ALL],6)</f>
        <v>Female</v>
      </c>
      <c r="E871" s="23">
        <f>Sales[Order_Date]</f>
        <v>45758</v>
      </c>
      <c r="F871" s="21" t="str">
        <f>Sales[Store_ID]</f>
        <v>STORE18</v>
      </c>
      <c r="G871" s="21" t="str">
        <f t="array" ref="G871">INDEX(Store[Store_Name],MATCH(F871,Store[Store_ID],0))</f>
        <v>Guerrero-Schmitt</v>
      </c>
      <c r="H871" s="21" t="str">
        <f>Sales[Product_ID]</f>
        <v>PROD4</v>
      </c>
      <c r="I871" s="21" t="str">
        <f>VLOOKUP(H871,Products[],2)</f>
        <v>Portable Power Bank</v>
      </c>
      <c r="J871" s="24">
        <f>Sales[Total_Amount]</f>
        <v>982.2288</v>
      </c>
      <c r="K871" s="21" t="str">
        <f t="shared" si="1"/>
        <v>Apr</v>
      </c>
      <c r="L871" s="21">
        <f t="shared" si="2"/>
        <v>2025</v>
      </c>
      <c r="N871" s="33"/>
      <c r="O871" s="34"/>
    </row>
    <row r="872" ht="22.5" customHeight="1">
      <c r="A872" s="21" t="s">
        <v>2837</v>
      </c>
      <c r="B872" s="21" t="s">
        <v>1427</v>
      </c>
      <c r="C872" s="21" t="str">
        <f t="array" ref="C872">XLOOKUP(B872,Customer[Customer_ID],Customer[Name(Cleaned)])</f>
        <v>Christina Robertson</v>
      </c>
      <c r="D872" s="22" t="str">
        <f>VLOOKUP(B872,Customer[#ALL],6)</f>
        <v>Female</v>
      </c>
      <c r="E872" s="23">
        <f>Sales[Order_Date]</f>
        <v>45285</v>
      </c>
      <c r="F872" s="21" t="str">
        <f>Sales[Store_ID]</f>
        <v>STORE0</v>
      </c>
      <c r="G872" s="21" t="str">
        <f t="array" ref="G872">INDEX(Store[Store_Name],MATCH(F872,Store[Store_ID],0))</f>
        <v>Rivera-Warner</v>
      </c>
      <c r="H872" s="21" t="str">
        <f>Sales[Product_ID]</f>
        <v>PROD39</v>
      </c>
      <c r="I872" s="21" t="str">
        <f>VLOOKUP(H872,Products[],2)</f>
        <v>Portable Power Bank</v>
      </c>
      <c r="J872" s="24">
        <f>Sales[Total_Amount]</f>
        <v>517.8965</v>
      </c>
      <c r="K872" s="21" t="str">
        <f t="shared" si="1"/>
        <v>Dec</v>
      </c>
      <c r="L872" s="21">
        <f t="shared" si="2"/>
        <v>2023</v>
      </c>
      <c r="N872" s="33"/>
      <c r="O872" s="34"/>
    </row>
    <row r="873" ht="22.5" customHeight="1">
      <c r="A873" s="21" t="s">
        <v>2838</v>
      </c>
      <c r="B873" s="21" t="s">
        <v>368</v>
      </c>
      <c r="C873" s="21" t="str">
        <f t="array" ref="C873">XLOOKUP(B873,Customer[Customer_ID],Customer[Name(Cleaned)])</f>
        <v>Colleen Maynard</v>
      </c>
      <c r="D873" s="22" t="str">
        <f>VLOOKUP(B873,Customer[#ALL],6)</f>
        <v>Female</v>
      </c>
      <c r="E873" s="23">
        <f>Sales[Order_Date]</f>
        <v>45656</v>
      </c>
      <c r="F873" s="21" t="str">
        <f>Sales[Store_ID]</f>
        <v>STORE8</v>
      </c>
      <c r="G873" s="21" t="str">
        <f t="array" ref="G873">INDEX(Store[Store_Name],MATCH(F873,Store[Store_ID],0))</f>
        <v>Bean, Jones and Park</v>
      </c>
      <c r="H873" s="21" t="str">
        <f>Sales[Product_ID]</f>
        <v>PROD2</v>
      </c>
      <c r="I873" s="21" t="str">
        <f>VLOOKUP(H873,Products[],2)</f>
        <v>Knee Support Brace</v>
      </c>
      <c r="J873" s="24">
        <f>Sales[Total_Amount]</f>
        <v>198.7782</v>
      </c>
      <c r="K873" s="21" t="str">
        <f t="shared" si="1"/>
        <v>Dec</v>
      </c>
      <c r="L873" s="21">
        <f t="shared" si="2"/>
        <v>2024</v>
      </c>
      <c r="N873" s="33"/>
      <c r="O873" s="34"/>
    </row>
    <row r="874" ht="22.5" customHeight="1">
      <c r="A874" s="21" t="s">
        <v>2839</v>
      </c>
      <c r="B874" s="21" t="s">
        <v>525</v>
      </c>
      <c r="C874" s="21" t="str">
        <f t="array" ref="C874">XLOOKUP(B874,Customer[Customer_ID],Customer[Name(Cleaned)])</f>
        <v>Joseph Faulkner</v>
      </c>
      <c r="D874" s="22" t="str">
        <f>VLOOKUP(B874,Customer[#ALL],6)</f>
        <v>Female</v>
      </c>
      <c r="E874" s="23">
        <f>Sales[Order_Date]</f>
        <v>45718</v>
      </c>
      <c r="F874" s="21" t="str">
        <f>Sales[Store_ID]</f>
        <v>STORE16</v>
      </c>
      <c r="G874" s="21" t="str">
        <f t="array" ref="G874">INDEX(Store[Store_Name],MATCH(F874,Store[Store_ID],0))</f>
        <v>Frederick-Wright</v>
      </c>
      <c r="H874" s="21" t="str">
        <f>Sales[Product_ID]</f>
        <v>PROD55</v>
      </c>
      <c r="I874" s="21" t="str">
        <f>VLOOKUP(H874,Products[],2)</f>
        <v>Ceramic Plant Pot</v>
      </c>
      <c r="J874" s="24">
        <f>Sales[Total_Amount]</f>
        <v>1814.9832</v>
      </c>
      <c r="K874" s="21" t="str">
        <f t="shared" si="1"/>
        <v>Mar</v>
      </c>
      <c r="L874" s="21">
        <f t="shared" si="2"/>
        <v>2025</v>
      </c>
      <c r="N874" s="33"/>
      <c r="O874" s="34"/>
    </row>
    <row r="875" ht="22.5" customHeight="1">
      <c r="A875" s="21" t="s">
        <v>2840</v>
      </c>
      <c r="B875" s="21" t="s">
        <v>1134</v>
      </c>
      <c r="C875" s="21" t="str">
        <f t="array" ref="C875">XLOOKUP(B875,Customer[Customer_ID],Customer[Name(Cleaned)])</f>
        <v>Manuel Castillo</v>
      </c>
      <c r="D875" s="22" t="str">
        <f>VLOOKUP(B875,Customer[#ALL],6)</f>
        <v>Female</v>
      </c>
      <c r="E875" s="23">
        <f>Sales[Order_Date]</f>
        <v>45293</v>
      </c>
      <c r="F875" s="21" t="str">
        <f>Sales[Store_ID]</f>
        <v>STORE11</v>
      </c>
      <c r="G875" s="21" t="str">
        <f t="array" ref="G875">INDEX(Store[Store_Name],MATCH(F875,Store[Store_ID],0))</f>
        <v>Aguirre-Keller</v>
      </c>
      <c r="H875" s="21" t="str">
        <f>Sales[Product_ID]</f>
        <v>PROD59</v>
      </c>
      <c r="I875" s="21" t="str">
        <f>VLOOKUP(H875,Products[],2)</f>
        <v>Men's Hair Styling Gel</v>
      </c>
      <c r="J875" s="24">
        <f>Sales[Total_Amount]</f>
        <v>1278.4896</v>
      </c>
      <c r="K875" s="21" t="str">
        <f t="shared" si="1"/>
        <v>Jan</v>
      </c>
      <c r="L875" s="21">
        <f t="shared" si="2"/>
        <v>2024</v>
      </c>
      <c r="N875" s="33"/>
      <c r="O875" s="34"/>
    </row>
    <row r="876" ht="22.5" customHeight="1">
      <c r="A876" s="21" t="s">
        <v>2841</v>
      </c>
      <c r="B876" s="21" t="s">
        <v>1041</v>
      </c>
      <c r="C876" s="21" t="str">
        <f t="array" ref="C876">XLOOKUP(B876,Customer[Customer_ID],Customer[Name(Cleaned)])</f>
        <v>Robert King</v>
      </c>
      <c r="D876" s="22" t="str">
        <f>VLOOKUP(B876,Customer[#ALL],6)</f>
        <v>Male</v>
      </c>
      <c r="E876" s="23">
        <f>Sales[Order_Date]</f>
        <v>45915</v>
      </c>
      <c r="F876" s="21" t="str">
        <f>Sales[Store_ID]</f>
        <v>STORE13</v>
      </c>
      <c r="G876" s="21" t="str">
        <f t="array" ref="G876">INDEX(Store[Store_Name],MATCH(F876,Store[Store_ID],0))</f>
        <v>Gardner, Humphrey and Contreras</v>
      </c>
      <c r="H876" s="21" t="str">
        <f>Sales[Product_ID]</f>
        <v>PROD67</v>
      </c>
      <c r="I876" s="21" t="str">
        <f>VLOOKUP(H876,Products[],2)</f>
        <v>Smart LED Light Strip</v>
      </c>
      <c r="J876" s="24">
        <f>Sales[Total_Amount]</f>
        <v>339.2466</v>
      </c>
      <c r="K876" s="21" t="str">
        <f t="shared" si="1"/>
        <v>Sep</v>
      </c>
      <c r="L876" s="21">
        <f t="shared" si="2"/>
        <v>2025</v>
      </c>
      <c r="N876" s="33"/>
      <c r="O876" s="34"/>
    </row>
    <row r="877" ht="22.5" customHeight="1">
      <c r="A877" s="21" t="s">
        <v>2842</v>
      </c>
      <c r="B877" s="21" t="s">
        <v>604</v>
      </c>
      <c r="C877" s="21" t="str">
        <f t="array" ref="C877">XLOOKUP(B877,Customer[Customer_ID],Customer[Name(Cleaned)])</f>
        <v>Nicholas Bradshaw</v>
      </c>
      <c r="D877" s="22" t="str">
        <f>VLOOKUP(B877,Customer[#ALL],6)</f>
        <v>Male</v>
      </c>
      <c r="E877" s="23">
        <f>Sales[Order_Date]</f>
        <v>45359</v>
      </c>
      <c r="F877" s="21" t="str">
        <f>Sales[Store_ID]</f>
        <v>STORE12</v>
      </c>
      <c r="G877" s="21" t="str">
        <f t="array" ref="G877">INDEX(Store[Store_Name],MATCH(F877,Store[Store_ID],0))</f>
        <v>Thomas, Bridges and Harris</v>
      </c>
      <c r="H877" s="21" t="str">
        <f>Sales[Product_ID]</f>
        <v>PROD24</v>
      </c>
      <c r="I877" s="21" t="str">
        <f>VLOOKUP(H877,Products[],2)</f>
        <v>Foldable Camping Chair</v>
      </c>
      <c r="J877" s="24">
        <f>Sales[Total_Amount]</f>
        <v>1343.0316</v>
      </c>
      <c r="K877" s="21" t="str">
        <f t="shared" si="1"/>
        <v>Mar</v>
      </c>
      <c r="L877" s="21">
        <f t="shared" si="2"/>
        <v>2024</v>
      </c>
      <c r="N877" s="33"/>
      <c r="O877" s="34"/>
    </row>
    <row r="878" ht="22.5" customHeight="1">
      <c r="A878" s="21" t="s">
        <v>2843</v>
      </c>
      <c r="B878" s="21" t="s">
        <v>1335</v>
      </c>
      <c r="C878" s="21" t="str">
        <f t="array" ref="C878">XLOOKUP(B878,Customer[Customer_ID],Customer[Name(Cleaned)])</f>
        <v>Bryce Hawkins</v>
      </c>
      <c r="D878" s="22" t="str">
        <f>VLOOKUP(B878,Customer[#ALL],6)</f>
        <v>Female</v>
      </c>
      <c r="E878" s="23">
        <f>Sales[Order_Date]</f>
        <v>45652</v>
      </c>
      <c r="F878" s="21" t="str">
        <f>Sales[Store_ID]</f>
        <v>STORE15</v>
      </c>
      <c r="G878" s="21" t="str">
        <f t="array" ref="G878">INDEX(Store[Store_Name],MATCH(F878,Store[Store_ID],0))</f>
        <v>Shelton PLC</v>
      </c>
      <c r="H878" s="21" t="str">
        <f>Sales[Product_ID]</f>
        <v>PROD7</v>
      </c>
      <c r="I878" s="21" t="str">
        <f>VLOOKUP(H878,Products[],2)</f>
        <v>Men's Sports Shorts</v>
      </c>
      <c r="J878" s="24">
        <f>Sales[Total_Amount]</f>
        <v>361.4958</v>
      </c>
      <c r="K878" s="21" t="str">
        <f t="shared" si="1"/>
        <v>Dec</v>
      </c>
      <c r="L878" s="21">
        <f t="shared" si="2"/>
        <v>2024</v>
      </c>
      <c r="N878" s="33"/>
      <c r="O878" s="34"/>
    </row>
    <row r="879" ht="22.5" customHeight="1">
      <c r="A879" s="21" t="s">
        <v>2844</v>
      </c>
      <c r="B879" s="21" t="s">
        <v>696</v>
      </c>
      <c r="C879" s="21" t="str">
        <f t="array" ref="C879">XLOOKUP(B879,Customer[Customer_ID],Customer[Name(Cleaned)])</f>
        <v>Antonio Jones</v>
      </c>
      <c r="D879" s="22" t="str">
        <f>VLOOKUP(B879,Customer[#ALL],6)</f>
        <v>Female</v>
      </c>
      <c r="E879" s="23">
        <f>Sales[Order_Date]</f>
        <v>45735</v>
      </c>
      <c r="F879" s="21" t="str">
        <f>Sales[Store_ID]</f>
        <v>STORE13</v>
      </c>
      <c r="G879" s="21" t="str">
        <f t="array" ref="G879">INDEX(Store[Store_Name],MATCH(F879,Store[Store_ID],0))</f>
        <v>Gardner, Humphrey and Contreras</v>
      </c>
      <c r="H879" s="21" t="str">
        <f>Sales[Product_ID]</f>
        <v>PROD8</v>
      </c>
      <c r="I879" s="21" t="str">
        <f>VLOOKUP(H879,Products[],2)</f>
        <v>Decorative Lamp Shade</v>
      </c>
      <c r="J879" s="24">
        <f>Sales[Total_Amount]</f>
        <v>318.3076</v>
      </c>
      <c r="K879" s="21" t="str">
        <f t="shared" si="1"/>
        <v>Mar</v>
      </c>
      <c r="L879" s="21">
        <f t="shared" si="2"/>
        <v>2025</v>
      </c>
      <c r="N879" s="33"/>
      <c r="O879" s="34"/>
    </row>
    <row r="880" ht="22.5" customHeight="1">
      <c r="A880" s="21" t="s">
        <v>2845</v>
      </c>
      <c r="B880" s="21" t="s">
        <v>582</v>
      </c>
      <c r="C880" s="21" t="str">
        <f t="array" ref="C880">XLOOKUP(B880,Customer[Customer_ID],Customer[Name(Cleaned)])</f>
        <v>Thomas Rhodes</v>
      </c>
      <c r="D880" s="22" t="str">
        <f>VLOOKUP(B880,Customer[#ALL],6)</f>
        <v>Male</v>
      </c>
      <c r="E880" s="23">
        <f>Sales[Order_Date]</f>
        <v>45579</v>
      </c>
      <c r="F880" s="21" t="str">
        <f>Sales[Store_ID]</f>
        <v>STORE3</v>
      </c>
      <c r="G880" s="21" t="str">
        <f t="array" ref="G880">INDEX(Store[Store_Name],MATCH(F880,Store[Store_ID],0))</f>
        <v>Johnson-Wright</v>
      </c>
      <c r="H880" s="21" t="str">
        <f>Sales[Product_ID]</f>
        <v>PROD88</v>
      </c>
      <c r="I880" s="21" t="str">
        <f>VLOOKUP(H880,Products[],2)</f>
        <v>Sports Wrist Sweatbands</v>
      </c>
      <c r="J880" s="24">
        <f>Sales[Total_Amount]</f>
        <v>751.2726</v>
      </c>
      <c r="K880" s="21" t="str">
        <f t="shared" si="1"/>
        <v>Oct</v>
      </c>
      <c r="L880" s="21">
        <f t="shared" si="2"/>
        <v>2024</v>
      </c>
      <c r="N880" s="33"/>
      <c r="O880" s="34"/>
    </row>
    <row r="881" ht="22.5" customHeight="1">
      <c r="A881" s="21" t="s">
        <v>2846</v>
      </c>
      <c r="B881" s="21" t="s">
        <v>303</v>
      </c>
      <c r="C881" s="21" t="str">
        <f t="array" ref="C881">XLOOKUP(B881,Customer[Customer_ID],Customer[Name(Cleaned)])</f>
        <v>Krystal Ford</v>
      </c>
      <c r="D881" s="22" t="str">
        <f>VLOOKUP(B881,Customer[#ALL],6)</f>
        <v>Male</v>
      </c>
      <c r="E881" s="23">
        <f>Sales[Order_Date]</f>
        <v>45812</v>
      </c>
      <c r="F881" s="21" t="str">
        <f>Sales[Store_ID]</f>
        <v>STORE0</v>
      </c>
      <c r="G881" s="21" t="str">
        <f t="array" ref="G881">INDEX(Store[Store_Name],MATCH(F881,Store[Store_ID],0))</f>
        <v>Rivera-Warner</v>
      </c>
      <c r="H881" s="21" t="str">
        <f>Sales[Product_ID]</f>
        <v>PROD45</v>
      </c>
      <c r="I881" s="21" t="str">
        <f>VLOOKUP(H881,Products[],2)</f>
        <v>High-Grip Football</v>
      </c>
      <c r="J881" s="24">
        <f>Sales[Total_Amount]</f>
        <v>762.3682</v>
      </c>
      <c r="K881" s="21" t="str">
        <f t="shared" si="1"/>
        <v>Jun</v>
      </c>
      <c r="L881" s="21">
        <f t="shared" si="2"/>
        <v>2025</v>
      </c>
      <c r="N881" s="33"/>
      <c r="O881" s="34"/>
    </row>
    <row r="882" ht="22.5" customHeight="1">
      <c r="A882" s="21" t="s">
        <v>2847</v>
      </c>
      <c r="B882" s="21" t="s">
        <v>286</v>
      </c>
      <c r="C882" s="21" t="str">
        <f t="array" ref="C882">XLOOKUP(B882,Customer[Customer_ID],Customer[Name(Cleaned)])</f>
        <v>Nathan Campbell</v>
      </c>
      <c r="D882" s="22" t="str">
        <f>VLOOKUP(B882,Customer[#ALL],6)</f>
        <v>Female</v>
      </c>
      <c r="E882" s="23">
        <f>Sales[Order_Date]</f>
        <v>45721</v>
      </c>
      <c r="F882" s="21" t="str">
        <f>Sales[Store_ID]</f>
        <v>STORE14</v>
      </c>
      <c r="G882" s="21" t="str">
        <f t="array" ref="G882">INDEX(Store[Store_Name],MATCH(F882,Store[Store_ID],0))</f>
        <v>Mcdonald Inc</v>
      </c>
      <c r="H882" s="21" t="str">
        <f>Sales[Product_ID]</f>
        <v>PROD17</v>
      </c>
      <c r="I882" s="21" t="str">
        <f>VLOOKUP(H882,Products[],2)</f>
        <v>Soccer Training Cone Set</v>
      </c>
      <c r="J882" s="24">
        <f>Sales[Total_Amount]</f>
        <v>615.083</v>
      </c>
      <c r="K882" s="21" t="str">
        <f t="shared" si="1"/>
        <v>Mar</v>
      </c>
      <c r="L882" s="21">
        <f t="shared" si="2"/>
        <v>2025</v>
      </c>
      <c r="N882" s="33"/>
      <c r="O882" s="34"/>
    </row>
    <row r="883" ht="22.5" customHeight="1">
      <c r="A883" s="21" t="s">
        <v>2848</v>
      </c>
      <c r="B883" s="21" t="s">
        <v>1206</v>
      </c>
      <c r="C883" s="21" t="str">
        <f t="array" ref="C883">XLOOKUP(B883,Customer[Customer_ID],Customer[Name(Cleaned)])</f>
        <v>Erika Padilla</v>
      </c>
      <c r="D883" s="22" t="str">
        <f>VLOOKUP(B883,Customer[#ALL],6)</f>
        <v>Female</v>
      </c>
      <c r="E883" s="23">
        <f>Sales[Order_Date]</f>
        <v>45446</v>
      </c>
      <c r="F883" s="21" t="str">
        <f>Sales[Store_ID]</f>
        <v>STORE15</v>
      </c>
      <c r="G883" s="21" t="str">
        <f t="array" ref="G883">INDEX(Store[Store_Name],MATCH(F883,Store[Store_ID],0))</f>
        <v>Shelton PLC</v>
      </c>
      <c r="H883" s="21" t="str">
        <f>Sales[Product_ID]</f>
        <v>PROD33</v>
      </c>
      <c r="I883" s="21" t="str">
        <f>VLOOKUP(H883,Products[],2)</f>
        <v>Modern Wall Clock</v>
      </c>
      <c r="J883" s="24">
        <f>Sales[Total_Amount]</f>
        <v>153.1115</v>
      </c>
      <c r="K883" s="21" t="str">
        <f t="shared" si="1"/>
        <v>Jun</v>
      </c>
      <c r="L883" s="21">
        <f t="shared" si="2"/>
        <v>2024</v>
      </c>
      <c r="N883" s="33"/>
      <c r="O883" s="34"/>
    </row>
    <row r="884" ht="22.5" customHeight="1">
      <c r="A884" s="21" t="s">
        <v>2849</v>
      </c>
      <c r="B884" s="21" t="s">
        <v>708</v>
      </c>
      <c r="C884" s="21" t="str">
        <f t="array" ref="C884">XLOOKUP(B884,Customer[Customer_ID],Customer[Name(Cleaned)])</f>
        <v>Eric Todd</v>
      </c>
      <c r="D884" s="22" t="str">
        <f>VLOOKUP(B884,Customer[#ALL],6)</f>
        <v>Female</v>
      </c>
      <c r="E884" s="23">
        <f>Sales[Order_Date]</f>
        <v>45387</v>
      </c>
      <c r="F884" s="21" t="str">
        <f>Sales[Store_ID]</f>
        <v>STORE14</v>
      </c>
      <c r="G884" s="21" t="str">
        <f t="array" ref="G884">INDEX(Store[Store_Name],MATCH(F884,Store[Store_ID],0))</f>
        <v>Mcdonald Inc</v>
      </c>
      <c r="H884" s="21" t="str">
        <f>Sales[Product_ID]</f>
        <v>PROD73</v>
      </c>
      <c r="I884" s="21" t="str">
        <f>VLOOKUP(H884,Products[],2)</f>
        <v>Shin Guards – Adult</v>
      </c>
      <c r="J884" s="24">
        <f>Sales[Total_Amount]</f>
        <v>1123.434</v>
      </c>
      <c r="K884" s="21" t="str">
        <f t="shared" si="1"/>
        <v>Apr</v>
      </c>
      <c r="L884" s="21">
        <f t="shared" si="2"/>
        <v>2024</v>
      </c>
      <c r="N884" s="33"/>
      <c r="O884" s="34"/>
    </row>
    <row r="885" ht="22.5" customHeight="1">
      <c r="A885" s="21" t="s">
        <v>2850</v>
      </c>
      <c r="B885" s="21" t="s">
        <v>1104</v>
      </c>
      <c r="C885" s="21" t="str">
        <f t="array" ref="C885">XLOOKUP(B885,Customer[Customer_ID],Customer[Name(Cleaned)])</f>
        <v>Justin Mason Dds</v>
      </c>
      <c r="D885" s="22" t="str">
        <f>VLOOKUP(B885,Customer[#ALL],6)</f>
        <v>Male</v>
      </c>
      <c r="E885" s="23">
        <f>Sales[Order_Date]</f>
        <v>45222</v>
      </c>
      <c r="F885" s="21" t="str">
        <f>Sales[Store_ID]</f>
        <v>STORE8</v>
      </c>
      <c r="G885" s="21" t="str">
        <f t="array" ref="G885">INDEX(Store[Store_Name],MATCH(F885,Store[Store_ID],0))</f>
        <v>Bean, Jones and Park</v>
      </c>
      <c r="H885" s="21" t="str">
        <f>Sales[Product_ID]</f>
        <v>PROD26</v>
      </c>
      <c r="I885" s="21" t="str">
        <f>VLOOKUP(H885,Products[],2)</f>
        <v>Wireless Bluetooth Speaker</v>
      </c>
      <c r="J885" s="24">
        <f>Sales[Total_Amount]</f>
        <v>354.564</v>
      </c>
      <c r="K885" s="21" t="str">
        <f t="shared" si="1"/>
        <v>Oct</v>
      </c>
      <c r="L885" s="21">
        <f t="shared" si="2"/>
        <v>2023</v>
      </c>
      <c r="N885" s="33"/>
      <c r="O885" s="34"/>
    </row>
    <row r="886" ht="22.5" customHeight="1">
      <c r="A886" s="21" t="s">
        <v>2851</v>
      </c>
      <c r="B886" s="21" t="s">
        <v>755</v>
      </c>
      <c r="C886" s="21" t="str">
        <f t="array" ref="C886">XLOOKUP(B886,Customer[Customer_ID],Customer[Name(Cleaned)])</f>
        <v>Timothy Sanders</v>
      </c>
      <c r="D886" s="22" t="str">
        <f>VLOOKUP(B886,Customer[#ALL],6)</f>
        <v>Female</v>
      </c>
      <c r="E886" s="23">
        <f>Sales[Order_Date]</f>
        <v>45402</v>
      </c>
      <c r="F886" s="21" t="str">
        <f>Sales[Store_ID]</f>
        <v>STORE6</v>
      </c>
      <c r="G886" s="21" t="str">
        <f t="array" ref="G886">INDEX(Store[Store_Name],MATCH(F886,Store[Store_ID],0))</f>
        <v>Benson-Elliott</v>
      </c>
      <c r="H886" s="21" t="str">
        <f>Sales[Product_ID]</f>
        <v>PROD95</v>
      </c>
      <c r="I886" s="21" t="str">
        <f>VLOOKUP(H886,Products[],2)</f>
        <v>Sports Stopwatch Basic</v>
      </c>
      <c r="J886" s="24">
        <f>Sales[Total_Amount]</f>
        <v>553.6864</v>
      </c>
      <c r="K886" s="21" t="str">
        <f t="shared" si="1"/>
        <v>Apr</v>
      </c>
      <c r="L886" s="21">
        <f t="shared" si="2"/>
        <v>2024</v>
      </c>
      <c r="N886" s="33"/>
      <c r="O886" s="34"/>
    </row>
    <row r="887" ht="22.5" customHeight="1">
      <c r="A887" s="21" t="s">
        <v>2852</v>
      </c>
      <c r="B887" s="21" t="s">
        <v>35</v>
      </c>
      <c r="C887" s="21" t="str">
        <f t="array" ref="C887">XLOOKUP(B887,Customer[Customer_ID],Customer[Name(Cleaned)])</f>
        <v>Caroline Collins</v>
      </c>
      <c r="D887" s="22" t="str">
        <f>VLOOKUP(B887,Customer[#ALL],6)</f>
        <v>Male</v>
      </c>
      <c r="E887" s="23">
        <f>Sales[Order_Date]</f>
        <v>45455</v>
      </c>
      <c r="F887" s="21" t="str">
        <f>Sales[Store_ID]</f>
        <v>STORE4</v>
      </c>
      <c r="G887" s="21" t="str">
        <f t="array" ref="G887">INDEX(Store[Store_Name],MATCH(F887,Store[Store_ID],0))</f>
        <v>Alexander Group</v>
      </c>
      <c r="H887" s="21" t="str">
        <f>Sales[Product_ID]</f>
        <v>PROD96</v>
      </c>
      <c r="I887" s="21" t="str">
        <f>VLOOKUP(H887,Products[],2)</f>
        <v>Women's Formal Blazer</v>
      </c>
      <c r="J887" s="24">
        <f>Sales[Total_Amount]</f>
        <v>1078.8174</v>
      </c>
      <c r="K887" s="21" t="str">
        <f t="shared" si="1"/>
        <v>Jun</v>
      </c>
      <c r="L887" s="21">
        <f t="shared" si="2"/>
        <v>2024</v>
      </c>
      <c r="N887" s="33"/>
      <c r="O887" s="34"/>
    </row>
    <row r="888" ht="22.5" customHeight="1">
      <c r="A888" s="21" t="s">
        <v>2853</v>
      </c>
      <c r="B888" s="21" t="s">
        <v>678</v>
      </c>
      <c r="C888" s="21" t="str">
        <f t="array" ref="C888">XLOOKUP(B888,Customer[Customer_ID],Customer[Name(Cleaned)])</f>
        <v>Tiffany Herrera</v>
      </c>
      <c r="D888" s="22" t="str">
        <f>VLOOKUP(B888,Customer[#ALL],6)</f>
        <v>Female</v>
      </c>
      <c r="E888" s="23">
        <f>Sales[Order_Date]</f>
        <v>45877</v>
      </c>
      <c r="F888" s="21" t="str">
        <f>Sales[Store_ID]</f>
        <v>STORE6</v>
      </c>
      <c r="G888" s="21" t="str">
        <f t="array" ref="G888">INDEX(Store[Store_Name],MATCH(F888,Store[Store_ID],0))</f>
        <v>Benson-Elliott</v>
      </c>
      <c r="H888" s="21" t="str">
        <f>Sales[Product_ID]</f>
        <v>PROD53</v>
      </c>
      <c r="I888" s="21" t="str">
        <f>VLOOKUP(H888,Products[],2)</f>
        <v>Men's Track Pants</v>
      </c>
      <c r="J888" s="24">
        <f>Sales[Total_Amount]</f>
        <v>790.7659</v>
      </c>
      <c r="K888" s="21" t="str">
        <f t="shared" si="1"/>
        <v>Aug</v>
      </c>
      <c r="L888" s="21">
        <f t="shared" si="2"/>
        <v>2025</v>
      </c>
      <c r="N888" s="33"/>
      <c r="O888" s="34"/>
    </row>
    <row r="889" ht="22.5" customHeight="1">
      <c r="A889" s="21" t="s">
        <v>2854</v>
      </c>
      <c r="B889" s="21" t="s">
        <v>312</v>
      </c>
      <c r="C889" s="21" t="str">
        <f t="array" ref="C889">XLOOKUP(B889,Customer[Customer_ID],Customer[Name(Cleaned)])</f>
        <v>Christy Hoffman</v>
      </c>
      <c r="D889" s="22" t="str">
        <f>VLOOKUP(B889,Customer[#ALL],6)</f>
        <v>Male</v>
      </c>
      <c r="E889" s="23">
        <f>Sales[Order_Date]</f>
        <v>45875</v>
      </c>
      <c r="F889" s="21" t="str">
        <f>Sales[Store_ID]</f>
        <v>STORE16</v>
      </c>
      <c r="G889" s="21" t="str">
        <f t="array" ref="G889">INDEX(Store[Store_Name],MATCH(F889,Store[Store_ID],0))</f>
        <v>Frederick-Wright</v>
      </c>
      <c r="H889" s="21" t="str">
        <f>Sales[Product_ID]</f>
        <v>PROD99</v>
      </c>
      <c r="I889" s="21" t="str">
        <f>VLOOKUP(H889,Products[],2)</f>
        <v>Stainless Steel Cookware Set</v>
      </c>
      <c r="J889" s="24">
        <f>Sales[Total_Amount]</f>
        <v>2462.34</v>
      </c>
      <c r="K889" s="21" t="str">
        <f t="shared" si="1"/>
        <v>Aug</v>
      </c>
      <c r="L889" s="21">
        <f t="shared" si="2"/>
        <v>2025</v>
      </c>
      <c r="N889" s="33"/>
      <c r="O889" s="34"/>
    </row>
    <row r="890" ht="22.5" customHeight="1">
      <c r="A890" s="21" t="s">
        <v>2855</v>
      </c>
      <c r="B890" s="21" t="s">
        <v>1089</v>
      </c>
      <c r="C890" s="21" t="str">
        <f t="array" ref="C890">XLOOKUP(B890,Customer[Customer_ID],Customer[Name(Cleaned)])</f>
        <v>Michelle Cunningham</v>
      </c>
      <c r="D890" s="22" t="str">
        <f>VLOOKUP(B890,Customer[#ALL],6)</f>
        <v>Male</v>
      </c>
      <c r="E890" s="23">
        <f>Sales[Order_Date]</f>
        <v>45592</v>
      </c>
      <c r="F890" s="21" t="str">
        <f>Sales[Store_ID]</f>
        <v>STORE3</v>
      </c>
      <c r="G890" s="21" t="str">
        <f t="array" ref="G890">INDEX(Store[Store_Name],MATCH(F890,Store[Store_ID],0))</f>
        <v>Johnson-Wright</v>
      </c>
      <c r="H890" s="21" t="str">
        <f>Sales[Product_ID]</f>
        <v>PROD38</v>
      </c>
      <c r="I890" s="21" t="str">
        <f>VLOOKUP(H890,Products[],2)</f>
        <v>Sports Water Hydration Pack</v>
      </c>
      <c r="J890" s="24">
        <f>Sales[Total_Amount]</f>
        <v>940.69</v>
      </c>
      <c r="K890" s="21" t="str">
        <f t="shared" si="1"/>
        <v>Oct</v>
      </c>
      <c r="L890" s="21">
        <f t="shared" si="2"/>
        <v>2024</v>
      </c>
      <c r="N890" s="33"/>
      <c r="O890" s="34"/>
    </row>
    <row r="891" ht="22.5" customHeight="1">
      <c r="A891" s="21" t="s">
        <v>2856</v>
      </c>
      <c r="B891" s="21" t="s">
        <v>747</v>
      </c>
      <c r="C891" s="21" t="str">
        <f t="array" ref="C891">XLOOKUP(B891,Customer[Customer_ID],Customer[Name(Cleaned)])</f>
        <v>Gregory Pham</v>
      </c>
      <c r="D891" s="22" t="str">
        <f>VLOOKUP(B891,Customer[#ALL],6)</f>
        <v>Male</v>
      </c>
      <c r="E891" s="23">
        <f>Sales[Order_Date]</f>
        <v>45369</v>
      </c>
      <c r="F891" s="21" t="str">
        <f>Sales[Store_ID]</f>
        <v>STORE8</v>
      </c>
      <c r="G891" s="21" t="str">
        <f t="array" ref="G891">INDEX(Store[Store_Name],MATCH(F891,Store[Store_ID],0))</f>
        <v>Bean, Jones and Park</v>
      </c>
      <c r="H891" s="21" t="str">
        <f>Sales[Product_ID]</f>
        <v>PROD99</v>
      </c>
      <c r="I891" s="21" t="str">
        <f>VLOOKUP(H891,Products[],2)</f>
        <v>Stainless Steel Cookware Set</v>
      </c>
      <c r="J891" s="24">
        <f>Sales[Total_Amount]</f>
        <v>1347.456</v>
      </c>
      <c r="K891" s="21" t="str">
        <f t="shared" si="1"/>
        <v>Mar</v>
      </c>
      <c r="L891" s="21">
        <f t="shared" si="2"/>
        <v>2024</v>
      </c>
      <c r="N891" s="33"/>
      <c r="O891" s="34"/>
    </row>
    <row r="892" ht="22.5" customHeight="1">
      <c r="A892" s="21" t="s">
        <v>2857</v>
      </c>
      <c r="B892" s="21" t="s">
        <v>346</v>
      </c>
      <c r="C892" s="21" t="str">
        <f t="array" ref="C892">XLOOKUP(B892,Customer[Customer_ID],Customer[Name(Cleaned)])</f>
        <v>David Patterson</v>
      </c>
      <c r="D892" s="22" t="str">
        <f>VLOOKUP(B892,Customer[#ALL],6)</f>
        <v>Male</v>
      </c>
      <c r="E892" s="23">
        <f>Sales[Order_Date]</f>
        <v>45517</v>
      </c>
      <c r="F892" s="21" t="str">
        <f>Sales[Store_ID]</f>
        <v>STORE4</v>
      </c>
      <c r="G892" s="21" t="str">
        <f t="array" ref="G892">INDEX(Store[Store_Name],MATCH(F892,Store[Store_ID],0))</f>
        <v>Alexander Group</v>
      </c>
      <c r="H892" s="21" t="str">
        <f>Sales[Product_ID]</f>
        <v>PROD39</v>
      </c>
      <c r="I892" s="21" t="str">
        <f>VLOOKUP(H892,Products[],2)</f>
        <v>Portable Power Bank</v>
      </c>
      <c r="J892" s="24">
        <f>Sales[Total_Amount]</f>
        <v>838.845</v>
      </c>
      <c r="K892" s="21" t="str">
        <f t="shared" si="1"/>
        <v>Aug</v>
      </c>
      <c r="L892" s="21">
        <f t="shared" si="2"/>
        <v>2024</v>
      </c>
      <c r="N892" s="33"/>
      <c r="O892" s="34"/>
    </row>
    <row r="893" ht="22.5" customHeight="1">
      <c r="A893" s="21" t="s">
        <v>2858</v>
      </c>
      <c r="B893" s="21" t="s">
        <v>1488</v>
      </c>
      <c r="C893" s="21" t="str">
        <f t="array" ref="C893">XLOOKUP(B893,Customer[Customer_ID],Customer[Name(Cleaned)])</f>
        <v>Earl Smith Dds</v>
      </c>
      <c r="D893" s="22" t="str">
        <f>VLOOKUP(B893,Customer[#ALL],6)</f>
        <v>Female</v>
      </c>
      <c r="E893" s="23">
        <f>Sales[Order_Date]</f>
        <v>45235</v>
      </c>
      <c r="F893" s="21" t="str">
        <f>Sales[Store_ID]</f>
        <v>STORE12</v>
      </c>
      <c r="G893" s="21" t="str">
        <f t="array" ref="G893">INDEX(Store[Store_Name],MATCH(F893,Store[Store_ID],0))</f>
        <v>Thomas, Bridges and Harris</v>
      </c>
      <c r="H893" s="21" t="str">
        <f>Sales[Product_ID]</f>
        <v>PROD39</v>
      </c>
      <c r="I893" s="21" t="str">
        <f>VLOOKUP(H893,Products[],2)</f>
        <v>Portable Power Bank</v>
      </c>
      <c r="J893" s="24">
        <f>Sales[Total_Amount]</f>
        <v>2089.8951</v>
      </c>
      <c r="K893" s="21" t="str">
        <f t="shared" si="1"/>
        <v>Nov</v>
      </c>
      <c r="L893" s="21">
        <f t="shared" si="2"/>
        <v>2023</v>
      </c>
      <c r="N893" s="33"/>
      <c r="O893" s="34"/>
    </row>
    <row r="894" ht="22.5" customHeight="1">
      <c r="A894" s="21" t="s">
        <v>2859</v>
      </c>
      <c r="B894" s="21" t="s">
        <v>908</v>
      </c>
      <c r="C894" s="21" t="str">
        <f t="array" ref="C894">XLOOKUP(B894,Customer[Customer_ID],Customer[Name(Cleaned)])</f>
        <v>Brittany Watson</v>
      </c>
      <c r="D894" s="22" t="str">
        <f>VLOOKUP(B894,Customer[#ALL],6)</f>
        <v>Female</v>
      </c>
      <c r="E894" s="23">
        <f>Sales[Order_Date]</f>
        <v>45249</v>
      </c>
      <c r="F894" s="21" t="str">
        <f>Sales[Store_ID]</f>
        <v>STORE8</v>
      </c>
      <c r="G894" s="21" t="str">
        <f t="array" ref="G894">INDEX(Store[Store_Name],MATCH(F894,Store[Store_ID],0))</f>
        <v>Bean, Jones and Park</v>
      </c>
      <c r="H894" s="21" t="str">
        <f>Sales[Product_ID]</f>
        <v>PROD72</v>
      </c>
      <c r="I894" s="21" t="str">
        <f>VLOOKUP(H894,Products[],2)</f>
        <v>Professional Jump Rope</v>
      </c>
      <c r="J894" s="24">
        <f>Sales[Total_Amount]</f>
        <v>763.1572</v>
      </c>
      <c r="K894" s="21" t="str">
        <f t="shared" si="1"/>
        <v>Nov</v>
      </c>
      <c r="L894" s="21">
        <f t="shared" si="2"/>
        <v>2023</v>
      </c>
      <c r="N894" s="33"/>
      <c r="O894" s="34"/>
    </row>
    <row r="895" ht="22.5" customHeight="1">
      <c r="A895" s="21" t="s">
        <v>2860</v>
      </c>
      <c r="B895" s="21" t="s">
        <v>1311</v>
      </c>
      <c r="C895" s="21" t="str">
        <f t="array" ref="C895">XLOOKUP(B895,Customer[Customer_ID],Customer[Name(Cleaned)])</f>
        <v>Karen King</v>
      </c>
      <c r="D895" s="22" t="str">
        <f>VLOOKUP(B895,Customer[#ALL],6)</f>
        <v>Male</v>
      </c>
      <c r="E895" s="23">
        <f>Sales[Order_Date]</f>
        <v>45741</v>
      </c>
      <c r="F895" s="21" t="str">
        <f>Sales[Store_ID]</f>
        <v>STORE16</v>
      </c>
      <c r="G895" s="21" t="str">
        <f t="array" ref="G895">INDEX(Store[Store_Name],MATCH(F895,Store[Store_ID],0))</f>
        <v>Frederick-Wright</v>
      </c>
      <c r="H895" s="21" t="str">
        <f>Sales[Product_ID]</f>
        <v>PROD17</v>
      </c>
      <c r="I895" s="21" t="str">
        <f>VLOOKUP(H895,Products[],2)</f>
        <v>Soccer Training Cone Set</v>
      </c>
      <c r="J895" s="24">
        <f>Sales[Total_Amount]</f>
        <v>285.8394</v>
      </c>
      <c r="K895" s="21" t="str">
        <f t="shared" si="1"/>
        <v>Mar</v>
      </c>
      <c r="L895" s="21">
        <f t="shared" si="2"/>
        <v>2025</v>
      </c>
      <c r="N895" s="33"/>
      <c r="O895" s="34"/>
    </row>
    <row r="896" ht="22.5" customHeight="1">
      <c r="A896" s="21" t="s">
        <v>2861</v>
      </c>
      <c r="B896" s="21" t="s">
        <v>70</v>
      </c>
      <c r="C896" s="21" t="str">
        <f t="array" ref="C896">XLOOKUP(B896,Customer[Customer_ID],Customer[Name(Cleaned)])</f>
        <v>Nathan Hernandez</v>
      </c>
      <c r="D896" s="22" t="str">
        <f>VLOOKUP(B896,Customer[#ALL],6)</f>
        <v>Male</v>
      </c>
      <c r="E896" s="23">
        <f>Sales[Order_Date]</f>
        <v>45427</v>
      </c>
      <c r="F896" s="21" t="str">
        <f>Sales[Store_ID]</f>
        <v>STORE11</v>
      </c>
      <c r="G896" s="21" t="str">
        <f t="array" ref="G896">INDEX(Store[Store_Name],MATCH(F896,Store[Store_ID],0))</f>
        <v>Aguirre-Keller</v>
      </c>
      <c r="H896" s="21" t="str">
        <f>Sales[Product_ID]</f>
        <v>PROD67</v>
      </c>
      <c r="I896" s="21" t="str">
        <f>VLOOKUP(H896,Products[],2)</f>
        <v>Smart LED Light Strip</v>
      </c>
      <c r="J896" s="24">
        <f>Sales[Total_Amount]</f>
        <v>2324.556</v>
      </c>
      <c r="K896" s="21" t="str">
        <f t="shared" si="1"/>
        <v>May</v>
      </c>
      <c r="L896" s="21">
        <f t="shared" si="2"/>
        <v>2024</v>
      </c>
      <c r="N896" s="33"/>
      <c r="O896" s="34"/>
    </row>
    <row r="897" ht="22.5" customHeight="1">
      <c r="A897" s="21" t="s">
        <v>2862</v>
      </c>
      <c r="B897" s="21" t="s">
        <v>142</v>
      </c>
      <c r="C897" s="21" t="str">
        <f t="array" ref="C897">XLOOKUP(B897,Customer[Customer_ID],Customer[Name(Cleaned)])</f>
        <v>Robert Jones Dds</v>
      </c>
      <c r="D897" s="22" t="str">
        <f>VLOOKUP(B897,Customer[#ALL],6)</f>
        <v>Female</v>
      </c>
      <c r="E897" s="23">
        <f>Sales[Order_Date]</f>
        <v>45736</v>
      </c>
      <c r="F897" s="21" t="str">
        <f>Sales[Store_ID]</f>
        <v>STORE12</v>
      </c>
      <c r="G897" s="21" t="str">
        <f t="array" ref="G897">INDEX(Store[Store_Name],MATCH(F897,Store[Store_ID],0))</f>
        <v>Thomas, Bridges and Harris</v>
      </c>
      <c r="H897" s="21" t="str">
        <f>Sales[Product_ID]</f>
        <v>PROD21</v>
      </c>
      <c r="I897" s="21" t="str">
        <f>VLOOKUP(H897,Products[],2)</f>
        <v>Multi-Purpose Storage Box</v>
      </c>
      <c r="J897" s="24">
        <f>Sales[Total_Amount]</f>
        <v>1232.952</v>
      </c>
      <c r="K897" s="21" t="str">
        <f t="shared" si="1"/>
        <v>Mar</v>
      </c>
      <c r="L897" s="21">
        <f t="shared" si="2"/>
        <v>2025</v>
      </c>
      <c r="N897" s="33"/>
      <c r="O897" s="34"/>
    </row>
    <row r="898" ht="22.5" customHeight="1">
      <c r="A898" s="21" t="s">
        <v>2863</v>
      </c>
      <c r="B898" s="21" t="s">
        <v>788</v>
      </c>
      <c r="C898" s="21" t="str">
        <f t="array" ref="C898">XLOOKUP(B898,Customer[Customer_ID],Customer[Name(Cleaned)])</f>
        <v>Mr. William Horton</v>
      </c>
      <c r="D898" s="22" t="str">
        <f>VLOOKUP(B898,Customer[#ALL],6)</f>
        <v>Female</v>
      </c>
      <c r="E898" s="23">
        <f>Sales[Order_Date]</f>
        <v>45941</v>
      </c>
      <c r="F898" s="21" t="str">
        <f>Sales[Store_ID]</f>
        <v>STORE18</v>
      </c>
      <c r="G898" s="21" t="str">
        <f t="array" ref="G898">INDEX(Store[Store_Name],MATCH(F898,Store[Store_ID],0))</f>
        <v>Guerrero-Schmitt</v>
      </c>
      <c r="H898" s="21" t="str">
        <f>Sales[Product_ID]</f>
        <v>PROD25</v>
      </c>
      <c r="I898" s="21" t="str">
        <f>VLOOKUP(H898,Products[],2)</f>
        <v>Women's Scarf Set</v>
      </c>
      <c r="J898" s="24">
        <f>Sales[Total_Amount]</f>
        <v>341.003</v>
      </c>
      <c r="K898" s="21" t="str">
        <f t="shared" si="1"/>
        <v>Oct</v>
      </c>
      <c r="L898" s="21">
        <f t="shared" si="2"/>
        <v>2025</v>
      </c>
      <c r="N898" s="33"/>
      <c r="O898" s="34"/>
    </row>
    <row r="899" ht="22.5" customHeight="1">
      <c r="A899" s="21" t="s">
        <v>2864</v>
      </c>
      <c r="B899" s="21" t="s">
        <v>1161</v>
      </c>
      <c r="C899" s="21" t="str">
        <f t="array" ref="C899">XLOOKUP(B899,Customer[Customer_ID],Customer[Name(Cleaned)])</f>
        <v>Mallory Allen</v>
      </c>
      <c r="D899" s="22" t="str">
        <f>VLOOKUP(B899,Customer[#ALL],6)</f>
        <v>Male</v>
      </c>
      <c r="E899" s="23">
        <f>Sales[Order_Date]</f>
        <v>45486</v>
      </c>
      <c r="F899" s="21" t="str">
        <f>Sales[Store_ID]</f>
        <v>STORE18</v>
      </c>
      <c r="G899" s="21" t="str">
        <f t="array" ref="G899">INDEX(Store[Store_Name],MATCH(F899,Store[Store_ID],0))</f>
        <v>Guerrero-Schmitt</v>
      </c>
      <c r="H899" s="21" t="str">
        <f>Sales[Product_ID]</f>
        <v>PROD58</v>
      </c>
      <c r="I899" s="21" t="str">
        <f>VLOOKUP(H899,Products[],2)</f>
        <v>Womens Cotton Scarf</v>
      </c>
      <c r="J899" s="24">
        <f>Sales[Total_Amount]</f>
        <v>1737.9912</v>
      </c>
      <c r="K899" s="21" t="str">
        <f t="shared" si="1"/>
        <v>Jul</v>
      </c>
      <c r="L899" s="21">
        <f t="shared" si="2"/>
        <v>2024</v>
      </c>
      <c r="N899" s="33"/>
      <c r="O899" s="34"/>
    </row>
    <row r="900" ht="22.5" customHeight="1">
      <c r="A900" s="21" t="s">
        <v>2865</v>
      </c>
      <c r="B900" s="21" t="s">
        <v>669</v>
      </c>
      <c r="C900" s="21" t="str">
        <f t="array" ref="C900">XLOOKUP(B900,Customer[Customer_ID],Customer[Name(Cleaned)])</f>
        <v>Mary Boyd</v>
      </c>
      <c r="D900" s="22" t="str">
        <f>VLOOKUP(B900,Customer[#ALL],6)</f>
        <v>Male</v>
      </c>
      <c r="E900" s="23">
        <f>Sales[Order_Date]</f>
        <v>45474</v>
      </c>
      <c r="F900" s="21" t="str">
        <f>Sales[Store_ID]</f>
        <v>STORE11</v>
      </c>
      <c r="G900" s="21" t="str">
        <f t="array" ref="G900">INDEX(Store[Store_Name],MATCH(F900,Store[Store_ID],0))</f>
        <v>Aguirre-Keller</v>
      </c>
      <c r="H900" s="21" t="str">
        <f>Sales[Product_ID]</f>
        <v>PROD49</v>
      </c>
      <c r="I900" s="21" t="str">
        <f>VLOOKUP(H900,Products[],2)</f>
        <v>Men's Roll-On Perfume</v>
      </c>
      <c r="J900" s="24">
        <f>Sales[Total_Amount]</f>
        <v>1765.176</v>
      </c>
      <c r="K900" s="21" t="str">
        <f t="shared" si="1"/>
        <v>Jul</v>
      </c>
      <c r="L900" s="21">
        <f t="shared" si="2"/>
        <v>2024</v>
      </c>
      <c r="N900" s="33"/>
      <c r="O900" s="34"/>
    </row>
    <row r="901" ht="22.5" customHeight="1">
      <c r="A901" s="21" t="s">
        <v>2866</v>
      </c>
      <c r="B901" s="21" t="s">
        <v>501</v>
      </c>
      <c r="C901" s="21" t="str">
        <f t="array" ref="C901">XLOOKUP(B901,Customer[Customer_ID],Customer[Name(Cleaned)])</f>
        <v>Cameron Simpson</v>
      </c>
      <c r="D901" s="22" t="str">
        <f>VLOOKUP(B901,Customer[#ALL],6)</f>
        <v>Female</v>
      </c>
      <c r="E901" s="23">
        <f>Sales[Order_Date]</f>
        <v>45757</v>
      </c>
      <c r="F901" s="21" t="str">
        <f>Sales[Store_ID]</f>
        <v>STORE10</v>
      </c>
      <c r="G901" s="21" t="str">
        <f t="array" ref="G901">INDEX(Store[Store_Name],MATCH(F901,Store[Store_ID],0))</f>
        <v>Hill, Wagner and Ballard</v>
      </c>
      <c r="H901" s="21" t="str">
        <f>Sales[Product_ID]</f>
        <v>PROD94</v>
      </c>
      <c r="I901" s="21" t="str">
        <f>VLOOKUP(H901,Products[],2)</f>
        <v>Vitamin E Body Lotion</v>
      </c>
      <c r="J901" s="24">
        <f>Sales[Total_Amount]</f>
        <v>127.794</v>
      </c>
      <c r="K901" s="21" t="str">
        <f t="shared" si="1"/>
        <v>Apr</v>
      </c>
      <c r="L901" s="21">
        <f t="shared" si="2"/>
        <v>2025</v>
      </c>
      <c r="N901" s="33"/>
      <c r="O901" s="34"/>
    </row>
    <row r="902" ht="22.5" customHeight="1">
      <c r="A902" s="21" t="s">
        <v>2867</v>
      </c>
      <c r="B902" s="21" t="s">
        <v>149</v>
      </c>
      <c r="C902" s="21" t="str">
        <f t="array" ref="C902">XLOOKUP(B902,Customer[Customer_ID],Customer[Name(Cleaned)])</f>
        <v>Rachel Myers</v>
      </c>
      <c r="D902" s="22" t="str">
        <f>VLOOKUP(B902,Customer[#ALL],6)</f>
        <v>Female</v>
      </c>
      <c r="E902" s="23">
        <f>Sales[Order_Date]</f>
        <v>45475</v>
      </c>
      <c r="F902" s="21" t="str">
        <f>Sales[Store_ID]</f>
        <v>STORE0</v>
      </c>
      <c r="G902" s="21" t="str">
        <f t="array" ref="G902">INDEX(Store[Store_Name],MATCH(F902,Store[Store_ID],0))</f>
        <v>Rivera-Warner</v>
      </c>
      <c r="H902" s="21" t="str">
        <f>Sales[Product_ID]</f>
        <v>PROD16</v>
      </c>
      <c r="I902" s="21" t="str">
        <f>VLOOKUP(H902,Products[],2)</f>
        <v>Beard Grooming Kit</v>
      </c>
      <c r="J902" s="24">
        <f>Sales[Total_Amount]</f>
        <v>491.4699</v>
      </c>
      <c r="K902" s="21" t="str">
        <f t="shared" si="1"/>
        <v>Jul</v>
      </c>
      <c r="L902" s="21">
        <f t="shared" si="2"/>
        <v>2024</v>
      </c>
      <c r="N902" s="33"/>
      <c r="O902" s="34"/>
    </row>
    <row r="903" ht="22.5" customHeight="1">
      <c r="A903" s="21" t="s">
        <v>2868</v>
      </c>
      <c r="B903" s="21" t="s">
        <v>349</v>
      </c>
      <c r="C903" s="21" t="str">
        <f t="array" ref="C903">XLOOKUP(B903,Customer[Customer_ID],Customer[Name(Cleaned)])</f>
        <v>Amy Fowler</v>
      </c>
      <c r="D903" s="22" t="str">
        <f>VLOOKUP(B903,Customer[#ALL],6)</f>
        <v>Male</v>
      </c>
      <c r="E903" s="23">
        <f>Sales[Order_Date]</f>
        <v>45546</v>
      </c>
      <c r="F903" s="21" t="str">
        <f>Sales[Store_ID]</f>
        <v>STORE11</v>
      </c>
      <c r="G903" s="21" t="str">
        <f t="array" ref="G903">INDEX(Store[Store_Name],MATCH(F903,Store[Store_ID],0))</f>
        <v>Aguirre-Keller</v>
      </c>
      <c r="H903" s="21" t="str">
        <f>Sales[Product_ID]</f>
        <v>PROD60</v>
      </c>
      <c r="I903" s="21" t="str">
        <f>VLOOKUP(H903,Products[],2)</f>
        <v>Luxury Perfume Spray</v>
      </c>
      <c r="J903" s="24">
        <f>Sales[Total_Amount]</f>
        <v>133.339</v>
      </c>
      <c r="K903" s="21" t="str">
        <f t="shared" si="1"/>
        <v>Sep</v>
      </c>
      <c r="L903" s="21">
        <f t="shared" si="2"/>
        <v>2024</v>
      </c>
      <c r="N903" s="33"/>
      <c r="O903" s="34"/>
    </row>
    <row r="904" ht="22.5" customHeight="1">
      <c r="A904" s="21" t="s">
        <v>2869</v>
      </c>
      <c r="B904" s="21" t="s">
        <v>1441</v>
      </c>
      <c r="C904" s="21" t="str">
        <f t="array" ref="C904">XLOOKUP(B904,Customer[Customer_ID],Customer[Name(Cleaned)])</f>
        <v>Beth Martin</v>
      </c>
      <c r="D904" s="22" t="str">
        <f>VLOOKUP(B904,Customer[#ALL],6)</f>
        <v>Male</v>
      </c>
      <c r="E904" s="23">
        <f>Sales[Order_Date]</f>
        <v>45710</v>
      </c>
      <c r="F904" s="21" t="str">
        <f>Sales[Store_ID]</f>
        <v>STORE13</v>
      </c>
      <c r="G904" s="21" t="str">
        <f t="array" ref="G904">INDEX(Store[Store_Name],MATCH(F904,Store[Store_ID],0))</f>
        <v>Gardner, Humphrey and Contreras</v>
      </c>
      <c r="H904" s="21" t="str">
        <f>Sales[Product_ID]</f>
        <v>PROD33</v>
      </c>
      <c r="I904" s="21" t="str">
        <f>VLOOKUP(H904,Products[],2)</f>
        <v>Modern Wall Clock</v>
      </c>
      <c r="J904" s="24">
        <f>Sales[Total_Amount]</f>
        <v>137.496</v>
      </c>
      <c r="K904" s="21" t="str">
        <f t="shared" si="1"/>
        <v>Feb</v>
      </c>
      <c r="L904" s="21">
        <f t="shared" si="2"/>
        <v>2025</v>
      </c>
      <c r="N904" s="33"/>
      <c r="O904" s="34"/>
    </row>
    <row r="905" ht="22.5" customHeight="1">
      <c r="A905" s="21" t="s">
        <v>2870</v>
      </c>
      <c r="B905" s="21" t="s">
        <v>981</v>
      </c>
      <c r="C905" s="21" t="str">
        <f t="array" ref="C905">XLOOKUP(B905,Customer[Customer_ID],Customer[Name(Cleaned)])</f>
        <v>Angela Robinson</v>
      </c>
      <c r="D905" s="22" t="str">
        <f>VLOOKUP(B905,Customer[#ALL],6)</f>
        <v>Female</v>
      </c>
      <c r="E905" s="23">
        <f>Sales[Order_Date]</f>
        <v>45520</v>
      </c>
      <c r="F905" s="21" t="str">
        <f>Sales[Store_ID]</f>
        <v>STORE7</v>
      </c>
      <c r="G905" s="21" t="str">
        <f t="array" ref="G905">INDEX(Store[Store_Name],MATCH(F905,Store[Store_ID],0))</f>
        <v>Martinez-Mullins</v>
      </c>
      <c r="H905" s="21" t="str">
        <f>Sales[Product_ID]</f>
        <v>PROD35</v>
      </c>
      <c r="I905" s="21" t="str">
        <f>VLOOKUP(H905,Products[],2)</f>
        <v>Bedroom Table Lamp</v>
      </c>
      <c r="J905" s="24">
        <f>Sales[Total_Amount]</f>
        <v>487.746</v>
      </c>
      <c r="K905" s="21" t="str">
        <f t="shared" si="1"/>
        <v>Aug</v>
      </c>
      <c r="L905" s="21">
        <f t="shared" si="2"/>
        <v>2024</v>
      </c>
      <c r="N905" s="33"/>
      <c r="O905" s="34"/>
    </row>
    <row r="906" ht="22.5" customHeight="1">
      <c r="A906" s="21" t="s">
        <v>2871</v>
      </c>
      <c r="B906" s="21" t="s">
        <v>507</v>
      </c>
      <c r="C906" s="21" t="str">
        <f t="array" ref="C906">XLOOKUP(B906,Customer[Customer_ID],Customer[Name(Cleaned)])</f>
        <v>Rhonda Young</v>
      </c>
      <c r="D906" s="22" t="str">
        <f>VLOOKUP(B906,Customer[#ALL],6)</f>
        <v>Male</v>
      </c>
      <c r="E906" s="23">
        <f>Sales[Order_Date]</f>
        <v>45534</v>
      </c>
      <c r="F906" s="21" t="str">
        <f>Sales[Store_ID]</f>
        <v>STORE1</v>
      </c>
      <c r="G906" s="21" t="str">
        <f t="array" ref="G906">INDEX(Store[Store_Name],MATCH(F906,Store[Store_ID],0))</f>
        <v>Martinez, Adkins and Johnson</v>
      </c>
      <c r="H906" s="21" t="str">
        <f>Sales[Product_ID]</f>
        <v>PROD53</v>
      </c>
      <c r="I906" s="21" t="str">
        <f>VLOOKUP(H906,Products[],2)</f>
        <v>Men's Track Pants</v>
      </c>
      <c r="J906" s="24">
        <f>Sales[Total_Amount]</f>
        <v>2145.7485</v>
      </c>
      <c r="K906" s="21" t="str">
        <f t="shared" si="1"/>
        <v>Aug</v>
      </c>
      <c r="L906" s="21">
        <f t="shared" si="2"/>
        <v>2024</v>
      </c>
      <c r="N906" s="33"/>
      <c r="O906" s="34"/>
    </row>
    <row r="907" ht="22.5" customHeight="1">
      <c r="A907" s="21" t="s">
        <v>2872</v>
      </c>
      <c r="B907" s="21" t="s">
        <v>229</v>
      </c>
      <c r="C907" s="21" t="str">
        <f t="array" ref="C907">XLOOKUP(B907,Customer[Customer_ID],Customer[Name(Cleaned)])</f>
        <v>Alyssa Vargas</v>
      </c>
      <c r="D907" s="22" t="str">
        <f>VLOOKUP(B907,Customer[#ALL],6)</f>
        <v>Female</v>
      </c>
      <c r="E907" s="23">
        <f>Sales[Order_Date]</f>
        <v>45334</v>
      </c>
      <c r="F907" s="21" t="str">
        <f>Sales[Store_ID]</f>
        <v>STORE13</v>
      </c>
      <c r="G907" s="21" t="str">
        <f t="array" ref="G907">INDEX(Store[Store_Name],MATCH(F907,Store[Store_ID],0))</f>
        <v>Gardner, Humphrey and Contreras</v>
      </c>
      <c r="H907" s="21" t="str">
        <f>Sales[Product_ID]</f>
        <v>PROD21</v>
      </c>
      <c r="I907" s="21" t="str">
        <f>VLOOKUP(H907,Products[],2)</f>
        <v>Multi-Purpose Storage Box</v>
      </c>
      <c r="J907" s="24">
        <f>Sales[Total_Amount]</f>
        <v>1575.0724</v>
      </c>
      <c r="K907" s="21" t="str">
        <f t="shared" si="1"/>
        <v>Feb</v>
      </c>
      <c r="L907" s="21">
        <f t="shared" si="2"/>
        <v>2024</v>
      </c>
      <c r="N907" s="33"/>
      <c r="O907" s="34"/>
    </row>
    <row r="908" ht="22.5" customHeight="1">
      <c r="A908" s="21" t="s">
        <v>2873</v>
      </c>
      <c r="B908" s="21" t="s">
        <v>1411</v>
      </c>
      <c r="C908" s="21" t="str">
        <f t="array" ref="C908">XLOOKUP(B908,Customer[Customer_ID],Customer[Name(Cleaned)])</f>
        <v>Ashley Roberts</v>
      </c>
      <c r="D908" s="22" t="str">
        <f>VLOOKUP(B908,Customer[#ALL],6)</f>
        <v>Female</v>
      </c>
      <c r="E908" s="23">
        <f>Sales[Order_Date]</f>
        <v>45289</v>
      </c>
      <c r="F908" s="21" t="str">
        <f>Sales[Store_ID]</f>
        <v>STORE18</v>
      </c>
      <c r="G908" s="21" t="str">
        <f t="array" ref="G908">INDEX(Store[Store_Name],MATCH(F908,Store[Store_ID],0))</f>
        <v>Guerrero-Schmitt</v>
      </c>
      <c r="H908" s="21" t="str">
        <f>Sales[Product_ID]</f>
        <v>PROD75</v>
      </c>
      <c r="I908" s="21" t="str">
        <f>VLOOKUP(H908,Products[],2)</f>
        <v>Women's Ankle Boots</v>
      </c>
      <c r="J908" s="24">
        <f>Sales[Total_Amount]</f>
        <v>1635.2616</v>
      </c>
      <c r="K908" s="21" t="str">
        <f t="shared" si="1"/>
        <v>Dec</v>
      </c>
      <c r="L908" s="21">
        <f t="shared" si="2"/>
        <v>2023</v>
      </c>
      <c r="N908" s="33"/>
      <c r="O908" s="34"/>
    </row>
    <row r="909" ht="22.5" customHeight="1">
      <c r="A909" s="21" t="s">
        <v>2874</v>
      </c>
      <c r="B909" s="21" t="s">
        <v>410</v>
      </c>
      <c r="C909" s="21" t="str">
        <f t="array" ref="C909">XLOOKUP(B909,Customer[Customer_ID],Customer[Name(Cleaned)])</f>
        <v>Tyler Conrad</v>
      </c>
      <c r="D909" s="22" t="str">
        <f>VLOOKUP(B909,Customer[#ALL],6)</f>
        <v>Male</v>
      </c>
      <c r="E909" s="23">
        <f>Sales[Order_Date]</f>
        <v>45832</v>
      </c>
      <c r="F909" s="21" t="str">
        <f>Sales[Store_ID]</f>
        <v>STORE0</v>
      </c>
      <c r="G909" s="21" t="str">
        <f t="array" ref="G909">INDEX(Store[Store_Name],MATCH(F909,Store[Store_ID],0))</f>
        <v>Rivera-Warner</v>
      </c>
      <c r="H909" s="21" t="str">
        <f>Sales[Product_ID]</f>
        <v>PROD12</v>
      </c>
      <c r="I909" s="21" t="str">
        <f>VLOOKUP(H909,Products[],2)</f>
        <v>Hair Strengthening Shampoo</v>
      </c>
      <c r="J909" s="24">
        <f>Sales[Total_Amount]</f>
        <v>236.7372</v>
      </c>
      <c r="K909" s="21" t="str">
        <f t="shared" si="1"/>
        <v>Jun</v>
      </c>
      <c r="L909" s="21">
        <f t="shared" si="2"/>
        <v>2025</v>
      </c>
      <c r="N909" s="33"/>
      <c r="O909" s="34"/>
    </row>
    <row r="910" ht="22.5" customHeight="1">
      <c r="A910" s="21" t="s">
        <v>2875</v>
      </c>
      <c r="B910" s="21" t="s">
        <v>678</v>
      </c>
      <c r="C910" s="21" t="str">
        <f t="array" ref="C910">XLOOKUP(B910,Customer[Customer_ID],Customer[Name(Cleaned)])</f>
        <v>Tiffany Herrera</v>
      </c>
      <c r="D910" s="22" t="str">
        <f>VLOOKUP(B910,Customer[#ALL],6)</f>
        <v>Female</v>
      </c>
      <c r="E910" s="23">
        <f>Sales[Order_Date]</f>
        <v>45400</v>
      </c>
      <c r="F910" s="21" t="str">
        <f>Sales[Store_ID]</f>
        <v>STORE14</v>
      </c>
      <c r="G910" s="21" t="str">
        <f t="array" ref="G910">INDEX(Store[Store_Name],MATCH(F910,Store[Store_ID],0))</f>
        <v>Mcdonald Inc</v>
      </c>
      <c r="H910" s="21" t="str">
        <f>Sales[Product_ID]</f>
        <v>PROD59</v>
      </c>
      <c r="I910" s="21" t="str">
        <f>VLOOKUP(H910,Products[],2)</f>
        <v>Men's Hair Styling Gel</v>
      </c>
      <c r="J910" s="24">
        <f>Sales[Total_Amount]</f>
        <v>488.7168</v>
      </c>
      <c r="K910" s="21" t="str">
        <f t="shared" si="1"/>
        <v>Apr</v>
      </c>
      <c r="L910" s="21">
        <f t="shared" si="2"/>
        <v>2024</v>
      </c>
      <c r="N910" s="33"/>
      <c r="O910" s="34"/>
    </row>
    <row r="911" ht="22.5" customHeight="1">
      <c r="A911" s="21" t="s">
        <v>2876</v>
      </c>
      <c r="B911" s="21" t="s">
        <v>1262</v>
      </c>
      <c r="C911" s="21" t="str">
        <f t="array" ref="C911">XLOOKUP(B911,Customer[Customer_ID],Customer[Name(Cleaned)])</f>
        <v>Mark Rogers</v>
      </c>
      <c r="D911" s="22" t="str">
        <f>VLOOKUP(B911,Customer[#ALL],6)</f>
        <v>Male</v>
      </c>
      <c r="E911" s="23">
        <f>Sales[Order_Date]</f>
        <v>45930</v>
      </c>
      <c r="F911" s="21" t="str">
        <f>Sales[Store_ID]</f>
        <v>STORE2</v>
      </c>
      <c r="G911" s="21" t="str">
        <f t="array" ref="G911">INDEX(Store[Store_Name],MATCH(F911,Store[Store_ID],0))</f>
        <v>Black-Horn</v>
      </c>
      <c r="H911" s="21" t="str">
        <f>Sales[Product_ID]</f>
        <v>PROD96</v>
      </c>
      <c r="I911" s="21" t="str">
        <f>VLOOKUP(H911,Products[],2)</f>
        <v>Women's Formal Blazer</v>
      </c>
      <c r="J911" s="24">
        <f>Sales[Total_Amount]</f>
        <v>2315.852</v>
      </c>
      <c r="K911" s="21" t="str">
        <f t="shared" si="1"/>
        <v>Sep</v>
      </c>
      <c r="L911" s="21">
        <f t="shared" si="2"/>
        <v>2025</v>
      </c>
      <c r="N911" s="33"/>
      <c r="O911" s="34"/>
    </row>
    <row r="912" ht="22.5" customHeight="1">
      <c r="A912" s="21" t="s">
        <v>2877</v>
      </c>
      <c r="B912" s="21" t="s">
        <v>696</v>
      </c>
      <c r="C912" s="21" t="str">
        <f t="array" ref="C912">XLOOKUP(B912,Customer[Customer_ID],Customer[Name(Cleaned)])</f>
        <v>Antonio Jones</v>
      </c>
      <c r="D912" s="22" t="str">
        <f>VLOOKUP(B912,Customer[#ALL],6)</f>
        <v>Female</v>
      </c>
      <c r="E912" s="23">
        <f>Sales[Order_Date]</f>
        <v>45935</v>
      </c>
      <c r="F912" s="21" t="str">
        <f>Sales[Store_ID]</f>
        <v>STORE4</v>
      </c>
      <c r="G912" s="21" t="str">
        <f t="array" ref="G912">INDEX(Store[Store_Name],MATCH(F912,Store[Store_ID],0))</f>
        <v>Alexander Group</v>
      </c>
      <c r="H912" s="21" t="str">
        <f>Sales[Product_ID]</f>
        <v>PROD29</v>
      </c>
      <c r="I912" s="21" t="str">
        <f>VLOOKUP(H912,Products[],2)</f>
        <v>Fabric Sofa Throw Blanket</v>
      </c>
      <c r="J912" s="24">
        <f>Sales[Total_Amount]</f>
        <v>1267.9744</v>
      </c>
      <c r="K912" s="21" t="str">
        <f t="shared" si="1"/>
        <v>Oct</v>
      </c>
      <c r="L912" s="21">
        <f t="shared" si="2"/>
        <v>2025</v>
      </c>
      <c r="N912" s="33"/>
      <c r="O912" s="34"/>
    </row>
    <row r="913" ht="22.5" customHeight="1">
      <c r="A913" s="21" t="s">
        <v>2878</v>
      </c>
      <c r="B913" s="21" t="s">
        <v>478</v>
      </c>
      <c r="C913" s="21" t="str">
        <f t="array" ref="C913">XLOOKUP(B913,Customer[Customer_ID],Customer[Name(Cleaned)])</f>
        <v>Rick Dominguez</v>
      </c>
      <c r="D913" s="22" t="str">
        <f>VLOOKUP(B913,Customer[#ALL],6)</f>
        <v>Male</v>
      </c>
      <c r="E913" s="23">
        <f>Sales[Order_Date]</f>
        <v>45814</v>
      </c>
      <c r="F913" s="21" t="str">
        <f>Sales[Store_ID]</f>
        <v>STORE5</v>
      </c>
      <c r="G913" s="21" t="str">
        <f t="array" ref="G913">INDEX(Store[Store_Name],MATCH(F913,Store[Store_ID],0))</f>
        <v>Gray Ltd</v>
      </c>
      <c r="H913" s="21" t="str">
        <f>Sales[Product_ID]</f>
        <v>PROD26</v>
      </c>
      <c r="I913" s="21" t="str">
        <f>VLOOKUP(H913,Products[],2)</f>
        <v>Wireless Bluetooth Speaker</v>
      </c>
      <c r="J913" s="24">
        <f>Sales[Total_Amount]</f>
        <v>981.9864</v>
      </c>
      <c r="K913" s="21" t="str">
        <f t="shared" si="1"/>
        <v>Jun</v>
      </c>
      <c r="L913" s="21">
        <f t="shared" si="2"/>
        <v>2025</v>
      </c>
      <c r="N913" s="33"/>
      <c r="O913" s="34"/>
    </row>
    <row r="914" ht="22.5" customHeight="1">
      <c r="A914" s="21" t="s">
        <v>2879</v>
      </c>
      <c r="B914" s="21" t="s">
        <v>582</v>
      </c>
      <c r="C914" s="21" t="str">
        <f t="array" ref="C914">XLOOKUP(B914,Customer[Customer_ID],Customer[Name(Cleaned)])</f>
        <v>Thomas Rhodes</v>
      </c>
      <c r="D914" s="22" t="str">
        <f>VLOOKUP(B914,Customer[#ALL],6)</f>
        <v>Male</v>
      </c>
      <c r="E914" s="23">
        <f>Sales[Order_Date]</f>
        <v>45323</v>
      </c>
      <c r="F914" s="21" t="str">
        <f>Sales[Store_ID]</f>
        <v>STORE1</v>
      </c>
      <c r="G914" s="21" t="str">
        <f t="array" ref="G914">INDEX(Store[Store_Name],MATCH(F914,Store[Store_ID],0))</f>
        <v>Martinez, Adkins and Johnson</v>
      </c>
      <c r="H914" s="21" t="str">
        <f>Sales[Product_ID]</f>
        <v>PROD21</v>
      </c>
      <c r="I914" s="21" t="str">
        <f>VLOOKUP(H914,Products[],2)</f>
        <v>Multi-Purpose Storage Box</v>
      </c>
      <c r="J914" s="24">
        <f>Sales[Total_Amount]</f>
        <v>442.6149</v>
      </c>
      <c r="K914" s="21" t="str">
        <f t="shared" si="1"/>
        <v>Feb</v>
      </c>
      <c r="L914" s="21">
        <f t="shared" si="2"/>
        <v>2024</v>
      </c>
      <c r="N914" s="33"/>
      <c r="O914" s="34"/>
    </row>
    <row r="915" ht="22.5" customHeight="1">
      <c r="A915" s="21" t="s">
        <v>2880</v>
      </c>
      <c r="B915" s="21" t="s">
        <v>1251</v>
      </c>
      <c r="C915" s="21" t="str">
        <f t="array" ref="C915">XLOOKUP(B915,Customer[Customer_ID],Customer[Name(Cleaned)])</f>
        <v>Alexander Byrd</v>
      </c>
      <c r="D915" s="22" t="str">
        <f>VLOOKUP(B915,Customer[#ALL],6)</f>
        <v>Male</v>
      </c>
      <c r="E915" s="23">
        <f>Sales[Order_Date]</f>
        <v>45753</v>
      </c>
      <c r="F915" s="21" t="str">
        <f>Sales[Store_ID]</f>
        <v>STORE0</v>
      </c>
      <c r="G915" s="21" t="str">
        <f t="array" ref="G915">INDEX(Store[Store_Name],MATCH(F915,Store[Store_ID],0))</f>
        <v>Rivera-Warner</v>
      </c>
      <c r="H915" s="21" t="str">
        <f>Sales[Product_ID]</f>
        <v>PROD34</v>
      </c>
      <c r="I915" s="21" t="str">
        <f>VLOOKUP(H915,Products[],2)</f>
        <v>Gaming Mechanical Keyboard</v>
      </c>
      <c r="J915" s="24">
        <f>Sales[Total_Amount]</f>
        <v>2908.1696</v>
      </c>
      <c r="K915" s="21" t="str">
        <f t="shared" si="1"/>
        <v>Apr</v>
      </c>
      <c r="L915" s="21">
        <f t="shared" si="2"/>
        <v>2025</v>
      </c>
      <c r="N915" s="33"/>
      <c r="O915" s="34"/>
    </row>
    <row r="916" ht="22.5" customHeight="1">
      <c r="A916" s="21" t="s">
        <v>2881</v>
      </c>
      <c r="B916" s="21" t="s">
        <v>180</v>
      </c>
      <c r="C916" s="21" t="str">
        <f t="array" ref="C916">XLOOKUP(B916,Customer[Customer_ID],Customer[Name(Cleaned)])</f>
        <v>Denise Williams</v>
      </c>
      <c r="D916" s="22" t="str">
        <f>VLOOKUP(B916,Customer[#ALL],6)</f>
        <v>Female</v>
      </c>
      <c r="E916" s="23">
        <f>Sales[Order_Date]</f>
        <v>45312</v>
      </c>
      <c r="F916" s="21" t="str">
        <f>Sales[Store_ID]</f>
        <v>STORE3</v>
      </c>
      <c r="G916" s="21" t="str">
        <f t="array" ref="G916">INDEX(Store[Store_Name],MATCH(F916,Store[Store_ID],0))</f>
        <v>Johnson-Wright</v>
      </c>
      <c r="H916" s="21" t="str">
        <f>Sales[Product_ID]</f>
        <v>PROD18</v>
      </c>
      <c r="I916" s="21" t="str">
        <f>VLOOKUP(H916,Products[],2)</f>
        <v>Women's Denim Jeans</v>
      </c>
      <c r="J916" s="24">
        <f>Sales[Total_Amount]</f>
        <v>989.9368</v>
      </c>
      <c r="K916" s="21" t="str">
        <f t="shared" si="1"/>
        <v>Jan</v>
      </c>
      <c r="L916" s="21">
        <f t="shared" si="2"/>
        <v>2024</v>
      </c>
      <c r="N916" s="33"/>
      <c r="O916" s="34"/>
    </row>
    <row r="917" ht="22.5" customHeight="1">
      <c r="A917" s="21" t="s">
        <v>2882</v>
      </c>
      <c r="B917" s="21" t="s">
        <v>507</v>
      </c>
      <c r="C917" s="21" t="str">
        <f t="array" ref="C917">XLOOKUP(B917,Customer[Customer_ID],Customer[Name(Cleaned)])</f>
        <v>Rhonda Young</v>
      </c>
      <c r="D917" s="22" t="str">
        <f>VLOOKUP(B917,Customer[#ALL],6)</f>
        <v>Male</v>
      </c>
      <c r="E917" s="23">
        <f>Sales[Order_Date]</f>
        <v>45554</v>
      </c>
      <c r="F917" s="21" t="str">
        <f>Sales[Store_ID]</f>
        <v>STORE8</v>
      </c>
      <c r="G917" s="21" t="str">
        <f t="array" ref="G917">INDEX(Store[Store_Name],MATCH(F917,Store[Store_ID],0))</f>
        <v>Bean, Jones and Park</v>
      </c>
      <c r="H917" s="21" t="str">
        <f>Sales[Product_ID]</f>
        <v>PROD37</v>
      </c>
      <c r="I917" s="21" t="str">
        <f>VLOOKUP(H917,Products[],2)</f>
        <v>Men's Casual Sneakers</v>
      </c>
      <c r="J917" s="24">
        <f>Sales[Total_Amount]</f>
        <v>551.259</v>
      </c>
      <c r="K917" s="21" t="str">
        <f t="shared" si="1"/>
        <v>Sep</v>
      </c>
      <c r="L917" s="21">
        <f t="shared" si="2"/>
        <v>2024</v>
      </c>
      <c r="N917" s="33"/>
      <c r="O917" s="34"/>
    </row>
    <row r="918" ht="22.5" customHeight="1">
      <c r="A918" s="21" t="s">
        <v>2883</v>
      </c>
      <c r="B918" s="21" t="s">
        <v>478</v>
      </c>
      <c r="C918" s="21" t="str">
        <f t="array" ref="C918">XLOOKUP(B918,Customer[Customer_ID],Customer[Name(Cleaned)])</f>
        <v>Rick Dominguez</v>
      </c>
      <c r="D918" s="22" t="str">
        <f>VLOOKUP(B918,Customer[#ALL],6)</f>
        <v>Male</v>
      </c>
      <c r="E918" s="23">
        <f>Sales[Order_Date]</f>
        <v>45310</v>
      </c>
      <c r="F918" s="21" t="str">
        <f>Sales[Store_ID]</f>
        <v>STORE15</v>
      </c>
      <c r="G918" s="21" t="str">
        <f t="array" ref="G918">INDEX(Store[Store_Name],MATCH(F918,Store[Store_ID],0))</f>
        <v>Shelton PLC</v>
      </c>
      <c r="H918" s="21" t="str">
        <f>Sales[Product_ID]</f>
        <v>PROD8</v>
      </c>
      <c r="I918" s="21" t="str">
        <f>VLOOKUP(H918,Products[],2)</f>
        <v>Decorative Lamp Shade</v>
      </c>
      <c r="J918" s="24">
        <f>Sales[Total_Amount]</f>
        <v>43.1442</v>
      </c>
      <c r="K918" s="21" t="str">
        <f t="shared" si="1"/>
        <v>Jan</v>
      </c>
      <c r="L918" s="21">
        <f t="shared" si="2"/>
        <v>2024</v>
      </c>
      <c r="N918" s="33"/>
      <c r="O918" s="34"/>
    </row>
    <row r="919" ht="22.5" customHeight="1">
      <c r="A919" s="21" t="s">
        <v>2884</v>
      </c>
      <c r="B919" s="21" t="s">
        <v>1059</v>
      </c>
      <c r="C919" s="21" t="str">
        <f t="array" ref="C919">XLOOKUP(B919,Customer[Customer_ID],Customer[Name(Cleaned)])</f>
        <v>Dr. Lindsay Hanna</v>
      </c>
      <c r="D919" s="22" t="str">
        <f>VLOOKUP(B919,Customer[#ALL],6)</f>
        <v>Male</v>
      </c>
      <c r="E919" s="23">
        <f>Sales[Order_Date]</f>
        <v>45594</v>
      </c>
      <c r="F919" s="21" t="str">
        <f>Sales[Store_ID]</f>
        <v>STORE2</v>
      </c>
      <c r="G919" s="21" t="str">
        <f t="array" ref="G919">INDEX(Store[Store_Name],MATCH(F919,Store[Store_ID],0))</f>
        <v>Black-Horn</v>
      </c>
      <c r="H919" s="21" t="str">
        <f>Sales[Product_ID]</f>
        <v>PROD47</v>
      </c>
      <c r="I919" s="21" t="str">
        <f>VLOOKUP(H919,Products[],2)</f>
        <v>Makeup Brush Set</v>
      </c>
      <c r="J919" s="24">
        <f>Sales[Total_Amount]</f>
        <v>1210.8714</v>
      </c>
      <c r="K919" s="21" t="str">
        <f t="shared" si="1"/>
        <v>Oct</v>
      </c>
      <c r="L919" s="21">
        <f t="shared" si="2"/>
        <v>2024</v>
      </c>
      <c r="N919" s="33"/>
      <c r="O919" s="34"/>
    </row>
    <row r="920" ht="22.5" customHeight="1">
      <c r="A920" s="21" t="s">
        <v>2885</v>
      </c>
      <c r="B920" s="21" t="s">
        <v>693</v>
      </c>
      <c r="C920" s="21" t="str">
        <f t="array" ref="C920">XLOOKUP(B920,Customer[Customer_ID],Customer[Name(Cleaned)])</f>
        <v>Joan Johnson</v>
      </c>
      <c r="D920" s="22" t="str">
        <f>VLOOKUP(B920,Customer[#ALL],6)</f>
        <v>Male</v>
      </c>
      <c r="E920" s="23">
        <f>Sales[Order_Date]</f>
        <v>45840</v>
      </c>
      <c r="F920" s="21" t="str">
        <f>Sales[Store_ID]</f>
        <v>STORE8</v>
      </c>
      <c r="G920" s="21" t="str">
        <f t="array" ref="G920">INDEX(Store[Store_Name],MATCH(F920,Store[Store_ID],0))</f>
        <v>Bean, Jones and Park</v>
      </c>
      <c r="H920" s="21" t="str">
        <f>Sales[Product_ID]</f>
        <v>PROD8</v>
      </c>
      <c r="I920" s="21" t="str">
        <f>VLOOKUP(H920,Products[],2)</f>
        <v>Decorative Lamp Shade</v>
      </c>
      <c r="J920" s="24">
        <f>Sales[Total_Amount]</f>
        <v>2943.5296</v>
      </c>
      <c r="K920" s="21" t="str">
        <f t="shared" si="1"/>
        <v>Jul</v>
      </c>
      <c r="L920" s="21">
        <f t="shared" si="2"/>
        <v>2025</v>
      </c>
      <c r="N920" s="33"/>
      <c r="O920" s="34"/>
    </row>
    <row r="921" ht="22.5" customHeight="1">
      <c r="A921" s="21" t="s">
        <v>2886</v>
      </c>
      <c r="B921" s="21" t="s">
        <v>601</v>
      </c>
      <c r="C921" s="21" t="str">
        <f t="array" ref="C921">XLOOKUP(B921,Customer[Customer_ID],Customer[Name(Cleaned)])</f>
        <v>Michelle Myers</v>
      </c>
      <c r="D921" s="22" t="str">
        <f>VLOOKUP(B921,Customer[#ALL],6)</f>
        <v>Male</v>
      </c>
      <c r="E921" s="23">
        <f>Sales[Order_Date]</f>
        <v>45549</v>
      </c>
      <c r="F921" s="21" t="str">
        <f>Sales[Store_ID]</f>
        <v>STORE19</v>
      </c>
      <c r="G921" s="21" t="str">
        <f t="array" ref="G921">INDEX(Store[Store_Name],MATCH(F921,Store[Store_ID],0))</f>
        <v>Mann-Austin</v>
      </c>
      <c r="H921" s="21" t="str">
        <f>Sales[Product_ID]</f>
        <v>PROD67</v>
      </c>
      <c r="I921" s="21" t="str">
        <f>VLOOKUP(H921,Products[],2)</f>
        <v>Smart LED Light Strip</v>
      </c>
      <c r="J921" s="24">
        <f>Sales[Total_Amount]</f>
        <v>1058.448</v>
      </c>
      <c r="K921" s="21" t="str">
        <f t="shared" si="1"/>
        <v>Sep</v>
      </c>
      <c r="L921" s="21">
        <f t="shared" si="2"/>
        <v>2024</v>
      </c>
      <c r="N921" s="33"/>
      <c r="O921" s="34"/>
    </row>
    <row r="922" ht="22.5" customHeight="1">
      <c r="A922" s="21" t="s">
        <v>2887</v>
      </c>
      <c r="B922" s="21" t="s">
        <v>419</v>
      </c>
      <c r="C922" s="21" t="str">
        <f t="array" ref="C922">XLOOKUP(B922,Customer[Customer_ID],Customer[Name(Cleaned)])</f>
        <v>Earl Allen</v>
      </c>
      <c r="D922" s="22" t="str">
        <f>VLOOKUP(B922,Customer[#ALL],6)</f>
        <v>Female</v>
      </c>
      <c r="E922" s="23">
        <f>Sales[Order_Date]</f>
        <v>45903</v>
      </c>
      <c r="F922" s="21" t="str">
        <f>Sales[Store_ID]</f>
        <v>STORE16</v>
      </c>
      <c r="G922" s="21" t="str">
        <f t="array" ref="G922">INDEX(Store[Store_Name],MATCH(F922,Store[Store_ID],0))</f>
        <v>Frederick-Wright</v>
      </c>
      <c r="H922" s="21" t="str">
        <f>Sales[Product_ID]</f>
        <v>PROD56</v>
      </c>
      <c r="I922" s="21" t="str">
        <f>VLOOKUP(H922,Products[],2)</f>
        <v>Premium Blanket Throw</v>
      </c>
      <c r="J922" s="24">
        <f>Sales[Total_Amount]</f>
        <v>1695.3075</v>
      </c>
      <c r="K922" s="21" t="str">
        <f t="shared" si="1"/>
        <v>Sep</v>
      </c>
      <c r="L922" s="21">
        <f t="shared" si="2"/>
        <v>2025</v>
      </c>
      <c r="N922" s="33"/>
      <c r="O922" s="34"/>
    </row>
    <row r="923" ht="22.5" customHeight="1">
      <c r="A923" s="21" t="s">
        <v>2888</v>
      </c>
      <c r="B923" s="21" t="s">
        <v>534</v>
      </c>
      <c r="C923" s="21" t="str">
        <f t="array" ref="C923">XLOOKUP(B923,Customer[Customer_ID],Customer[Name(Cleaned)])</f>
        <v>Maria Sanchez</v>
      </c>
      <c r="D923" s="22" t="str">
        <f>VLOOKUP(B923,Customer[#ALL],6)</f>
        <v>Female</v>
      </c>
      <c r="E923" s="23">
        <f>Sales[Order_Date]</f>
        <v>45673</v>
      </c>
      <c r="F923" s="21" t="str">
        <f>Sales[Store_ID]</f>
        <v>STORE0</v>
      </c>
      <c r="G923" s="21" t="str">
        <f t="array" ref="G923">INDEX(Store[Store_Name],MATCH(F923,Store[Store_ID],0))</f>
        <v>Rivera-Warner</v>
      </c>
      <c r="H923" s="21" t="str">
        <f>Sales[Product_ID]</f>
        <v>PROD64</v>
      </c>
      <c r="I923" s="21" t="str">
        <f>VLOOKUP(H923,Products[],2)</f>
        <v>Matte Lipstick Set</v>
      </c>
      <c r="J923" s="24">
        <f>Sales[Total_Amount]</f>
        <v>2141.85</v>
      </c>
      <c r="K923" s="21" t="str">
        <f t="shared" si="1"/>
        <v>Jan</v>
      </c>
      <c r="L923" s="21">
        <f t="shared" si="2"/>
        <v>2025</v>
      </c>
      <c r="N923" s="33"/>
      <c r="O923" s="34"/>
    </row>
    <row r="924" ht="22.5" customHeight="1">
      <c r="A924" s="21" t="s">
        <v>2889</v>
      </c>
      <c r="B924" s="21" t="s">
        <v>361</v>
      </c>
      <c r="C924" s="21" t="str">
        <f t="array" ref="C924">XLOOKUP(B924,Customer[Customer_ID],Customer[Name(Cleaned)])</f>
        <v>Sheila Wilson</v>
      </c>
      <c r="D924" s="22" t="str">
        <f>VLOOKUP(B924,Customer[#ALL],6)</f>
        <v>Female</v>
      </c>
      <c r="E924" s="23">
        <f>Sales[Order_Date]</f>
        <v>45395</v>
      </c>
      <c r="F924" s="21" t="str">
        <f>Sales[Store_ID]</f>
        <v>STORE5</v>
      </c>
      <c r="G924" s="21" t="str">
        <f t="array" ref="G924">INDEX(Store[Store_Name],MATCH(F924,Store[Store_ID],0))</f>
        <v>Gray Ltd</v>
      </c>
      <c r="H924" s="21" t="str">
        <f>Sales[Product_ID]</f>
        <v>PROD11</v>
      </c>
      <c r="I924" s="21" t="str">
        <f>VLOOKUP(H924,Products[],2)</f>
        <v>Men's Graphic T-Shirt</v>
      </c>
      <c r="J924" s="24">
        <f>Sales[Total_Amount]</f>
        <v>1287.36</v>
      </c>
      <c r="K924" s="21" t="str">
        <f t="shared" si="1"/>
        <v>Apr</v>
      </c>
      <c r="L924" s="21">
        <f t="shared" si="2"/>
        <v>2024</v>
      </c>
      <c r="N924" s="33"/>
      <c r="O924" s="34"/>
    </row>
    <row r="925" ht="22.5" customHeight="1">
      <c r="A925" s="21" t="s">
        <v>2890</v>
      </c>
      <c r="B925" s="21" t="s">
        <v>1065</v>
      </c>
      <c r="C925" s="21" t="str">
        <f t="array" ref="C925">XLOOKUP(B925,Customer[Customer_ID],Customer[Name(Cleaned)])</f>
        <v>Mr. Christopher Sims</v>
      </c>
      <c r="D925" s="22" t="str">
        <f>VLOOKUP(B925,Customer[#ALL],6)</f>
        <v>Male</v>
      </c>
      <c r="E925" s="23">
        <f>Sales[Order_Date]</f>
        <v>45379</v>
      </c>
      <c r="F925" s="21" t="str">
        <f>Sales[Store_ID]</f>
        <v>STORE9</v>
      </c>
      <c r="G925" s="21" t="str">
        <f t="array" ref="G925">INDEX(Store[Store_Name],MATCH(F925,Store[Store_ID],0))</f>
        <v>Moore, Padilla and Butler</v>
      </c>
      <c r="H925" s="21" t="str">
        <f>Sales[Product_ID]</f>
        <v>PROD9</v>
      </c>
      <c r="I925" s="21" t="str">
        <f>VLOOKUP(H925,Products[],2)</f>
        <v>Face Foundation Kit</v>
      </c>
      <c r="J925" s="24">
        <f>Sales[Total_Amount]</f>
        <v>328.7524</v>
      </c>
      <c r="K925" s="21" t="str">
        <f t="shared" si="1"/>
        <v>Mar</v>
      </c>
      <c r="L925" s="21">
        <f t="shared" si="2"/>
        <v>2024</v>
      </c>
      <c r="N925" s="33"/>
      <c r="O925" s="34"/>
    </row>
    <row r="926" ht="22.5" customHeight="1">
      <c r="A926" s="21" t="s">
        <v>2891</v>
      </c>
      <c r="B926" s="21" t="s">
        <v>142</v>
      </c>
      <c r="C926" s="21" t="str">
        <f t="array" ref="C926">XLOOKUP(B926,Customer[Customer_ID],Customer[Name(Cleaned)])</f>
        <v>Robert Jones Dds</v>
      </c>
      <c r="D926" s="22" t="str">
        <f>VLOOKUP(B926,Customer[#ALL],6)</f>
        <v>Female</v>
      </c>
      <c r="E926" s="23">
        <f>Sales[Order_Date]</f>
        <v>45594</v>
      </c>
      <c r="F926" s="21" t="str">
        <f>Sales[Store_ID]</f>
        <v>STORE3</v>
      </c>
      <c r="G926" s="21" t="str">
        <f t="array" ref="G926">INDEX(Store[Store_Name],MATCH(F926,Store[Store_ID],0))</f>
        <v>Johnson-Wright</v>
      </c>
      <c r="H926" s="21" t="str">
        <f>Sales[Product_ID]</f>
        <v>PROD46</v>
      </c>
      <c r="I926" s="21" t="str">
        <f>VLOOKUP(H926,Products[],2)</f>
        <v>Men's Winter Jacket</v>
      </c>
      <c r="J926" s="24">
        <f>Sales[Total_Amount]</f>
        <v>541.6191</v>
      </c>
      <c r="K926" s="21" t="str">
        <f t="shared" si="1"/>
        <v>Oct</v>
      </c>
      <c r="L926" s="21">
        <f t="shared" si="2"/>
        <v>2024</v>
      </c>
      <c r="N926" s="33"/>
      <c r="O926" s="34"/>
    </row>
    <row r="927" ht="22.5" customHeight="1">
      <c r="A927" s="21" t="s">
        <v>2892</v>
      </c>
      <c r="B927" s="21" t="s">
        <v>963</v>
      </c>
      <c r="C927" s="21" t="str">
        <f t="array" ref="C927">XLOOKUP(B927,Customer[Customer_ID],Customer[Name(Cleaned)])</f>
        <v>Matthew Avery</v>
      </c>
      <c r="D927" s="22" t="str">
        <f>VLOOKUP(B927,Customer[#ALL],6)</f>
        <v>Female</v>
      </c>
      <c r="E927" s="23">
        <f>Sales[Order_Date]</f>
        <v>45860</v>
      </c>
      <c r="F927" s="21" t="str">
        <f>Sales[Store_ID]</f>
        <v>STORE14</v>
      </c>
      <c r="G927" s="21" t="str">
        <f t="array" ref="G927">INDEX(Store[Store_Name],MATCH(F927,Store[Store_ID],0))</f>
        <v>Mcdonald Inc</v>
      </c>
      <c r="H927" s="21" t="str">
        <f>Sales[Product_ID]</f>
        <v>PROD65</v>
      </c>
      <c r="I927" s="21" t="str">
        <f>VLOOKUP(H927,Products[],2)</f>
        <v>Adjustable Dumbbells 20kg</v>
      </c>
      <c r="J927" s="24">
        <f>Sales[Total_Amount]</f>
        <v>1958.144</v>
      </c>
      <c r="K927" s="21" t="str">
        <f t="shared" si="1"/>
        <v>Jul</v>
      </c>
      <c r="L927" s="21">
        <f t="shared" si="2"/>
        <v>2025</v>
      </c>
      <c r="N927" s="33"/>
      <c r="O927" s="34"/>
    </row>
    <row r="928" ht="22.5" customHeight="1">
      <c r="A928" s="21" t="s">
        <v>2893</v>
      </c>
      <c r="B928" s="21" t="s">
        <v>30</v>
      </c>
      <c r="C928" s="21" t="str">
        <f t="array" ref="C928">XLOOKUP(B928,Customer[Customer_ID],Customer[Name(Cleaned)])</f>
        <v>Jeremy Harris</v>
      </c>
      <c r="D928" s="22" t="str">
        <f>VLOOKUP(B928,Customer[#ALL],6)</f>
        <v>Male</v>
      </c>
      <c r="E928" s="23">
        <f>Sales[Order_Date]</f>
        <v>45704</v>
      </c>
      <c r="F928" s="21" t="str">
        <f>Sales[Store_ID]</f>
        <v>STORE15</v>
      </c>
      <c r="G928" s="21" t="str">
        <f t="array" ref="G928">INDEX(Store[Store_Name],MATCH(F928,Store[Store_ID],0))</f>
        <v>Shelton PLC</v>
      </c>
      <c r="H928" s="21" t="str">
        <f>Sales[Product_ID]</f>
        <v>PROD74</v>
      </c>
      <c r="I928" s="21" t="str">
        <f>VLOOKUP(H928,Products[],2)</f>
        <v>Bluetooth Car Audio System</v>
      </c>
      <c r="J928" s="24">
        <f>Sales[Total_Amount]</f>
        <v>39.974</v>
      </c>
      <c r="K928" s="21" t="str">
        <f t="shared" si="1"/>
        <v>Feb</v>
      </c>
      <c r="L928" s="21">
        <f t="shared" si="2"/>
        <v>2025</v>
      </c>
      <c r="N928" s="33"/>
      <c r="O928" s="34"/>
    </row>
    <row r="929" ht="22.5" customHeight="1">
      <c r="A929" s="21" t="s">
        <v>2894</v>
      </c>
      <c r="B929" s="21" t="s">
        <v>1359</v>
      </c>
      <c r="C929" s="21" t="str">
        <f t="array" ref="C929">XLOOKUP(B929,Customer[Customer_ID],Customer[Name(Cleaned)])</f>
        <v>Thomas Moore</v>
      </c>
      <c r="D929" s="22" t="str">
        <f>VLOOKUP(B929,Customer[#ALL],6)</f>
        <v>Male</v>
      </c>
      <c r="E929" s="23">
        <f>Sales[Order_Date]</f>
        <v>45327</v>
      </c>
      <c r="F929" s="21" t="str">
        <f>Sales[Store_ID]</f>
        <v>STORE10</v>
      </c>
      <c r="G929" s="21" t="str">
        <f t="array" ref="G929">INDEX(Store[Store_Name],MATCH(F929,Store[Store_ID],0))</f>
        <v>Hill, Wagner and Ballard</v>
      </c>
      <c r="H929" s="21" t="str">
        <f>Sales[Product_ID]</f>
        <v>PROD73</v>
      </c>
      <c r="I929" s="21" t="str">
        <f>VLOOKUP(H929,Products[],2)</f>
        <v>Shin Guards – Adult</v>
      </c>
      <c r="J929" s="24">
        <f>Sales[Total_Amount]</f>
        <v>654.3656</v>
      </c>
      <c r="K929" s="21" t="str">
        <f t="shared" si="1"/>
        <v>Feb</v>
      </c>
      <c r="L929" s="21">
        <f t="shared" si="2"/>
        <v>2024</v>
      </c>
      <c r="N929" s="33"/>
      <c r="O929" s="34"/>
    </row>
    <row r="930" ht="22.5" customHeight="1">
      <c r="A930" s="21" t="s">
        <v>2895</v>
      </c>
      <c r="B930" s="21" t="s">
        <v>905</v>
      </c>
      <c r="C930" s="21" t="str">
        <f t="array" ref="C930">XLOOKUP(B930,Customer[Customer_ID],Customer[Name(Cleaned)])</f>
        <v>Antonio Leon</v>
      </c>
      <c r="D930" s="22" t="str">
        <f>VLOOKUP(B930,Customer[#ALL],6)</f>
        <v>Female</v>
      </c>
      <c r="E930" s="23">
        <f>Sales[Order_Date]</f>
        <v>45721</v>
      </c>
      <c r="F930" s="21" t="str">
        <f>Sales[Store_ID]</f>
        <v>STORE11</v>
      </c>
      <c r="G930" s="21" t="str">
        <f t="array" ref="G930">INDEX(Store[Store_Name],MATCH(F930,Store[Store_ID],0))</f>
        <v>Aguirre-Keller</v>
      </c>
      <c r="H930" s="21" t="str">
        <f>Sales[Product_ID]</f>
        <v>PROD60</v>
      </c>
      <c r="I930" s="21" t="str">
        <f>VLOOKUP(H930,Products[],2)</f>
        <v>Luxury Perfume Spray</v>
      </c>
      <c r="J930" s="24">
        <f>Sales[Total_Amount]</f>
        <v>3032.656</v>
      </c>
      <c r="K930" s="21" t="str">
        <f t="shared" si="1"/>
        <v>Mar</v>
      </c>
      <c r="L930" s="21">
        <f t="shared" si="2"/>
        <v>2025</v>
      </c>
      <c r="N930" s="33"/>
      <c r="O930" s="34"/>
    </row>
    <row r="931" ht="22.5" customHeight="1">
      <c r="A931" s="21" t="s">
        <v>2896</v>
      </c>
      <c r="B931" s="21" t="s">
        <v>1143</v>
      </c>
      <c r="C931" s="21" t="str">
        <f t="array" ref="C931">XLOOKUP(B931,Customer[Customer_ID],Customer[Name(Cleaned)])</f>
        <v>Denise Tate</v>
      </c>
      <c r="D931" s="22" t="str">
        <f>VLOOKUP(B931,Customer[#ALL],6)</f>
        <v>Female</v>
      </c>
      <c r="E931" s="23">
        <f>Sales[Order_Date]</f>
        <v>45842</v>
      </c>
      <c r="F931" s="21" t="str">
        <f>Sales[Store_ID]</f>
        <v>STORE5</v>
      </c>
      <c r="G931" s="21" t="str">
        <f t="array" ref="G931">INDEX(Store[Store_Name],MATCH(F931,Store[Store_ID],0))</f>
        <v>Gray Ltd</v>
      </c>
      <c r="H931" s="21" t="str">
        <f>Sales[Product_ID]</f>
        <v>PROD43</v>
      </c>
      <c r="I931" s="21" t="str">
        <f>VLOOKUP(H931,Products[],2)</f>
        <v>USB External Hard Drive</v>
      </c>
      <c r="J931" s="24">
        <f>Sales[Total_Amount]</f>
        <v>166.8249</v>
      </c>
      <c r="K931" s="21" t="str">
        <f t="shared" si="1"/>
        <v>Jul</v>
      </c>
      <c r="L931" s="21">
        <f t="shared" si="2"/>
        <v>2025</v>
      </c>
      <c r="N931" s="33"/>
      <c r="O931" s="34"/>
    </row>
    <row r="932" ht="22.5" customHeight="1">
      <c r="A932" s="21" t="s">
        <v>2897</v>
      </c>
      <c r="B932" s="21" t="s">
        <v>864</v>
      </c>
      <c r="C932" s="21" t="str">
        <f t="array" ref="C932">XLOOKUP(B932,Customer[Customer_ID],Customer[Name(Cleaned)])</f>
        <v>Cynthia Payne</v>
      </c>
      <c r="D932" s="22" t="str">
        <f>VLOOKUP(B932,Customer[#ALL],6)</f>
        <v>Male</v>
      </c>
      <c r="E932" s="23">
        <f>Sales[Order_Date]</f>
        <v>45862</v>
      </c>
      <c r="F932" s="21" t="str">
        <f>Sales[Store_ID]</f>
        <v>STORE19</v>
      </c>
      <c r="G932" s="21" t="str">
        <f t="array" ref="G932">INDEX(Store[Store_Name],MATCH(F932,Store[Store_ID],0))</f>
        <v>Mann-Austin</v>
      </c>
      <c r="H932" s="21" t="str">
        <f>Sales[Product_ID]</f>
        <v>PROD15</v>
      </c>
      <c r="I932" s="21" t="str">
        <f>VLOOKUP(H932,Products[],2)</f>
        <v>4K Home Projector</v>
      </c>
      <c r="J932" s="24">
        <f>Sales[Total_Amount]</f>
        <v>465.832</v>
      </c>
      <c r="K932" s="21" t="str">
        <f t="shared" si="1"/>
        <v>Jul</v>
      </c>
      <c r="L932" s="21">
        <f t="shared" si="2"/>
        <v>2025</v>
      </c>
      <c r="N932" s="33"/>
      <c r="O932" s="34"/>
    </row>
    <row r="933" ht="22.5" customHeight="1">
      <c r="A933" s="21" t="s">
        <v>2898</v>
      </c>
      <c r="B933" s="21" t="s">
        <v>848</v>
      </c>
      <c r="C933" s="21" t="str">
        <f t="array" ref="C933">XLOOKUP(B933,Customer[Customer_ID],Customer[Name(Cleaned)])</f>
        <v>Carol Bishop</v>
      </c>
      <c r="D933" s="22" t="str">
        <f>VLOOKUP(B933,Customer[#ALL],6)</f>
        <v>Male</v>
      </c>
      <c r="E933" s="23">
        <f>Sales[Order_Date]</f>
        <v>45681</v>
      </c>
      <c r="F933" s="21" t="str">
        <f>Sales[Store_ID]</f>
        <v>STORE0</v>
      </c>
      <c r="G933" s="21" t="str">
        <f t="array" ref="G933">INDEX(Store[Store_Name],MATCH(F933,Store[Store_ID],0))</f>
        <v>Rivera-Warner</v>
      </c>
      <c r="H933" s="21" t="str">
        <f>Sales[Product_ID]</f>
        <v>PROD83</v>
      </c>
      <c r="I933" s="21" t="str">
        <f>VLOOKUP(H933,Products[],2)</f>
        <v>Hydrating Face Cleanser</v>
      </c>
      <c r="J933" s="24">
        <f>Sales[Total_Amount]</f>
        <v>188.0424</v>
      </c>
      <c r="K933" s="21" t="str">
        <f t="shared" si="1"/>
        <v>Jan</v>
      </c>
      <c r="L933" s="21">
        <f t="shared" si="2"/>
        <v>2025</v>
      </c>
      <c r="N933" s="33"/>
      <c r="O933" s="34"/>
    </row>
    <row r="934" ht="22.5" customHeight="1">
      <c r="A934" s="21" t="s">
        <v>2899</v>
      </c>
      <c r="B934" s="21" t="s">
        <v>249</v>
      </c>
      <c r="C934" s="21" t="str">
        <f t="array" ref="C934">XLOOKUP(B934,Customer[Customer_ID],Customer[Name(Cleaned)])</f>
        <v>Michael Thomas</v>
      </c>
      <c r="D934" s="22" t="str">
        <f>VLOOKUP(B934,Customer[#ALL],6)</f>
        <v>Male</v>
      </c>
      <c r="E934" s="23">
        <f>Sales[Order_Date]</f>
        <v>45392</v>
      </c>
      <c r="F934" s="21" t="str">
        <f>Sales[Store_ID]</f>
        <v>STORE12</v>
      </c>
      <c r="G934" s="21" t="str">
        <f t="array" ref="G934">INDEX(Store[Store_Name],MATCH(F934,Store[Store_ID],0))</f>
        <v>Thomas, Bridges and Harris</v>
      </c>
      <c r="H934" s="21" t="str">
        <f>Sales[Product_ID]</f>
        <v>PROD9</v>
      </c>
      <c r="I934" s="21" t="str">
        <f>VLOOKUP(H934,Products[],2)</f>
        <v>Face Foundation Kit</v>
      </c>
      <c r="J934" s="24">
        <f>Sales[Total_Amount]</f>
        <v>614.0742</v>
      </c>
      <c r="K934" s="21" t="str">
        <f t="shared" si="1"/>
        <v>Apr</v>
      </c>
      <c r="L934" s="21">
        <f t="shared" si="2"/>
        <v>2024</v>
      </c>
      <c r="N934" s="33"/>
      <c r="O934" s="34"/>
    </row>
    <row r="935" ht="22.5" customHeight="1">
      <c r="A935" s="21" t="s">
        <v>2900</v>
      </c>
      <c r="B935" s="21" t="s">
        <v>1173</v>
      </c>
      <c r="C935" s="21" t="str">
        <f t="array" ref="C935">XLOOKUP(B935,Customer[Customer_ID],Customer[Name(Cleaned)])</f>
        <v>James Holloway Jr.</v>
      </c>
      <c r="D935" s="22" t="str">
        <f>VLOOKUP(B935,Customer[#ALL],6)</f>
        <v>Female</v>
      </c>
      <c r="E935" s="23">
        <f>Sales[Order_Date]</f>
        <v>45586</v>
      </c>
      <c r="F935" s="21" t="str">
        <f>Sales[Store_ID]</f>
        <v>STORE16</v>
      </c>
      <c r="G935" s="21" t="str">
        <f t="array" ref="G935">INDEX(Store[Store_Name],MATCH(F935,Store[Store_ID],0))</f>
        <v>Frederick-Wright</v>
      </c>
      <c r="H935" s="21" t="str">
        <f>Sales[Product_ID]</f>
        <v>PROD34</v>
      </c>
      <c r="I935" s="21" t="str">
        <f>VLOOKUP(H935,Products[],2)</f>
        <v>Gaming Mechanical Keyboard</v>
      </c>
      <c r="J935" s="24">
        <f>Sales[Total_Amount]</f>
        <v>1664.811</v>
      </c>
      <c r="K935" s="21" t="str">
        <f t="shared" si="1"/>
        <v>Oct</v>
      </c>
      <c r="L935" s="21">
        <f t="shared" si="2"/>
        <v>2024</v>
      </c>
      <c r="N935" s="33"/>
      <c r="O935" s="34"/>
    </row>
    <row r="936" ht="22.5" customHeight="1">
      <c r="A936" s="21" t="s">
        <v>2901</v>
      </c>
      <c r="B936" s="21" t="s">
        <v>1140</v>
      </c>
      <c r="C936" s="21" t="str">
        <f t="array" ref="C936">XLOOKUP(B936,Customer[Customer_ID],Customer[Name(Cleaned)])</f>
        <v>Melanie Lam</v>
      </c>
      <c r="D936" s="22" t="str">
        <f>VLOOKUP(B936,Customer[#ALL],6)</f>
        <v>Female</v>
      </c>
      <c r="E936" s="23">
        <f>Sales[Order_Date]</f>
        <v>45340</v>
      </c>
      <c r="F936" s="21" t="str">
        <f>Sales[Store_ID]</f>
        <v>STORE13</v>
      </c>
      <c r="G936" s="21" t="str">
        <f t="array" ref="G936">INDEX(Store[Store_Name],MATCH(F936,Store[Store_ID],0))</f>
        <v>Gardner, Humphrey and Contreras</v>
      </c>
      <c r="H936" s="21" t="str">
        <f>Sales[Product_ID]</f>
        <v>PROD73</v>
      </c>
      <c r="I936" s="21" t="str">
        <f>VLOOKUP(H936,Products[],2)</f>
        <v>Shin Guards – Adult</v>
      </c>
      <c r="J936" s="24">
        <f>Sales[Total_Amount]</f>
        <v>1657.0092</v>
      </c>
      <c r="K936" s="21" t="str">
        <f t="shared" si="1"/>
        <v>Feb</v>
      </c>
      <c r="L936" s="21">
        <f t="shared" si="2"/>
        <v>2024</v>
      </c>
      <c r="N936" s="33"/>
      <c r="O936" s="34"/>
    </row>
    <row r="937" ht="22.5" customHeight="1">
      <c r="A937" s="21" t="s">
        <v>2902</v>
      </c>
      <c r="B937" s="21" t="s">
        <v>1520</v>
      </c>
      <c r="C937" s="21" t="str">
        <f t="array" ref="C937">XLOOKUP(B937,Customer[Customer_ID],Customer[Name(Cleaned)])</f>
        <v>Melinda Thomas</v>
      </c>
      <c r="D937" s="22" t="str">
        <f>VLOOKUP(B937,Customer[#ALL],6)</f>
        <v>Male</v>
      </c>
      <c r="E937" s="23">
        <f>Sales[Order_Date]</f>
        <v>45686</v>
      </c>
      <c r="F937" s="21" t="str">
        <f>Sales[Store_ID]</f>
        <v>STORE3</v>
      </c>
      <c r="G937" s="21" t="str">
        <f t="array" ref="G937">INDEX(Store[Store_Name],MATCH(F937,Store[Store_ID],0))</f>
        <v>Johnson-Wright</v>
      </c>
      <c r="H937" s="21" t="str">
        <f>Sales[Product_ID]</f>
        <v>PROD89</v>
      </c>
      <c r="I937" s="21" t="str">
        <f>VLOOKUP(H937,Products[],2)</f>
        <v>Face Foundation Kit</v>
      </c>
      <c r="J937" s="24">
        <f>Sales[Total_Amount]</f>
        <v>678.841</v>
      </c>
      <c r="K937" s="21" t="str">
        <f t="shared" si="1"/>
        <v>Jan</v>
      </c>
      <c r="L937" s="21">
        <f t="shared" si="2"/>
        <v>2025</v>
      </c>
      <c r="N937" s="33"/>
      <c r="O937" s="34"/>
    </row>
    <row r="938" ht="22.5" customHeight="1">
      <c r="A938" s="21" t="s">
        <v>2903</v>
      </c>
      <c r="B938" s="21" t="s">
        <v>1344</v>
      </c>
      <c r="C938" s="21" t="str">
        <f t="array" ref="C938">XLOOKUP(B938,Customer[Customer_ID],Customer[Name(Cleaned)])</f>
        <v>Samuel Mullins</v>
      </c>
      <c r="D938" s="22" t="str">
        <f>VLOOKUP(B938,Customer[#ALL],6)</f>
        <v>Male</v>
      </c>
      <c r="E938" s="23">
        <f>Sales[Order_Date]</f>
        <v>45853</v>
      </c>
      <c r="F938" s="21" t="str">
        <f>Sales[Store_ID]</f>
        <v>STORE12</v>
      </c>
      <c r="G938" s="21" t="str">
        <f t="array" ref="G938">INDEX(Store[Store_Name],MATCH(F938,Store[Store_ID],0))</f>
        <v>Thomas, Bridges and Harris</v>
      </c>
      <c r="H938" s="21" t="str">
        <f>Sales[Product_ID]</f>
        <v>PROD83</v>
      </c>
      <c r="I938" s="21" t="str">
        <f>VLOOKUP(H938,Products[],2)</f>
        <v>Hydrating Face Cleanser</v>
      </c>
      <c r="J938" s="24">
        <f>Sales[Total_Amount]</f>
        <v>127.296</v>
      </c>
      <c r="K938" s="21" t="str">
        <f t="shared" si="1"/>
        <v>Jul</v>
      </c>
      <c r="L938" s="21">
        <f t="shared" si="2"/>
        <v>2025</v>
      </c>
      <c r="N938" s="33"/>
      <c r="O938" s="34"/>
    </row>
    <row r="939" ht="22.5" customHeight="1">
      <c r="A939" s="21" t="s">
        <v>2904</v>
      </c>
      <c r="B939" s="21" t="s">
        <v>444</v>
      </c>
      <c r="C939" s="21" t="str">
        <f t="array" ref="C939">XLOOKUP(B939,Customer[Customer_ID],Customer[Name(Cleaned)])</f>
        <v>James Wolfe</v>
      </c>
      <c r="D939" s="22" t="str">
        <f>VLOOKUP(B939,Customer[#ALL],6)</f>
        <v>Male</v>
      </c>
      <c r="E939" s="23">
        <f>Sales[Order_Date]</f>
        <v>45489</v>
      </c>
      <c r="F939" s="21" t="str">
        <f>Sales[Store_ID]</f>
        <v>STORE12</v>
      </c>
      <c r="G939" s="21" t="str">
        <f t="array" ref="G939">INDEX(Store[Store_Name],MATCH(F939,Store[Store_ID],0))</f>
        <v>Thomas, Bridges and Harris</v>
      </c>
      <c r="H939" s="21" t="str">
        <f>Sales[Product_ID]</f>
        <v>PROD81</v>
      </c>
      <c r="I939" s="21" t="str">
        <f>VLOOKUP(H939,Products[],2)</f>
        <v>Badminton Racket Set</v>
      </c>
      <c r="J939" s="24">
        <f>Sales[Total_Amount]</f>
        <v>1720.7438</v>
      </c>
      <c r="K939" s="21" t="str">
        <f t="shared" si="1"/>
        <v>Jul</v>
      </c>
      <c r="L939" s="21">
        <f t="shared" si="2"/>
        <v>2024</v>
      </c>
      <c r="N939" s="33"/>
      <c r="O939" s="34"/>
    </row>
    <row r="940" ht="22.5" customHeight="1">
      <c r="A940" s="21" t="s">
        <v>2905</v>
      </c>
      <c r="B940" s="21" t="s">
        <v>1107</v>
      </c>
      <c r="C940" s="21" t="str">
        <f t="array" ref="C940">XLOOKUP(B940,Customer[Customer_ID],Customer[Name(Cleaned)])</f>
        <v>Sherry Cabrera</v>
      </c>
      <c r="D940" s="22" t="str">
        <f>VLOOKUP(B940,Customer[#ALL],6)</f>
        <v>Female</v>
      </c>
      <c r="E940" s="23">
        <f>Sales[Order_Date]</f>
        <v>45761</v>
      </c>
      <c r="F940" s="21" t="str">
        <f>Sales[Store_ID]</f>
        <v>STORE13</v>
      </c>
      <c r="G940" s="21" t="str">
        <f t="array" ref="G940">INDEX(Store[Store_Name],MATCH(F940,Store[Store_ID],0))</f>
        <v>Gardner, Humphrey and Contreras</v>
      </c>
      <c r="H940" s="21" t="str">
        <f>Sales[Product_ID]</f>
        <v>PROD35</v>
      </c>
      <c r="I940" s="21" t="str">
        <f>VLOOKUP(H940,Products[],2)</f>
        <v>Bedroom Table Lamp</v>
      </c>
      <c r="J940" s="24">
        <f>Sales[Total_Amount]</f>
        <v>1503.1768</v>
      </c>
      <c r="K940" s="21" t="str">
        <f t="shared" si="1"/>
        <v>Apr</v>
      </c>
      <c r="L940" s="21">
        <f t="shared" si="2"/>
        <v>2025</v>
      </c>
      <c r="N940" s="33"/>
      <c r="O940" s="34"/>
    </row>
    <row r="941" ht="22.5" customHeight="1">
      <c r="A941" s="21" t="s">
        <v>2906</v>
      </c>
      <c r="B941" s="21" t="s">
        <v>513</v>
      </c>
      <c r="C941" s="21" t="str">
        <f t="array" ref="C941">XLOOKUP(B941,Customer[Customer_ID],Customer[Name(Cleaned)])</f>
        <v>Denise Griffin</v>
      </c>
      <c r="D941" s="22" t="str">
        <f>VLOOKUP(B941,Customer[#ALL],6)</f>
        <v>Female</v>
      </c>
      <c r="E941" s="23">
        <f>Sales[Order_Date]</f>
        <v>45379</v>
      </c>
      <c r="F941" s="21" t="str">
        <f>Sales[Store_ID]</f>
        <v>STORE3</v>
      </c>
      <c r="G941" s="21" t="str">
        <f t="array" ref="G941">INDEX(Store[Store_Name],MATCH(F941,Store[Store_ID],0))</f>
        <v>Johnson-Wright</v>
      </c>
      <c r="H941" s="21" t="str">
        <f>Sales[Product_ID]</f>
        <v>PROD0</v>
      </c>
      <c r="I941" s="21" t="str">
        <f>VLOOKUP(H941,Products[],2)</f>
        <v>Brother Laser Printer</v>
      </c>
      <c r="J941" s="24">
        <f>Sales[Total_Amount]</f>
        <v>102.3752</v>
      </c>
      <c r="K941" s="21" t="str">
        <f t="shared" si="1"/>
        <v>Mar</v>
      </c>
      <c r="L941" s="21">
        <f t="shared" si="2"/>
        <v>2024</v>
      </c>
      <c r="N941" s="33"/>
      <c r="O941" s="34"/>
    </row>
    <row r="942" ht="22.5" customHeight="1">
      <c r="A942" s="21" t="s">
        <v>2907</v>
      </c>
      <c r="B942" s="21" t="s">
        <v>669</v>
      </c>
      <c r="C942" s="21" t="str">
        <f t="array" ref="C942">XLOOKUP(B942,Customer[Customer_ID],Customer[Name(Cleaned)])</f>
        <v>Mary Boyd</v>
      </c>
      <c r="D942" s="22" t="str">
        <f>VLOOKUP(B942,Customer[#ALL],6)</f>
        <v>Male</v>
      </c>
      <c r="E942" s="23">
        <f>Sales[Order_Date]</f>
        <v>45716</v>
      </c>
      <c r="F942" s="21" t="str">
        <f>Sales[Store_ID]</f>
        <v>STORE5</v>
      </c>
      <c r="G942" s="21" t="str">
        <f t="array" ref="G942">INDEX(Store[Store_Name],MATCH(F942,Store[Store_ID],0))</f>
        <v>Gray Ltd</v>
      </c>
      <c r="H942" s="21" t="str">
        <f>Sales[Product_ID]</f>
        <v>PROD43</v>
      </c>
      <c r="I942" s="21" t="str">
        <f>VLOOKUP(H942,Products[],2)</f>
        <v>USB External Hard Drive</v>
      </c>
      <c r="J942" s="24">
        <f>Sales[Total_Amount]</f>
        <v>791.8848</v>
      </c>
      <c r="K942" s="21" t="str">
        <f t="shared" si="1"/>
        <v>Feb</v>
      </c>
      <c r="L942" s="21">
        <f t="shared" si="2"/>
        <v>2025</v>
      </c>
      <c r="N942" s="33"/>
      <c r="O942" s="34"/>
    </row>
    <row r="943" ht="22.5" customHeight="1">
      <c r="A943" s="21" t="s">
        <v>2908</v>
      </c>
      <c r="B943" s="21" t="s">
        <v>398</v>
      </c>
      <c r="C943" s="21" t="str">
        <f t="array" ref="C943">XLOOKUP(B943,Customer[Customer_ID],Customer[Name(Cleaned)])</f>
        <v>Julie Farmer</v>
      </c>
      <c r="D943" s="22" t="str">
        <f>VLOOKUP(B943,Customer[#ALL],6)</f>
        <v>Male</v>
      </c>
      <c r="E943" s="23">
        <f>Sales[Order_Date]</f>
        <v>45364</v>
      </c>
      <c r="F943" s="21" t="str">
        <f>Sales[Store_ID]</f>
        <v>STORE5</v>
      </c>
      <c r="G943" s="21" t="str">
        <f t="array" ref="G943">INDEX(Store[Store_Name],MATCH(F943,Store[Store_ID],0))</f>
        <v>Gray Ltd</v>
      </c>
      <c r="H943" s="21" t="str">
        <f>Sales[Product_ID]</f>
        <v>PROD17</v>
      </c>
      <c r="I943" s="21" t="str">
        <f>VLOOKUP(H943,Products[],2)</f>
        <v>Soccer Training Cone Set</v>
      </c>
      <c r="J943" s="24">
        <f>Sales[Total_Amount]</f>
        <v>2319.4512</v>
      </c>
      <c r="K943" s="21" t="str">
        <f t="shared" si="1"/>
        <v>Mar</v>
      </c>
      <c r="L943" s="21">
        <f t="shared" si="2"/>
        <v>2024</v>
      </c>
      <c r="N943" s="33"/>
      <c r="O943" s="34"/>
    </row>
    <row r="944" ht="22.5" customHeight="1">
      <c r="A944" s="21" t="s">
        <v>2909</v>
      </c>
      <c r="B944" s="21" t="s">
        <v>1176</v>
      </c>
      <c r="C944" s="21" t="str">
        <f t="array" ref="C944">XLOOKUP(B944,Customer[Customer_ID],Customer[Name(Cleaned)])</f>
        <v>Michael Garner</v>
      </c>
      <c r="D944" s="22" t="str">
        <f>VLOOKUP(B944,Customer[#ALL],6)</f>
        <v>Male</v>
      </c>
      <c r="E944" s="23">
        <f>Sales[Order_Date]</f>
        <v>45752</v>
      </c>
      <c r="F944" s="21" t="str">
        <f>Sales[Store_ID]</f>
        <v>STORE8</v>
      </c>
      <c r="G944" s="21" t="str">
        <f t="array" ref="G944">INDEX(Store[Store_Name],MATCH(F944,Store[Store_ID],0))</f>
        <v>Bean, Jones and Park</v>
      </c>
      <c r="H944" s="21" t="str">
        <f>Sales[Product_ID]</f>
        <v>PROD2</v>
      </c>
      <c r="I944" s="21" t="str">
        <f>VLOOKUP(H944,Products[],2)</f>
        <v>Knee Support Brace</v>
      </c>
      <c r="J944" s="24">
        <f>Sales[Total_Amount]</f>
        <v>1296.261</v>
      </c>
      <c r="K944" s="21" t="str">
        <f t="shared" si="1"/>
        <v>Apr</v>
      </c>
      <c r="L944" s="21">
        <f t="shared" si="2"/>
        <v>2025</v>
      </c>
      <c r="N944" s="33"/>
      <c r="O944" s="34"/>
    </row>
    <row r="945" ht="22.5" customHeight="1">
      <c r="A945" s="21" t="s">
        <v>2910</v>
      </c>
      <c r="B945" s="21" t="s">
        <v>1188</v>
      </c>
      <c r="C945" s="21" t="str">
        <f t="array" ref="C945">XLOOKUP(B945,Customer[Customer_ID],Customer[Name(Cleaned)])</f>
        <v>Joshua Bell</v>
      </c>
      <c r="D945" s="22" t="str">
        <f>VLOOKUP(B945,Customer[#ALL],6)</f>
        <v>Female</v>
      </c>
      <c r="E945" s="23">
        <f>Sales[Order_Date]</f>
        <v>45883</v>
      </c>
      <c r="F945" s="21" t="str">
        <f>Sales[Store_ID]</f>
        <v>STORE10</v>
      </c>
      <c r="G945" s="21" t="str">
        <f t="array" ref="G945">INDEX(Store[Store_Name],MATCH(F945,Store[Store_ID],0))</f>
        <v>Hill, Wagner and Ballard</v>
      </c>
      <c r="H945" s="21" t="str">
        <f>Sales[Product_ID]</f>
        <v>PROD22</v>
      </c>
      <c r="I945" s="21" t="str">
        <f>VLOOKUP(H945,Products[],2)</f>
        <v>Carbon Fiber Tennis Racket</v>
      </c>
      <c r="J945" s="24">
        <f>Sales[Total_Amount]</f>
        <v>910.2636</v>
      </c>
      <c r="K945" s="21" t="str">
        <f t="shared" si="1"/>
        <v>Aug</v>
      </c>
      <c r="L945" s="21">
        <f t="shared" si="2"/>
        <v>2025</v>
      </c>
      <c r="N945" s="33"/>
      <c r="O945" s="34"/>
    </row>
    <row r="946" ht="22.5" customHeight="1">
      <c r="A946" s="21" t="s">
        <v>2911</v>
      </c>
      <c r="B946" s="21" t="s">
        <v>745</v>
      </c>
      <c r="C946" s="21" t="str">
        <f t="array" ref="C946">XLOOKUP(B946,Customer[Customer_ID],Customer[Name(Cleaned)])</f>
        <v>Alexis Castaneda</v>
      </c>
      <c r="D946" s="22" t="str">
        <f>VLOOKUP(B946,Customer[#ALL],6)</f>
        <v>Female</v>
      </c>
      <c r="E946" s="23">
        <f>Sales[Order_Date]</f>
        <v>45477</v>
      </c>
      <c r="F946" s="21" t="str">
        <f>Sales[Store_ID]</f>
        <v>STORE14</v>
      </c>
      <c r="G946" s="21" t="str">
        <f t="array" ref="G946">INDEX(Store[Store_Name],MATCH(F946,Store[Store_ID],0))</f>
        <v>Mcdonald Inc</v>
      </c>
      <c r="H946" s="21" t="str">
        <f>Sales[Product_ID]</f>
        <v>PROD69</v>
      </c>
      <c r="I946" s="21" t="str">
        <f>VLOOKUP(H946,Products[],2)</f>
        <v>Men's Sports Shorts</v>
      </c>
      <c r="J946" s="24">
        <f>Sales[Total_Amount]</f>
        <v>794.5092</v>
      </c>
      <c r="K946" s="21" t="str">
        <f t="shared" si="1"/>
        <v>Jul</v>
      </c>
      <c r="L946" s="21">
        <f t="shared" si="2"/>
        <v>2024</v>
      </c>
      <c r="N946" s="33"/>
      <c r="O946" s="34"/>
    </row>
    <row r="947" ht="22.5" customHeight="1">
      <c r="A947" s="21" t="s">
        <v>2912</v>
      </c>
      <c r="B947" s="21" t="s">
        <v>960</v>
      </c>
      <c r="C947" s="21" t="str">
        <f t="array" ref="C947">XLOOKUP(B947,Customer[Customer_ID],Customer[Name(Cleaned)])</f>
        <v>Stephanie Jacobs</v>
      </c>
      <c r="D947" s="22" t="str">
        <f>VLOOKUP(B947,Customer[#ALL],6)</f>
        <v>Male</v>
      </c>
      <c r="E947" s="23">
        <f>Sales[Order_Date]</f>
        <v>45556</v>
      </c>
      <c r="F947" s="21" t="str">
        <f>Sales[Store_ID]</f>
        <v>STORE1</v>
      </c>
      <c r="G947" s="21" t="str">
        <f t="array" ref="G947">INDEX(Store[Store_Name],MATCH(F947,Store[Store_ID],0))</f>
        <v>Martinez, Adkins and Johnson</v>
      </c>
      <c r="H947" s="21" t="str">
        <f>Sales[Product_ID]</f>
        <v>PROD82</v>
      </c>
      <c r="I947" s="21" t="str">
        <f>VLOOKUP(H947,Products[],2)</f>
        <v>Fitness Resistance Bands</v>
      </c>
      <c r="J947" s="24">
        <f>Sales[Total_Amount]</f>
        <v>2458.46</v>
      </c>
      <c r="K947" s="21" t="str">
        <f t="shared" si="1"/>
        <v>Sep</v>
      </c>
      <c r="L947" s="21">
        <f t="shared" si="2"/>
        <v>2024</v>
      </c>
      <c r="N947" s="33"/>
      <c r="O947" s="34"/>
    </row>
    <row r="948" ht="22.5" customHeight="1">
      <c r="A948" s="21" t="s">
        <v>2913</v>
      </c>
      <c r="B948" s="21" t="s">
        <v>1344</v>
      </c>
      <c r="C948" s="21" t="str">
        <f t="array" ref="C948">XLOOKUP(B948,Customer[Customer_ID],Customer[Name(Cleaned)])</f>
        <v>Samuel Mullins</v>
      </c>
      <c r="D948" s="22" t="str">
        <f>VLOOKUP(B948,Customer[#ALL],6)</f>
        <v>Male</v>
      </c>
      <c r="E948" s="23">
        <f>Sales[Order_Date]</f>
        <v>45354</v>
      </c>
      <c r="F948" s="21" t="str">
        <f>Sales[Store_ID]</f>
        <v>STORE3</v>
      </c>
      <c r="G948" s="21" t="str">
        <f t="array" ref="G948">INDEX(Store[Store_Name],MATCH(F948,Store[Store_ID],0))</f>
        <v>Johnson-Wright</v>
      </c>
      <c r="H948" s="21" t="str">
        <f>Sales[Product_ID]</f>
        <v>PROD63</v>
      </c>
      <c r="I948" s="21" t="str">
        <f>VLOOKUP(H948,Products[],2)</f>
        <v>Organic Sunscreen Lotion</v>
      </c>
      <c r="J948" s="24">
        <f>Sales[Total_Amount]</f>
        <v>1301.6094</v>
      </c>
      <c r="K948" s="21" t="str">
        <f t="shared" si="1"/>
        <v>Mar</v>
      </c>
      <c r="L948" s="21">
        <f t="shared" si="2"/>
        <v>2024</v>
      </c>
      <c r="N948" s="33"/>
      <c r="O948" s="34"/>
    </row>
    <row r="949" ht="22.5" customHeight="1">
      <c r="A949" s="21" t="s">
        <v>2914</v>
      </c>
      <c r="B949" s="21" t="s">
        <v>401</v>
      </c>
      <c r="C949" s="21" t="str">
        <f t="array" ref="C949">XLOOKUP(B949,Customer[Customer_ID],Customer[Name(Cleaned)])</f>
        <v>David Cole</v>
      </c>
      <c r="D949" s="22" t="str">
        <f>VLOOKUP(B949,Customer[#ALL],6)</f>
        <v>Male</v>
      </c>
      <c r="E949" s="23">
        <f>Sales[Order_Date]</f>
        <v>45465</v>
      </c>
      <c r="F949" s="21" t="str">
        <f>Sales[Store_ID]</f>
        <v>STORE2</v>
      </c>
      <c r="G949" s="21" t="str">
        <f t="array" ref="G949">INDEX(Store[Store_Name],MATCH(F949,Store[Store_ID],0))</f>
        <v>Black-Horn</v>
      </c>
      <c r="H949" s="21" t="str">
        <f>Sales[Product_ID]</f>
        <v>PROD46</v>
      </c>
      <c r="I949" s="21" t="str">
        <f>VLOOKUP(H949,Products[],2)</f>
        <v>Men's Winter Jacket</v>
      </c>
      <c r="J949" s="24">
        <f>Sales[Total_Amount]</f>
        <v>749.0304</v>
      </c>
      <c r="K949" s="21" t="str">
        <f t="shared" si="1"/>
        <v>Jun</v>
      </c>
      <c r="L949" s="21">
        <f t="shared" si="2"/>
        <v>2024</v>
      </c>
      <c r="N949" s="33"/>
      <c r="O949" s="34"/>
    </row>
    <row r="950" ht="22.5" customHeight="1">
      <c r="A950" s="21" t="s">
        <v>2915</v>
      </c>
      <c r="B950" s="21" t="s">
        <v>386</v>
      </c>
      <c r="C950" s="21" t="str">
        <f t="array" ref="C950">XLOOKUP(B950,Customer[Customer_ID],Customer[Name(Cleaned)])</f>
        <v>Erica Carney</v>
      </c>
      <c r="D950" s="22" t="str">
        <f>VLOOKUP(B950,Customer[#ALL],6)</f>
        <v>Male</v>
      </c>
      <c r="E950" s="23">
        <f>Sales[Order_Date]</f>
        <v>45552</v>
      </c>
      <c r="F950" s="21" t="str">
        <f>Sales[Store_ID]</f>
        <v>STORE16</v>
      </c>
      <c r="G950" s="21" t="str">
        <f t="array" ref="G950">INDEX(Store[Store_Name],MATCH(F950,Store[Store_ID],0))</f>
        <v>Frederick-Wright</v>
      </c>
      <c r="H950" s="21" t="str">
        <f>Sales[Product_ID]</f>
        <v>PROD70</v>
      </c>
      <c r="I950" s="21" t="str">
        <f>VLOOKUP(H950,Products[],2)</f>
        <v>Kitchen Storage Rack</v>
      </c>
      <c r="J950" s="24">
        <f>Sales[Total_Amount]</f>
        <v>2224.2816</v>
      </c>
      <c r="K950" s="21" t="str">
        <f t="shared" si="1"/>
        <v>Sep</v>
      </c>
      <c r="L950" s="21">
        <f t="shared" si="2"/>
        <v>2024</v>
      </c>
      <c r="N950" s="33"/>
      <c r="O950" s="34"/>
    </row>
    <row r="951" ht="22.5" customHeight="1">
      <c r="A951" s="21" t="s">
        <v>2916</v>
      </c>
      <c r="B951" s="21" t="s">
        <v>1176</v>
      </c>
      <c r="C951" s="21" t="str">
        <f t="array" ref="C951">XLOOKUP(B951,Customer[Customer_ID],Customer[Name(Cleaned)])</f>
        <v>Michael Garner</v>
      </c>
      <c r="D951" s="22" t="str">
        <f>VLOOKUP(B951,Customer[#ALL],6)</f>
        <v>Male</v>
      </c>
      <c r="E951" s="23">
        <f>Sales[Order_Date]</f>
        <v>45635</v>
      </c>
      <c r="F951" s="21" t="str">
        <f>Sales[Store_ID]</f>
        <v>STORE2</v>
      </c>
      <c r="G951" s="21" t="str">
        <f t="array" ref="G951">INDEX(Store[Store_Name],MATCH(F951,Store[Store_ID],0))</f>
        <v>Black-Horn</v>
      </c>
      <c r="H951" s="21" t="str">
        <f>Sales[Product_ID]</f>
        <v>PROD1</v>
      </c>
      <c r="I951" s="21" t="str">
        <f>VLOOKUP(H951,Products[],2)</f>
        <v>Men's Graphic T-Shirt</v>
      </c>
      <c r="J951" s="24">
        <f>Sales[Total_Amount]</f>
        <v>774.576</v>
      </c>
      <c r="K951" s="21" t="str">
        <f t="shared" si="1"/>
        <v>Dec</v>
      </c>
      <c r="L951" s="21">
        <f t="shared" si="2"/>
        <v>2024</v>
      </c>
      <c r="N951" s="33"/>
      <c r="O951" s="34"/>
    </row>
    <row r="952" ht="22.5" customHeight="1">
      <c r="A952" s="21" t="s">
        <v>2917</v>
      </c>
      <c r="B952" s="21" t="s">
        <v>978</v>
      </c>
      <c r="C952" s="21" t="str">
        <f t="array" ref="C952">XLOOKUP(B952,Customer[Customer_ID],Customer[Name(Cleaned)])</f>
        <v>Roberta Green</v>
      </c>
      <c r="D952" s="22" t="str">
        <f>VLOOKUP(B952,Customer[#ALL],6)</f>
        <v>Female</v>
      </c>
      <c r="E952" s="23">
        <f>Sales[Order_Date]</f>
        <v>45740</v>
      </c>
      <c r="F952" s="21" t="str">
        <f>Sales[Store_ID]</f>
        <v>STORE4</v>
      </c>
      <c r="G952" s="21" t="str">
        <f t="array" ref="G952">INDEX(Store[Store_Name],MATCH(F952,Store[Store_ID],0))</f>
        <v>Alexander Group</v>
      </c>
      <c r="H952" s="21" t="str">
        <f>Sales[Product_ID]</f>
        <v>PROD5</v>
      </c>
      <c r="I952" s="21" t="str">
        <f>VLOOKUP(H952,Products[],2)</f>
        <v>Men's Roll-On Perfume</v>
      </c>
      <c r="J952" s="24">
        <f>Sales[Total_Amount]</f>
        <v>34.1784</v>
      </c>
      <c r="K952" s="21" t="str">
        <f t="shared" si="1"/>
        <v>Mar</v>
      </c>
      <c r="L952" s="21">
        <f t="shared" si="2"/>
        <v>2025</v>
      </c>
      <c r="N952" s="33"/>
      <c r="O952" s="34"/>
    </row>
    <row r="953" ht="22.5" customHeight="1">
      <c r="A953" s="21" t="s">
        <v>2918</v>
      </c>
      <c r="B953" s="21" t="s">
        <v>836</v>
      </c>
      <c r="C953" s="21" t="str">
        <f t="array" ref="C953">XLOOKUP(B953,Customer[Customer_ID],Customer[Name(Cleaned)])</f>
        <v>Christopher David</v>
      </c>
      <c r="D953" s="22" t="str">
        <f>VLOOKUP(B953,Customer[#ALL],6)</f>
        <v>Female</v>
      </c>
      <c r="E953" s="23">
        <f>Sales[Order_Date]</f>
        <v>45796</v>
      </c>
      <c r="F953" s="21" t="str">
        <f>Sales[Store_ID]</f>
        <v>STORE17</v>
      </c>
      <c r="G953" s="21" t="str">
        <f t="array" ref="G953">INDEX(Store[Store_Name],MATCH(F953,Store[Store_ID],0))</f>
        <v>Holloway Ltd</v>
      </c>
      <c r="H953" s="21" t="str">
        <f>Sales[Product_ID]</f>
        <v>PROD33</v>
      </c>
      <c r="I953" s="21" t="str">
        <f>VLOOKUP(H953,Products[],2)</f>
        <v>Modern Wall Clock</v>
      </c>
      <c r="J953" s="24">
        <f>Sales[Total_Amount]</f>
        <v>2396.0799</v>
      </c>
      <c r="K953" s="21" t="str">
        <f t="shared" si="1"/>
        <v>May</v>
      </c>
      <c r="L953" s="21">
        <f t="shared" si="2"/>
        <v>2025</v>
      </c>
      <c r="N953" s="33"/>
      <c r="O953" s="34"/>
    </row>
    <row r="954" ht="22.5" customHeight="1">
      <c r="A954" s="21" t="s">
        <v>2919</v>
      </c>
      <c r="B954" s="21" t="s">
        <v>993</v>
      </c>
      <c r="C954" s="21" t="str">
        <f t="array" ref="C954">XLOOKUP(B954,Customer[Customer_ID],Customer[Name(Cleaned)])</f>
        <v>Kara Dodson</v>
      </c>
      <c r="D954" s="22" t="str">
        <f>VLOOKUP(B954,Customer[#ALL],6)</f>
        <v>Female</v>
      </c>
      <c r="E954" s="23">
        <f>Sales[Order_Date]</f>
        <v>45710</v>
      </c>
      <c r="F954" s="21" t="str">
        <f>Sales[Store_ID]</f>
        <v>STORE10</v>
      </c>
      <c r="G954" s="21" t="str">
        <f t="array" ref="G954">INDEX(Store[Store_Name],MATCH(F954,Store[Store_ID],0))</f>
        <v>Hill, Wagner and Ballard</v>
      </c>
      <c r="H954" s="21" t="str">
        <f>Sales[Product_ID]</f>
        <v>PROD19</v>
      </c>
      <c r="I954" s="21" t="str">
        <f>VLOOKUP(H954,Products[],2)</f>
        <v>Knee Support Brace</v>
      </c>
      <c r="J954" s="24">
        <f>Sales[Total_Amount]</f>
        <v>1624.443</v>
      </c>
      <c r="K954" s="21" t="str">
        <f t="shared" si="1"/>
        <v>Feb</v>
      </c>
      <c r="L954" s="21">
        <f t="shared" si="2"/>
        <v>2025</v>
      </c>
      <c r="N954" s="33"/>
      <c r="O954" s="34"/>
    </row>
    <row r="955" ht="22.5" customHeight="1">
      <c r="A955" s="21" t="s">
        <v>2920</v>
      </c>
      <c r="B955" s="21" t="s">
        <v>1044</v>
      </c>
      <c r="C955" s="21" t="str">
        <f t="array" ref="C955">XLOOKUP(B955,Customer[Customer_ID],Customer[Name(Cleaned)])</f>
        <v>Reginald Willis</v>
      </c>
      <c r="D955" s="22" t="str">
        <f>VLOOKUP(B955,Customer[#ALL],6)</f>
        <v>Male</v>
      </c>
      <c r="E955" s="23">
        <f>Sales[Order_Date]</f>
        <v>45596</v>
      </c>
      <c r="F955" s="21" t="str">
        <f>Sales[Store_ID]</f>
        <v>STORE12</v>
      </c>
      <c r="G955" s="21" t="str">
        <f t="array" ref="G955">INDEX(Store[Store_Name],MATCH(F955,Store[Store_ID],0))</f>
        <v>Thomas, Bridges and Harris</v>
      </c>
      <c r="H955" s="21" t="str">
        <f>Sales[Product_ID]</f>
        <v>PROD74</v>
      </c>
      <c r="I955" s="21" t="str">
        <f>VLOOKUP(H955,Products[],2)</f>
        <v>Bluetooth Car Audio System</v>
      </c>
      <c r="J955" s="24">
        <f>Sales[Total_Amount]</f>
        <v>910.3644</v>
      </c>
      <c r="K955" s="21" t="str">
        <f t="shared" si="1"/>
        <v>Oct</v>
      </c>
      <c r="L955" s="21">
        <f t="shared" si="2"/>
        <v>2024</v>
      </c>
      <c r="N955" s="33"/>
      <c r="O955" s="34"/>
    </row>
    <row r="956" ht="22.5" customHeight="1">
      <c r="A956" s="21" t="s">
        <v>2921</v>
      </c>
      <c r="B956" s="21" t="s">
        <v>246</v>
      </c>
      <c r="C956" s="21" t="str">
        <f t="array" ref="C956">XLOOKUP(B956,Customer[Customer_ID],Customer[Name(Cleaned)])</f>
        <v>Mr. Mason Butler</v>
      </c>
      <c r="D956" s="22" t="str">
        <f>VLOOKUP(B956,Customer[#ALL],6)</f>
        <v>Female</v>
      </c>
      <c r="E956" s="23">
        <f>Sales[Order_Date]</f>
        <v>45354</v>
      </c>
      <c r="F956" s="21" t="str">
        <f>Sales[Store_ID]</f>
        <v>STORE13</v>
      </c>
      <c r="G956" s="21" t="str">
        <f t="array" ref="G956">INDEX(Store[Store_Name],MATCH(F956,Store[Store_ID],0))</f>
        <v>Gardner, Humphrey and Contreras</v>
      </c>
      <c r="H956" s="21" t="str">
        <f>Sales[Product_ID]</f>
        <v>PROD56</v>
      </c>
      <c r="I956" s="21" t="str">
        <f>VLOOKUP(H956,Products[],2)</f>
        <v>Premium Blanket Throw</v>
      </c>
      <c r="J956" s="24">
        <f>Sales[Total_Amount]</f>
        <v>537.3897</v>
      </c>
      <c r="K956" s="21" t="str">
        <f t="shared" si="1"/>
        <v>Mar</v>
      </c>
      <c r="L956" s="21">
        <f t="shared" si="2"/>
        <v>2024</v>
      </c>
      <c r="N956" s="33"/>
      <c r="O956" s="34"/>
    </row>
    <row r="957" ht="22.5" customHeight="1">
      <c r="A957" s="21" t="s">
        <v>2922</v>
      </c>
      <c r="B957" s="21" t="s">
        <v>1500</v>
      </c>
      <c r="C957" s="21" t="str">
        <f t="array" ref="C957">XLOOKUP(B957,Customer[Customer_ID],Customer[Name(Cleaned)])</f>
        <v>Sheri Joyce</v>
      </c>
      <c r="D957" s="22" t="str">
        <f>VLOOKUP(B957,Customer[#ALL],6)</f>
        <v>Female</v>
      </c>
      <c r="E957" s="23">
        <f>Sales[Order_Date]</f>
        <v>45428</v>
      </c>
      <c r="F957" s="21" t="str">
        <f>Sales[Store_ID]</f>
        <v>STORE5</v>
      </c>
      <c r="G957" s="21" t="str">
        <f t="array" ref="G957">INDEX(Store[Store_Name],MATCH(F957,Store[Store_ID],0))</f>
        <v>Gray Ltd</v>
      </c>
      <c r="H957" s="21" t="str">
        <f>Sales[Product_ID]</f>
        <v>PROD26</v>
      </c>
      <c r="I957" s="21" t="str">
        <f>VLOOKUP(H957,Products[],2)</f>
        <v>Wireless Bluetooth Speaker</v>
      </c>
      <c r="J957" s="24">
        <f>Sales[Total_Amount]</f>
        <v>758.24</v>
      </c>
      <c r="K957" s="21" t="str">
        <f t="shared" si="1"/>
        <v>May</v>
      </c>
      <c r="L957" s="21">
        <f t="shared" si="2"/>
        <v>2024</v>
      </c>
      <c r="N957" s="33"/>
      <c r="O957" s="34"/>
    </row>
    <row r="958" ht="22.5" customHeight="1">
      <c r="A958" s="21" t="s">
        <v>2923</v>
      </c>
      <c r="B958" s="21" t="s">
        <v>690</v>
      </c>
      <c r="C958" s="21" t="str">
        <f t="array" ref="C958">XLOOKUP(B958,Customer[Customer_ID],Customer[Name(Cleaned)])</f>
        <v>John Perez</v>
      </c>
      <c r="D958" s="22" t="str">
        <f>VLOOKUP(B958,Customer[#ALL],6)</f>
        <v>Female</v>
      </c>
      <c r="E958" s="23">
        <f>Sales[Order_Date]</f>
        <v>45511</v>
      </c>
      <c r="F958" s="21" t="str">
        <f>Sales[Store_ID]</f>
        <v>STORE5</v>
      </c>
      <c r="G958" s="21" t="str">
        <f t="array" ref="G958">INDEX(Store[Store_Name],MATCH(F958,Store[Store_ID],0))</f>
        <v>Gray Ltd</v>
      </c>
      <c r="H958" s="21" t="str">
        <f>Sales[Product_ID]</f>
        <v>PROD75</v>
      </c>
      <c r="I958" s="21" t="str">
        <f>VLOOKUP(H958,Products[],2)</f>
        <v>Women's Ankle Boots</v>
      </c>
      <c r="J958" s="24">
        <f>Sales[Total_Amount]</f>
        <v>773.0304</v>
      </c>
      <c r="K958" s="21" t="str">
        <f t="shared" si="1"/>
        <v>Aug</v>
      </c>
      <c r="L958" s="21">
        <f t="shared" si="2"/>
        <v>2024</v>
      </c>
      <c r="N958" s="33"/>
      <c r="O958" s="34"/>
    </row>
    <row r="959" ht="22.5" customHeight="1">
      <c r="A959" s="21" t="s">
        <v>2924</v>
      </c>
      <c r="B959" s="21" t="s">
        <v>1416</v>
      </c>
      <c r="C959" s="21" t="str">
        <f t="array" ref="C959">XLOOKUP(B959,Customer[Customer_ID],Customer[Name(Cleaned)])</f>
        <v>April Phillips</v>
      </c>
      <c r="D959" s="22" t="str">
        <f>VLOOKUP(B959,Customer[#ALL],6)</f>
        <v>Male</v>
      </c>
      <c r="E959" s="23">
        <f>Sales[Order_Date]</f>
        <v>45600</v>
      </c>
      <c r="F959" s="21" t="str">
        <f>Sales[Store_ID]</f>
        <v>STORE18</v>
      </c>
      <c r="G959" s="21" t="str">
        <f t="array" ref="G959">INDEX(Store[Store_Name],MATCH(F959,Store[Store_ID],0))</f>
        <v>Guerrero-Schmitt</v>
      </c>
      <c r="H959" s="21" t="str">
        <f>Sales[Product_ID]</f>
        <v>PROD79</v>
      </c>
      <c r="I959" s="21" t="str">
        <f>VLOOKUP(H959,Products[],2)</f>
        <v>Decorative Lamp Shade</v>
      </c>
      <c r="J959" s="24">
        <f>Sales[Total_Amount]</f>
        <v>968.1792</v>
      </c>
      <c r="K959" s="21" t="str">
        <f t="shared" si="1"/>
        <v>Nov</v>
      </c>
      <c r="L959" s="21">
        <f t="shared" si="2"/>
        <v>2024</v>
      </c>
      <c r="N959" s="33"/>
      <c r="O959" s="34"/>
    </row>
    <row r="960" ht="22.5" customHeight="1">
      <c r="A960" s="21" t="s">
        <v>2925</v>
      </c>
      <c r="B960" s="21" t="s">
        <v>631</v>
      </c>
      <c r="C960" s="21" t="str">
        <f t="array" ref="C960">XLOOKUP(B960,Customer[Customer_ID],Customer[Name(Cleaned)])</f>
        <v>Kimberly Brooks</v>
      </c>
      <c r="D960" s="22" t="str">
        <f>VLOOKUP(B960,Customer[#ALL],6)</f>
        <v>Female</v>
      </c>
      <c r="E960" s="23">
        <f>Sales[Order_Date]</f>
        <v>45549</v>
      </c>
      <c r="F960" s="21" t="str">
        <f>Sales[Store_ID]</f>
        <v>STORE17</v>
      </c>
      <c r="G960" s="21" t="str">
        <f t="array" ref="G960">INDEX(Store[Store_Name],MATCH(F960,Store[Store_ID],0))</f>
        <v>Holloway Ltd</v>
      </c>
      <c r="H960" s="21" t="str">
        <f>Sales[Product_ID]</f>
        <v>PROD54</v>
      </c>
      <c r="I960" s="21" t="str">
        <f>VLOOKUP(H960,Products[],2)</f>
        <v>Sports Stopwatch Pro</v>
      </c>
      <c r="J960" s="24">
        <f>Sales[Total_Amount]</f>
        <v>1558.9272</v>
      </c>
      <c r="K960" s="21" t="str">
        <f t="shared" si="1"/>
        <v>Sep</v>
      </c>
      <c r="L960" s="21">
        <f t="shared" si="2"/>
        <v>2024</v>
      </c>
      <c r="N960" s="33"/>
      <c r="O960" s="34"/>
    </row>
    <row r="961" ht="22.5" customHeight="1">
      <c r="A961" s="21" t="s">
        <v>2926</v>
      </c>
      <c r="B961" s="21" t="s">
        <v>696</v>
      </c>
      <c r="C961" s="21" t="str">
        <f t="array" ref="C961">XLOOKUP(B961,Customer[Customer_ID],Customer[Name(Cleaned)])</f>
        <v>Antonio Jones</v>
      </c>
      <c r="D961" s="22" t="str">
        <f>VLOOKUP(B961,Customer[#ALL],6)</f>
        <v>Female</v>
      </c>
      <c r="E961" s="23">
        <f>Sales[Order_Date]</f>
        <v>45573</v>
      </c>
      <c r="F961" s="21" t="str">
        <f>Sales[Store_ID]</f>
        <v>STORE18</v>
      </c>
      <c r="G961" s="21" t="str">
        <f t="array" ref="G961">INDEX(Store[Store_Name],MATCH(F961,Store[Store_ID],0))</f>
        <v>Guerrero-Schmitt</v>
      </c>
      <c r="H961" s="21" t="str">
        <f>Sales[Product_ID]</f>
        <v>PROD56</v>
      </c>
      <c r="I961" s="21" t="str">
        <f>VLOOKUP(H961,Products[],2)</f>
        <v>Premium Blanket Throw</v>
      </c>
      <c r="J961" s="24">
        <f>Sales[Total_Amount]</f>
        <v>948.6936</v>
      </c>
      <c r="K961" s="21" t="str">
        <f t="shared" si="1"/>
        <v>Oct</v>
      </c>
      <c r="L961" s="21">
        <f t="shared" si="2"/>
        <v>2024</v>
      </c>
      <c r="N961" s="33"/>
      <c r="O961" s="34"/>
    </row>
    <row r="962" ht="22.5" customHeight="1">
      <c r="A962" s="21" t="s">
        <v>2927</v>
      </c>
      <c r="B962" s="21" t="s">
        <v>422</v>
      </c>
      <c r="C962" s="21" t="str">
        <f t="array" ref="C962">XLOOKUP(B962,Customer[Customer_ID],Customer[Name(Cleaned)])</f>
        <v>Michael Jones</v>
      </c>
      <c r="D962" s="22" t="str">
        <f>VLOOKUP(B962,Customer[#ALL],6)</f>
        <v>Female</v>
      </c>
      <c r="E962" s="23">
        <f>Sales[Order_Date]</f>
        <v>45904</v>
      </c>
      <c r="F962" s="21" t="str">
        <f>Sales[Store_ID]</f>
        <v>STORE6</v>
      </c>
      <c r="G962" s="21" t="str">
        <f t="array" ref="G962">INDEX(Store[Store_Name],MATCH(F962,Store[Store_ID],0))</f>
        <v>Benson-Elliott</v>
      </c>
      <c r="H962" s="21" t="str">
        <f>Sales[Product_ID]</f>
        <v>PROD66</v>
      </c>
      <c r="I962" s="21" t="str">
        <f>VLOOKUP(H962,Products[],2)</f>
        <v>Women's Hair Dryer Brush</v>
      </c>
      <c r="J962" s="24">
        <f>Sales[Total_Amount]</f>
        <v>96.4592</v>
      </c>
      <c r="K962" s="21" t="str">
        <f t="shared" si="1"/>
        <v>Sep</v>
      </c>
      <c r="L962" s="21">
        <f t="shared" si="2"/>
        <v>2025</v>
      </c>
      <c r="N962" s="33"/>
      <c r="O962" s="34"/>
    </row>
    <row r="963" ht="22.5" customHeight="1">
      <c r="A963" s="21" t="s">
        <v>2928</v>
      </c>
      <c r="B963" s="21" t="s">
        <v>35</v>
      </c>
      <c r="C963" s="21" t="str">
        <f t="array" ref="C963">XLOOKUP(B963,Customer[Customer_ID],Customer[Name(Cleaned)])</f>
        <v>Caroline Collins</v>
      </c>
      <c r="D963" s="22" t="str">
        <f>VLOOKUP(B963,Customer[#ALL],6)</f>
        <v>Male</v>
      </c>
      <c r="E963" s="23">
        <f>Sales[Order_Date]</f>
        <v>45489</v>
      </c>
      <c r="F963" s="21" t="str">
        <f>Sales[Store_ID]</f>
        <v>STORE4</v>
      </c>
      <c r="G963" s="21" t="str">
        <f t="array" ref="G963">INDEX(Store[Store_Name],MATCH(F963,Store[Store_ID],0))</f>
        <v>Alexander Group</v>
      </c>
      <c r="H963" s="21" t="str">
        <f>Sales[Product_ID]</f>
        <v>PROD73</v>
      </c>
      <c r="I963" s="21" t="str">
        <f>VLOOKUP(H963,Products[],2)</f>
        <v>Shin Guards – Adult</v>
      </c>
      <c r="J963" s="24">
        <f>Sales[Total_Amount]</f>
        <v>2871.368</v>
      </c>
      <c r="K963" s="21" t="str">
        <f t="shared" si="1"/>
        <v>Jul</v>
      </c>
      <c r="L963" s="21">
        <f t="shared" si="2"/>
        <v>2024</v>
      </c>
      <c r="N963" s="33"/>
      <c r="O963" s="34"/>
    </row>
    <row r="964" ht="22.5" customHeight="1">
      <c r="A964" s="21" t="s">
        <v>2929</v>
      </c>
      <c r="B964" s="21" t="s">
        <v>1086</v>
      </c>
      <c r="C964" s="21" t="str">
        <f t="array" ref="C964">XLOOKUP(B964,Customer[Customer_ID],Customer[Name(Cleaned)])</f>
        <v>Angela Williams</v>
      </c>
      <c r="D964" s="22" t="str">
        <f>VLOOKUP(B964,Customer[#ALL],6)</f>
        <v>Male</v>
      </c>
      <c r="E964" s="23">
        <f>Sales[Order_Date]</f>
        <v>45909</v>
      </c>
      <c r="F964" s="21" t="str">
        <f>Sales[Store_ID]</f>
        <v>STORE11</v>
      </c>
      <c r="G964" s="21" t="str">
        <f t="array" ref="G964">INDEX(Store[Store_Name],MATCH(F964,Store[Store_ID],0))</f>
        <v>Aguirre-Keller</v>
      </c>
      <c r="H964" s="21" t="str">
        <f>Sales[Product_ID]</f>
        <v>PROD42</v>
      </c>
      <c r="I964" s="21" t="str">
        <f>VLOOKUP(H964,Products[],2)</f>
        <v>Smart Home WiFi Camera</v>
      </c>
      <c r="J964" s="24">
        <f>Sales[Total_Amount]</f>
        <v>483.9464</v>
      </c>
      <c r="K964" s="21" t="str">
        <f t="shared" si="1"/>
        <v>Sep</v>
      </c>
      <c r="L964" s="21">
        <f t="shared" si="2"/>
        <v>2025</v>
      </c>
      <c r="N964" s="33"/>
      <c r="O964" s="34"/>
    </row>
    <row r="965" ht="22.5" customHeight="1">
      <c r="A965" s="21" t="s">
        <v>2930</v>
      </c>
      <c r="B965" s="21" t="s">
        <v>1494</v>
      </c>
      <c r="C965" s="21" t="str">
        <f t="array" ref="C965">XLOOKUP(B965,Customer[Customer_ID],Customer[Name(Cleaned)])</f>
        <v>Jordan Medina</v>
      </c>
      <c r="D965" s="22" t="str">
        <f>VLOOKUP(B965,Customer[#ALL],6)</f>
        <v>Female</v>
      </c>
      <c r="E965" s="23">
        <f>Sales[Order_Date]</f>
        <v>45720</v>
      </c>
      <c r="F965" s="21" t="str">
        <f>Sales[Store_ID]</f>
        <v>STORE1</v>
      </c>
      <c r="G965" s="21" t="str">
        <f t="array" ref="G965">INDEX(Store[Store_Name],MATCH(F965,Store[Store_ID],0))</f>
        <v>Martinez, Adkins and Johnson</v>
      </c>
      <c r="H965" s="21" t="str">
        <f>Sales[Product_ID]</f>
        <v>PROD11</v>
      </c>
      <c r="I965" s="21" t="str">
        <f>VLOOKUP(H965,Products[],2)</f>
        <v>Men's Graphic T-Shirt</v>
      </c>
      <c r="J965" s="24">
        <f>Sales[Total_Amount]</f>
        <v>2916.42</v>
      </c>
      <c r="K965" s="21" t="str">
        <f t="shared" si="1"/>
        <v>Mar</v>
      </c>
      <c r="L965" s="21">
        <f t="shared" si="2"/>
        <v>2025</v>
      </c>
      <c r="N965" s="33"/>
      <c r="O965" s="34"/>
    </row>
    <row r="966" ht="22.5" customHeight="1">
      <c r="A966" s="21" t="s">
        <v>2931</v>
      </c>
      <c r="B966" s="21" t="s">
        <v>343</v>
      </c>
      <c r="C966" s="21" t="str">
        <f t="array" ref="C966">XLOOKUP(B966,Customer[Customer_ID],Customer[Name(Cleaned)])</f>
        <v>Christy Vasquez</v>
      </c>
      <c r="D966" s="22" t="str">
        <f>VLOOKUP(B966,Customer[#ALL],6)</f>
        <v>Male</v>
      </c>
      <c r="E966" s="23">
        <f>Sales[Order_Date]</f>
        <v>45831</v>
      </c>
      <c r="F966" s="21" t="str">
        <f>Sales[Store_ID]</f>
        <v>STORE4</v>
      </c>
      <c r="G966" s="21" t="str">
        <f t="array" ref="G966">INDEX(Store[Store_Name],MATCH(F966,Store[Store_ID],0))</f>
        <v>Alexander Group</v>
      </c>
      <c r="H966" s="21" t="str">
        <f>Sales[Product_ID]</f>
        <v>PROD43</v>
      </c>
      <c r="I966" s="21" t="str">
        <f>VLOOKUP(H966,Products[],2)</f>
        <v>USB External Hard Drive</v>
      </c>
      <c r="J966" s="24">
        <f>Sales[Total_Amount]</f>
        <v>1146.8154</v>
      </c>
      <c r="K966" s="21" t="str">
        <f t="shared" si="1"/>
        <v>Jun</v>
      </c>
      <c r="L966" s="21">
        <f t="shared" si="2"/>
        <v>2025</v>
      </c>
      <c r="N966" s="33"/>
      <c r="O966" s="34"/>
    </row>
    <row r="967" ht="22.5" customHeight="1">
      <c r="A967" s="21" t="s">
        <v>2932</v>
      </c>
      <c r="B967" s="21" t="s">
        <v>510</v>
      </c>
      <c r="C967" s="21" t="str">
        <f t="array" ref="C967">XLOOKUP(B967,Customer[Customer_ID],Customer[Name(Cleaned)])</f>
        <v>Theresa Campbell</v>
      </c>
      <c r="D967" s="22" t="str">
        <f>VLOOKUP(B967,Customer[#ALL],6)</f>
        <v>Male</v>
      </c>
      <c r="E967" s="23">
        <f>Sales[Order_Date]</f>
        <v>45602</v>
      </c>
      <c r="F967" s="21" t="str">
        <f>Sales[Store_ID]</f>
        <v>STORE2</v>
      </c>
      <c r="G967" s="21" t="str">
        <f t="array" ref="G967">INDEX(Store[Store_Name],MATCH(F967,Store[Store_ID],0))</f>
        <v>Black-Horn</v>
      </c>
      <c r="H967" s="21" t="str">
        <f>Sales[Product_ID]</f>
        <v>PROD64</v>
      </c>
      <c r="I967" s="21" t="str">
        <f>VLOOKUP(H967,Products[],2)</f>
        <v>Matte Lipstick Set</v>
      </c>
      <c r="J967" s="24">
        <f>Sales[Total_Amount]</f>
        <v>2819.0064</v>
      </c>
      <c r="K967" s="21" t="str">
        <f t="shared" si="1"/>
        <v>Nov</v>
      </c>
      <c r="L967" s="21">
        <f t="shared" si="2"/>
        <v>2024</v>
      </c>
      <c r="N967" s="33"/>
      <c r="O967" s="34"/>
    </row>
    <row r="968" ht="22.5" customHeight="1">
      <c r="A968" s="21" t="s">
        <v>2933</v>
      </c>
      <c r="B968" s="21" t="s">
        <v>472</v>
      </c>
      <c r="C968" s="21" t="str">
        <f t="array" ref="C968">XLOOKUP(B968,Customer[Customer_ID],Customer[Name(Cleaned)])</f>
        <v>Matthew Hanna</v>
      </c>
      <c r="D968" s="22" t="str">
        <f>VLOOKUP(B968,Customer[#ALL],6)</f>
        <v>Male</v>
      </c>
      <c r="E968" s="23">
        <f>Sales[Order_Date]</f>
        <v>45722</v>
      </c>
      <c r="F968" s="21" t="str">
        <f>Sales[Store_ID]</f>
        <v>STORE17</v>
      </c>
      <c r="G968" s="21" t="str">
        <f t="array" ref="G968">INDEX(Store[Store_Name],MATCH(F968,Store[Store_ID],0))</f>
        <v>Holloway Ltd</v>
      </c>
      <c r="H968" s="21" t="str">
        <f>Sales[Product_ID]</f>
        <v>PROD11</v>
      </c>
      <c r="I968" s="21" t="str">
        <f>VLOOKUP(H968,Products[],2)</f>
        <v>Men's Graphic T-Shirt</v>
      </c>
      <c r="J968" s="24">
        <f>Sales[Total_Amount]</f>
        <v>2650.292</v>
      </c>
      <c r="K968" s="21" t="str">
        <f t="shared" si="1"/>
        <v>Mar</v>
      </c>
      <c r="L968" s="21">
        <f t="shared" si="2"/>
        <v>2025</v>
      </c>
      <c r="N968" s="33"/>
      <c r="O968" s="34"/>
    </row>
    <row r="969" ht="22.5" customHeight="1">
      <c r="A969" s="21" t="s">
        <v>2934</v>
      </c>
      <c r="B969" s="21" t="s">
        <v>1320</v>
      </c>
      <c r="C969" s="21" t="str">
        <f t="array" ref="C969">XLOOKUP(B969,Customer[Customer_ID],Customer[Name(Cleaned)])</f>
        <v>Dr. Tamara White Md</v>
      </c>
      <c r="D969" s="22" t="str">
        <f>VLOOKUP(B969,Customer[#ALL],6)</f>
        <v>Female</v>
      </c>
      <c r="E969" s="23">
        <f>Sales[Order_Date]</f>
        <v>45794</v>
      </c>
      <c r="F969" s="21" t="str">
        <f>Sales[Store_ID]</f>
        <v>STORE8</v>
      </c>
      <c r="G969" s="21" t="str">
        <f t="array" ref="G969">INDEX(Store[Store_Name],MATCH(F969,Store[Store_ID],0))</f>
        <v>Bean, Jones and Park</v>
      </c>
      <c r="H969" s="21" t="str">
        <f>Sales[Product_ID]</f>
        <v>PROD74</v>
      </c>
      <c r="I969" s="21" t="str">
        <f>VLOOKUP(H969,Products[],2)</f>
        <v>Bluetooth Car Audio System</v>
      </c>
      <c r="J969" s="24">
        <f>Sales[Total_Amount]</f>
        <v>2235.4788</v>
      </c>
      <c r="K969" s="21" t="str">
        <f t="shared" si="1"/>
        <v>May</v>
      </c>
      <c r="L969" s="21">
        <f t="shared" si="2"/>
        <v>2025</v>
      </c>
      <c r="N969" s="33"/>
      <c r="O969" s="34"/>
    </row>
    <row r="970" ht="22.5" customHeight="1">
      <c r="A970" s="21" t="s">
        <v>2935</v>
      </c>
      <c r="B970" s="21" t="s">
        <v>881</v>
      </c>
      <c r="C970" s="21" t="str">
        <f t="array" ref="C970">XLOOKUP(B970,Customer[Customer_ID],Customer[Name(Cleaned)])</f>
        <v>Adam Rowland</v>
      </c>
      <c r="D970" s="22" t="str">
        <f>VLOOKUP(B970,Customer[#ALL],6)</f>
        <v>Male</v>
      </c>
      <c r="E970" s="23">
        <f>Sales[Order_Date]</f>
        <v>45538</v>
      </c>
      <c r="F970" s="21" t="str">
        <f>Sales[Store_ID]</f>
        <v>STORE6</v>
      </c>
      <c r="G970" s="21" t="str">
        <f t="array" ref="G970">INDEX(Store[Store_Name],MATCH(F970,Store[Store_ID],0))</f>
        <v>Benson-Elliott</v>
      </c>
      <c r="H970" s="21" t="str">
        <f>Sales[Product_ID]</f>
        <v>PROD81</v>
      </c>
      <c r="I970" s="21" t="str">
        <f>VLOOKUP(H970,Products[],2)</f>
        <v>Badminton Racket Set</v>
      </c>
      <c r="J970" s="24">
        <f>Sales[Total_Amount]</f>
        <v>1087.6734</v>
      </c>
      <c r="K970" s="21" t="str">
        <f t="shared" si="1"/>
        <v>Sep</v>
      </c>
      <c r="L970" s="21">
        <f t="shared" si="2"/>
        <v>2024</v>
      </c>
      <c r="N970" s="33"/>
      <c r="O970" s="34"/>
    </row>
    <row r="971" ht="22.5" customHeight="1">
      <c r="A971" s="21" t="s">
        <v>2936</v>
      </c>
      <c r="B971" s="21" t="s">
        <v>960</v>
      </c>
      <c r="C971" s="21" t="str">
        <f t="array" ref="C971">XLOOKUP(B971,Customer[Customer_ID],Customer[Name(Cleaned)])</f>
        <v>Stephanie Jacobs</v>
      </c>
      <c r="D971" s="22" t="str">
        <f>VLOOKUP(B971,Customer[#ALL],6)</f>
        <v>Male</v>
      </c>
      <c r="E971" s="23">
        <f>Sales[Order_Date]</f>
        <v>45659</v>
      </c>
      <c r="F971" s="21" t="str">
        <f>Sales[Store_ID]</f>
        <v>STORE17</v>
      </c>
      <c r="G971" s="21" t="str">
        <f t="array" ref="G971">INDEX(Store[Store_Name],MATCH(F971,Store[Store_ID],0))</f>
        <v>Holloway Ltd</v>
      </c>
      <c r="H971" s="21" t="str">
        <f>Sales[Product_ID]</f>
        <v>PROD0</v>
      </c>
      <c r="I971" s="21" t="str">
        <f>VLOOKUP(H971,Products[],2)</f>
        <v>Brother Laser Printer</v>
      </c>
      <c r="J971" s="24">
        <f>Sales[Total_Amount]</f>
        <v>459.2884</v>
      </c>
      <c r="K971" s="21" t="str">
        <f t="shared" si="1"/>
        <v>Jan</v>
      </c>
      <c r="L971" s="21">
        <f t="shared" si="2"/>
        <v>2025</v>
      </c>
      <c r="N971" s="33"/>
      <c r="O971" s="34"/>
    </row>
    <row r="972" ht="22.5" customHeight="1">
      <c r="A972" s="21" t="s">
        <v>2937</v>
      </c>
      <c r="B972" s="21" t="s">
        <v>1101</v>
      </c>
      <c r="C972" s="21" t="str">
        <f t="array" ref="C972">XLOOKUP(B972,Customer[Customer_ID],Customer[Name(Cleaned)])</f>
        <v>John Jordan</v>
      </c>
      <c r="D972" s="22" t="str">
        <f>VLOOKUP(B972,Customer[#ALL],6)</f>
        <v>Male</v>
      </c>
      <c r="E972" s="23">
        <f>Sales[Order_Date]</f>
        <v>45501</v>
      </c>
      <c r="F972" s="21" t="str">
        <f>Sales[Store_ID]</f>
        <v>STORE0</v>
      </c>
      <c r="G972" s="21" t="str">
        <f t="array" ref="G972">INDEX(Store[Store_Name],MATCH(F972,Store[Store_ID],0))</f>
        <v>Rivera-Warner</v>
      </c>
      <c r="H972" s="21" t="str">
        <f>Sales[Product_ID]</f>
        <v>PROD45</v>
      </c>
      <c r="I972" s="21" t="str">
        <f>VLOOKUP(H972,Products[],2)</f>
        <v>High-Grip Football</v>
      </c>
      <c r="J972" s="24">
        <f>Sales[Total_Amount]</f>
        <v>464.4255</v>
      </c>
      <c r="K972" s="21" t="str">
        <f t="shared" si="1"/>
        <v>Jul</v>
      </c>
      <c r="L972" s="21">
        <f t="shared" si="2"/>
        <v>2024</v>
      </c>
      <c r="N972" s="33"/>
      <c r="O972" s="34"/>
    </row>
    <row r="973" ht="22.5" customHeight="1">
      <c r="A973" s="21" t="s">
        <v>2938</v>
      </c>
      <c r="B973" s="21" t="s">
        <v>821</v>
      </c>
      <c r="C973" s="21" t="str">
        <f t="array" ref="C973">XLOOKUP(B973,Customer[Customer_ID],Customer[Name(Cleaned)])</f>
        <v>John Mccoy</v>
      </c>
      <c r="D973" s="22" t="str">
        <f>VLOOKUP(B973,Customer[#ALL],6)</f>
        <v>Female</v>
      </c>
      <c r="E973" s="23">
        <f>Sales[Order_Date]</f>
        <v>45408</v>
      </c>
      <c r="F973" s="21" t="str">
        <f>Sales[Store_ID]</f>
        <v>STORE17</v>
      </c>
      <c r="G973" s="21" t="str">
        <f t="array" ref="G973">INDEX(Store[Store_Name],MATCH(F973,Store[Store_ID],0))</f>
        <v>Holloway Ltd</v>
      </c>
      <c r="H973" s="21" t="str">
        <f>Sales[Product_ID]</f>
        <v>PROD58</v>
      </c>
      <c r="I973" s="21" t="str">
        <f>VLOOKUP(H973,Products[],2)</f>
        <v>Womens Cotton Scarf</v>
      </c>
      <c r="J973" s="24">
        <f>Sales[Total_Amount]</f>
        <v>562.359</v>
      </c>
      <c r="K973" s="21" t="str">
        <f t="shared" si="1"/>
        <v>Apr</v>
      </c>
      <c r="L973" s="21">
        <f t="shared" si="2"/>
        <v>2024</v>
      </c>
      <c r="N973" s="33"/>
      <c r="O973" s="34"/>
    </row>
    <row r="974" ht="22.5" customHeight="1">
      <c r="A974" s="21" t="s">
        <v>2939</v>
      </c>
      <c r="B974" s="21" t="s">
        <v>152</v>
      </c>
      <c r="C974" s="21" t="str">
        <f t="array" ref="C974">XLOOKUP(B974,Customer[Customer_ID],Customer[Name(Cleaned)])</f>
        <v>Thomas Phillips</v>
      </c>
      <c r="D974" s="22" t="str">
        <f>VLOOKUP(B974,Customer[#ALL],6)</f>
        <v>Male</v>
      </c>
      <c r="E974" s="23">
        <f>Sales[Order_Date]</f>
        <v>45886</v>
      </c>
      <c r="F974" s="21" t="str">
        <f>Sales[Store_ID]</f>
        <v>STORE15</v>
      </c>
      <c r="G974" s="21" t="str">
        <f t="array" ref="G974">INDEX(Store[Store_Name],MATCH(F974,Store[Store_ID],0))</f>
        <v>Shelton PLC</v>
      </c>
      <c r="H974" s="21" t="str">
        <f>Sales[Product_ID]</f>
        <v>PROD61</v>
      </c>
      <c r="I974" s="21" t="str">
        <f>VLOOKUP(H974,Products[],2)</f>
        <v>Tennis Ball 3-Pack</v>
      </c>
      <c r="J974" s="24">
        <f>Sales[Total_Amount]</f>
        <v>725.3442</v>
      </c>
      <c r="K974" s="21" t="str">
        <f t="shared" si="1"/>
        <v>Aug</v>
      </c>
      <c r="L974" s="21">
        <f t="shared" si="2"/>
        <v>2025</v>
      </c>
      <c r="N974" s="33"/>
      <c r="O974" s="34"/>
    </row>
    <row r="975" ht="22.5" customHeight="1">
      <c r="A975" s="21" t="s">
        <v>2940</v>
      </c>
      <c r="B975" s="21" t="s">
        <v>437</v>
      </c>
      <c r="C975" s="21" t="str">
        <f t="array" ref="C975">XLOOKUP(B975,Customer[Customer_ID],Customer[Name(Cleaned)])</f>
        <v>Donald Lee</v>
      </c>
      <c r="D975" s="22" t="str">
        <f>VLOOKUP(B975,Customer[#ALL],6)</f>
        <v>Female</v>
      </c>
      <c r="E975" s="23">
        <f>Sales[Order_Date]</f>
        <v>45426</v>
      </c>
      <c r="F975" s="21" t="str">
        <f>Sales[Store_ID]</f>
        <v>STORE3</v>
      </c>
      <c r="G975" s="21" t="str">
        <f t="array" ref="G975">INDEX(Store[Store_Name],MATCH(F975,Store[Store_ID],0))</f>
        <v>Johnson-Wright</v>
      </c>
      <c r="H975" s="21" t="str">
        <f>Sales[Product_ID]</f>
        <v>PROD2</v>
      </c>
      <c r="I975" s="21" t="str">
        <f>VLOOKUP(H975,Products[],2)</f>
        <v>Knee Support Brace</v>
      </c>
      <c r="J975" s="24">
        <f>Sales[Total_Amount]</f>
        <v>1894.08</v>
      </c>
      <c r="K975" s="21" t="str">
        <f t="shared" si="1"/>
        <v>May</v>
      </c>
      <c r="L975" s="21">
        <f t="shared" si="2"/>
        <v>2024</v>
      </c>
      <c r="N975" s="33"/>
      <c r="O975" s="34"/>
    </row>
    <row r="976" ht="22.5" customHeight="1">
      <c r="A976" s="21" t="s">
        <v>2941</v>
      </c>
      <c r="B976" s="21" t="s">
        <v>135</v>
      </c>
      <c r="C976" s="21" t="str">
        <f t="array" ref="C976">XLOOKUP(B976,Customer[Customer_ID],Customer[Name(Cleaned)])</f>
        <v>Sarah Vance</v>
      </c>
      <c r="D976" s="22" t="str">
        <f>VLOOKUP(B976,Customer[#ALL],6)</f>
        <v>Female</v>
      </c>
      <c r="E976" s="23">
        <f>Sales[Order_Date]</f>
        <v>45730</v>
      </c>
      <c r="F976" s="21" t="str">
        <f>Sales[Store_ID]</f>
        <v>STORE12</v>
      </c>
      <c r="G976" s="21" t="str">
        <f t="array" ref="G976">INDEX(Store[Store_Name],MATCH(F976,Store[Store_ID],0))</f>
        <v>Thomas, Bridges and Harris</v>
      </c>
      <c r="H976" s="21" t="str">
        <f>Sales[Product_ID]</f>
        <v>PROD60</v>
      </c>
      <c r="I976" s="21" t="str">
        <f>VLOOKUP(H976,Products[],2)</f>
        <v>Luxury Perfume Spray</v>
      </c>
      <c r="J976" s="24">
        <f>Sales[Total_Amount]</f>
        <v>650.916</v>
      </c>
      <c r="K976" s="21" t="str">
        <f t="shared" si="1"/>
        <v>Mar</v>
      </c>
      <c r="L976" s="21">
        <f t="shared" si="2"/>
        <v>2025</v>
      </c>
      <c r="N976" s="33"/>
      <c r="O976" s="34"/>
    </row>
    <row r="977" ht="22.5" customHeight="1">
      <c r="A977" s="21" t="s">
        <v>2942</v>
      </c>
      <c r="B977" s="21" t="s">
        <v>1416</v>
      </c>
      <c r="C977" s="21" t="str">
        <f t="array" ref="C977">XLOOKUP(B977,Customer[Customer_ID],Customer[Name(Cleaned)])</f>
        <v>April Phillips</v>
      </c>
      <c r="D977" s="22" t="str">
        <f>VLOOKUP(B977,Customer[#ALL],6)</f>
        <v>Male</v>
      </c>
      <c r="E977" s="23">
        <f>Sales[Order_Date]</f>
        <v>45731</v>
      </c>
      <c r="F977" s="21" t="str">
        <f>Sales[Store_ID]</f>
        <v>STORE2</v>
      </c>
      <c r="G977" s="21" t="str">
        <f t="array" ref="G977">INDEX(Store[Store_Name],MATCH(F977,Store[Store_ID],0))</f>
        <v>Black-Horn</v>
      </c>
      <c r="H977" s="21" t="str">
        <f>Sales[Product_ID]</f>
        <v>PROD98</v>
      </c>
      <c r="I977" s="21" t="str">
        <f>VLOOKUP(H977,Products[],2)</f>
        <v>Portable Bluetooth Speaker</v>
      </c>
      <c r="J977" s="24">
        <f>Sales[Total_Amount]</f>
        <v>143.2404</v>
      </c>
      <c r="K977" s="21" t="str">
        <f t="shared" si="1"/>
        <v>Mar</v>
      </c>
      <c r="L977" s="21">
        <f t="shared" si="2"/>
        <v>2025</v>
      </c>
      <c r="N977" s="33"/>
      <c r="O977" s="34"/>
    </row>
    <row r="978" ht="22.5" customHeight="1">
      <c r="A978" s="21" t="s">
        <v>2943</v>
      </c>
      <c r="B978" s="21" t="s">
        <v>827</v>
      </c>
      <c r="C978" s="21" t="str">
        <f t="array" ref="C978">XLOOKUP(B978,Customer[Customer_ID],Customer[Name(Cleaned)])</f>
        <v>Linda Kline</v>
      </c>
      <c r="D978" s="22" t="str">
        <f>VLOOKUP(B978,Customer[#ALL],6)</f>
        <v>Female</v>
      </c>
      <c r="E978" s="23">
        <f>Sales[Order_Date]</f>
        <v>45272</v>
      </c>
      <c r="F978" s="21" t="str">
        <f>Sales[Store_ID]</f>
        <v>STORE0</v>
      </c>
      <c r="G978" s="21" t="str">
        <f t="array" ref="G978">INDEX(Store[Store_Name],MATCH(F978,Store[Store_ID],0))</f>
        <v>Rivera-Warner</v>
      </c>
      <c r="H978" s="21" t="str">
        <f>Sales[Product_ID]</f>
        <v>PROD26</v>
      </c>
      <c r="I978" s="21" t="str">
        <f>VLOOKUP(H978,Products[],2)</f>
        <v>Wireless Bluetooth Speaker</v>
      </c>
      <c r="J978" s="24">
        <f>Sales[Total_Amount]</f>
        <v>1093.2938</v>
      </c>
      <c r="K978" s="21" t="str">
        <f t="shared" si="1"/>
        <v>Dec</v>
      </c>
      <c r="L978" s="21">
        <f t="shared" si="2"/>
        <v>2023</v>
      </c>
      <c r="N978" s="33"/>
      <c r="O978" s="34"/>
    </row>
    <row r="979" ht="22.5" customHeight="1">
      <c r="A979" s="21" t="s">
        <v>2944</v>
      </c>
      <c r="B979" s="21" t="s">
        <v>389</v>
      </c>
      <c r="C979" s="21" t="str">
        <f t="array" ref="C979">XLOOKUP(B979,Customer[Customer_ID],Customer[Name(Cleaned)])</f>
        <v>Travis Holland</v>
      </c>
      <c r="D979" s="22" t="str">
        <f>VLOOKUP(B979,Customer[#ALL],6)</f>
        <v>Female</v>
      </c>
      <c r="E979" s="23">
        <f>Sales[Order_Date]</f>
        <v>45584</v>
      </c>
      <c r="F979" s="21" t="str">
        <f>Sales[Store_ID]</f>
        <v>STORE7</v>
      </c>
      <c r="G979" s="21" t="str">
        <f t="array" ref="G979">INDEX(Store[Store_Name],MATCH(F979,Store[Store_ID],0))</f>
        <v>Martinez-Mullins</v>
      </c>
      <c r="H979" s="21" t="str">
        <f>Sales[Product_ID]</f>
        <v>PROD3</v>
      </c>
      <c r="I979" s="21" t="str">
        <f>VLOOKUP(H979,Products[],2)</f>
        <v>Fabric Sofa Throw Blanket</v>
      </c>
      <c r="J979" s="24">
        <f>Sales[Total_Amount]</f>
        <v>1487.4636</v>
      </c>
      <c r="K979" s="21" t="str">
        <f t="shared" si="1"/>
        <v>Oct</v>
      </c>
      <c r="L979" s="21">
        <f t="shared" si="2"/>
        <v>2024</v>
      </c>
      <c r="N979" s="33"/>
      <c r="O979" s="34"/>
    </row>
    <row r="980" ht="22.5" customHeight="1">
      <c r="A980" s="21" t="s">
        <v>2945</v>
      </c>
      <c r="B980" s="21" t="s">
        <v>1546</v>
      </c>
      <c r="C980" s="21" t="str">
        <f t="array" ref="C980">XLOOKUP(B980,Customer[Customer_ID],Customer[Name(Cleaned)])</f>
        <v>Traci Gonzalez</v>
      </c>
      <c r="D980" s="22" t="str">
        <f>VLOOKUP(B980,Customer[#ALL],6)</f>
        <v>Female</v>
      </c>
      <c r="E980" s="23">
        <f>Sales[Order_Date]</f>
        <v>45534</v>
      </c>
      <c r="F980" s="21" t="str">
        <f>Sales[Store_ID]</f>
        <v>STORE12</v>
      </c>
      <c r="G980" s="21" t="str">
        <f t="array" ref="G980">INDEX(Store[Store_Name],MATCH(F980,Store[Store_ID],0))</f>
        <v>Thomas, Bridges and Harris</v>
      </c>
      <c r="H980" s="21" t="str">
        <f>Sales[Product_ID]</f>
        <v>PROD2</v>
      </c>
      <c r="I980" s="21" t="str">
        <f>VLOOKUP(H980,Products[],2)</f>
        <v>Knee Support Brace</v>
      </c>
      <c r="J980" s="24">
        <f>Sales[Total_Amount]</f>
        <v>64.1256</v>
      </c>
      <c r="K980" s="21" t="str">
        <f t="shared" si="1"/>
        <v>Aug</v>
      </c>
      <c r="L980" s="21">
        <f t="shared" si="2"/>
        <v>2024</v>
      </c>
      <c r="N980" s="33"/>
      <c r="O980" s="34"/>
    </row>
    <row r="981" ht="22.5" customHeight="1">
      <c r="A981" s="21" t="s">
        <v>2946</v>
      </c>
      <c r="B981" s="21" t="s">
        <v>1209</v>
      </c>
      <c r="C981" s="21" t="str">
        <f t="array" ref="C981">XLOOKUP(B981,Customer[Customer_ID],Customer[Name(Cleaned)])</f>
        <v>Martha Brown</v>
      </c>
      <c r="D981" s="22" t="str">
        <f>VLOOKUP(B981,Customer[#ALL],6)</f>
        <v>Male</v>
      </c>
      <c r="E981" s="23">
        <f>Sales[Order_Date]</f>
        <v>45411</v>
      </c>
      <c r="F981" s="21" t="str">
        <f>Sales[Store_ID]</f>
        <v>STORE3</v>
      </c>
      <c r="G981" s="21" t="str">
        <f t="array" ref="G981">INDEX(Store[Store_Name],MATCH(F981,Store[Store_ID],0))</f>
        <v>Johnson-Wright</v>
      </c>
      <c r="H981" s="21" t="str">
        <f>Sales[Product_ID]</f>
        <v>PROD4</v>
      </c>
      <c r="I981" s="21" t="str">
        <f>VLOOKUP(H981,Products[],2)</f>
        <v>Portable Power Bank</v>
      </c>
      <c r="J981" s="24">
        <f>Sales[Total_Amount]</f>
        <v>1786.2336</v>
      </c>
      <c r="K981" s="21" t="str">
        <f t="shared" si="1"/>
        <v>Apr</v>
      </c>
      <c r="L981" s="21">
        <f t="shared" si="2"/>
        <v>2024</v>
      </c>
      <c r="N981" s="33"/>
      <c r="O981" s="34"/>
    </row>
    <row r="982" ht="22.5" customHeight="1">
      <c r="A982" s="21" t="s">
        <v>2947</v>
      </c>
      <c r="B982" s="21" t="s">
        <v>428</v>
      </c>
      <c r="C982" s="21" t="str">
        <f t="array" ref="C982">XLOOKUP(B982,Customer[Customer_ID],Customer[Name(Cleaned)])</f>
        <v>Joel Robinson</v>
      </c>
      <c r="D982" s="22" t="str">
        <f>VLOOKUP(B982,Customer[#ALL],6)</f>
        <v>Female</v>
      </c>
      <c r="E982" s="23">
        <f>Sales[Order_Date]</f>
        <v>45482</v>
      </c>
      <c r="F982" s="21" t="str">
        <f>Sales[Store_ID]</f>
        <v>STORE11</v>
      </c>
      <c r="G982" s="21" t="str">
        <f t="array" ref="G982">INDEX(Store[Store_Name],MATCH(F982,Store[Store_ID],0))</f>
        <v>Aguirre-Keller</v>
      </c>
      <c r="H982" s="21" t="str">
        <f>Sales[Product_ID]</f>
        <v>PROD63</v>
      </c>
      <c r="I982" s="21" t="str">
        <f>VLOOKUP(H982,Products[],2)</f>
        <v>Organic Sunscreen Lotion</v>
      </c>
      <c r="J982" s="24">
        <f>Sales[Total_Amount]</f>
        <v>383.002</v>
      </c>
      <c r="K982" s="21" t="str">
        <f t="shared" si="1"/>
        <v>Jul</v>
      </c>
      <c r="L982" s="21">
        <f t="shared" si="2"/>
        <v>2024</v>
      </c>
      <c r="N982" s="33"/>
      <c r="O982" s="34"/>
    </row>
    <row r="983" ht="22.5" customHeight="1">
      <c r="A983" s="21" t="s">
        <v>2948</v>
      </c>
      <c r="B983" s="21" t="s">
        <v>1020</v>
      </c>
      <c r="C983" s="21" t="str">
        <f t="array" ref="C983">XLOOKUP(B983,Customer[Customer_ID],Customer[Name(Cleaned)])</f>
        <v>Casey Simpson</v>
      </c>
      <c r="D983" s="22" t="str">
        <f>VLOOKUP(B983,Customer[#ALL],6)</f>
        <v>Female</v>
      </c>
      <c r="E983" s="23">
        <f>Sales[Order_Date]</f>
        <v>45475</v>
      </c>
      <c r="F983" s="21" t="str">
        <f>Sales[Store_ID]</f>
        <v>STORE14</v>
      </c>
      <c r="G983" s="21" t="str">
        <f t="array" ref="G983">INDEX(Store[Store_Name],MATCH(F983,Store[Store_ID],0))</f>
        <v>Mcdonald Inc</v>
      </c>
      <c r="H983" s="21" t="str">
        <f>Sales[Product_ID]</f>
        <v>PROD51</v>
      </c>
      <c r="I983" s="21" t="str">
        <f>VLOOKUP(H983,Products[],2)</f>
        <v>HDMI Cable – 2m</v>
      </c>
      <c r="J983" s="24">
        <f>Sales[Total_Amount]</f>
        <v>3339.8264</v>
      </c>
      <c r="K983" s="21" t="str">
        <f t="shared" si="1"/>
        <v>Jul</v>
      </c>
      <c r="L983" s="21">
        <f t="shared" si="2"/>
        <v>2024</v>
      </c>
      <c r="N983" s="33"/>
      <c r="O983" s="34"/>
    </row>
    <row r="984" ht="22.5" customHeight="1">
      <c r="A984" s="21" t="s">
        <v>2949</v>
      </c>
      <c r="B984" s="21" t="s">
        <v>658</v>
      </c>
      <c r="C984" s="21" t="str">
        <f t="array" ref="C984">XLOOKUP(B984,Customer[Customer_ID],Customer[Name(Cleaned)])</f>
        <v>Andrea Jacobs</v>
      </c>
      <c r="D984" s="22" t="str">
        <f>VLOOKUP(B984,Customer[#ALL],6)</f>
        <v>Male</v>
      </c>
      <c r="E984" s="23">
        <f>Sales[Order_Date]</f>
        <v>45234</v>
      </c>
      <c r="F984" s="21" t="str">
        <f>Sales[Store_ID]</f>
        <v>STORE3</v>
      </c>
      <c r="G984" s="21" t="str">
        <f t="array" ref="G984">INDEX(Store[Store_Name],MATCH(F984,Store[Store_ID],0))</f>
        <v>Johnson-Wright</v>
      </c>
      <c r="H984" s="21" t="str">
        <f>Sales[Product_ID]</f>
        <v>PROD42</v>
      </c>
      <c r="I984" s="21" t="str">
        <f>VLOOKUP(H984,Products[],2)</f>
        <v>Smart Home WiFi Camera</v>
      </c>
      <c r="J984" s="24">
        <f>Sales[Total_Amount]</f>
        <v>122.1327</v>
      </c>
      <c r="K984" s="21" t="str">
        <f t="shared" si="1"/>
        <v>Nov</v>
      </c>
      <c r="L984" s="21">
        <f t="shared" si="2"/>
        <v>2023</v>
      </c>
      <c r="N984" s="33"/>
      <c r="O984" s="34"/>
    </row>
    <row r="985" ht="22.5" customHeight="1">
      <c r="A985" s="21" t="s">
        <v>2950</v>
      </c>
      <c r="B985" s="21" t="s">
        <v>142</v>
      </c>
      <c r="C985" s="21" t="str">
        <f t="array" ref="C985">XLOOKUP(B985,Customer[Customer_ID],Customer[Name(Cleaned)])</f>
        <v>Robert Jones Dds</v>
      </c>
      <c r="D985" s="22" t="str">
        <f>VLOOKUP(B985,Customer[#ALL],6)</f>
        <v>Female</v>
      </c>
      <c r="E985" s="23">
        <f>Sales[Order_Date]</f>
        <v>45397</v>
      </c>
      <c r="F985" s="21" t="str">
        <f>Sales[Store_ID]</f>
        <v>STORE5</v>
      </c>
      <c r="G985" s="21" t="str">
        <f t="array" ref="G985">INDEX(Store[Store_Name],MATCH(F985,Store[Store_ID],0))</f>
        <v>Gray Ltd</v>
      </c>
      <c r="H985" s="21" t="str">
        <f>Sales[Product_ID]</f>
        <v>PROD15</v>
      </c>
      <c r="I985" s="21" t="str">
        <f>VLOOKUP(H985,Products[],2)</f>
        <v>4K Home Projector</v>
      </c>
      <c r="J985" s="24">
        <f>Sales[Total_Amount]</f>
        <v>571.6392</v>
      </c>
      <c r="K985" s="21" t="str">
        <f t="shared" si="1"/>
        <v>Apr</v>
      </c>
      <c r="L985" s="21">
        <f t="shared" si="2"/>
        <v>2024</v>
      </c>
      <c r="N985" s="33"/>
      <c r="O985" s="34"/>
    </row>
    <row r="986" ht="22.5" customHeight="1">
      <c r="A986" s="21" t="s">
        <v>2951</v>
      </c>
      <c r="B986" s="21" t="s">
        <v>210</v>
      </c>
      <c r="C986" s="21" t="str">
        <f t="array" ref="C986">XLOOKUP(B986,Customer[Customer_ID],Customer[Name(Cleaned)])</f>
        <v>Sharon Brown</v>
      </c>
      <c r="D986" s="22" t="str">
        <f>VLOOKUP(B986,Customer[#ALL],6)</f>
        <v>Male</v>
      </c>
      <c r="E986" s="23">
        <f>Sales[Order_Date]</f>
        <v>45502</v>
      </c>
      <c r="F986" s="21" t="str">
        <f>Sales[Store_ID]</f>
        <v>STORE9</v>
      </c>
      <c r="G986" s="21" t="str">
        <f t="array" ref="G986">INDEX(Store[Store_Name],MATCH(F986,Store[Store_ID],0))</f>
        <v>Moore, Padilla and Butler</v>
      </c>
      <c r="H986" s="21" t="str">
        <f>Sales[Product_ID]</f>
        <v>PROD63</v>
      </c>
      <c r="I986" s="21" t="str">
        <f>VLOOKUP(H986,Products[],2)</f>
        <v>Organic Sunscreen Lotion</v>
      </c>
      <c r="J986" s="24">
        <f>Sales[Total_Amount]</f>
        <v>625.4658</v>
      </c>
      <c r="K986" s="21" t="str">
        <f t="shared" si="1"/>
        <v>Jul</v>
      </c>
      <c r="L986" s="21">
        <f t="shared" si="2"/>
        <v>2024</v>
      </c>
      <c r="N986" s="33"/>
      <c r="O986" s="34"/>
    </row>
    <row r="987" ht="22.5" customHeight="1">
      <c r="A987" s="21" t="s">
        <v>2952</v>
      </c>
      <c r="B987" s="21" t="s">
        <v>361</v>
      </c>
      <c r="C987" s="21" t="str">
        <f t="array" ref="C987">XLOOKUP(B987,Customer[Customer_ID],Customer[Name(Cleaned)])</f>
        <v>Sheila Wilson</v>
      </c>
      <c r="D987" s="22" t="str">
        <f>VLOOKUP(B987,Customer[#ALL],6)</f>
        <v>Female</v>
      </c>
      <c r="E987" s="23">
        <f>Sales[Order_Date]</f>
        <v>45644</v>
      </c>
      <c r="F987" s="21" t="str">
        <f>Sales[Store_ID]</f>
        <v>STORE12</v>
      </c>
      <c r="G987" s="21" t="str">
        <f t="array" ref="G987">INDEX(Store[Store_Name],MATCH(F987,Store[Store_ID],0))</f>
        <v>Thomas, Bridges and Harris</v>
      </c>
      <c r="H987" s="21" t="str">
        <f>Sales[Product_ID]</f>
        <v>PROD51</v>
      </c>
      <c r="I987" s="21" t="str">
        <f>VLOOKUP(H987,Products[],2)</f>
        <v>HDMI Cable – 2m</v>
      </c>
      <c r="J987" s="24">
        <f>Sales[Total_Amount]</f>
        <v>838.1228</v>
      </c>
      <c r="K987" s="21" t="str">
        <f t="shared" si="1"/>
        <v>Dec</v>
      </c>
      <c r="L987" s="21">
        <f t="shared" si="2"/>
        <v>2024</v>
      </c>
      <c r="N987" s="33"/>
      <c r="O987" s="34"/>
    </row>
    <row r="988" ht="22.5" customHeight="1">
      <c r="A988" s="21" t="s">
        <v>2953</v>
      </c>
      <c r="B988" s="21" t="s">
        <v>1206</v>
      </c>
      <c r="C988" s="21" t="str">
        <f t="array" ref="C988">XLOOKUP(B988,Customer[Customer_ID],Customer[Name(Cleaned)])</f>
        <v>Erika Padilla</v>
      </c>
      <c r="D988" s="22" t="str">
        <f>VLOOKUP(B988,Customer[#ALL],6)</f>
        <v>Female</v>
      </c>
      <c r="E988" s="23">
        <f>Sales[Order_Date]</f>
        <v>45617</v>
      </c>
      <c r="F988" s="21" t="str">
        <f>Sales[Store_ID]</f>
        <v>STORE15</v>
      </c>
      <c r="G988" s="21" t="str">
        <f t="array" ref="G988">INDEX(Store[Store_Name],MATCH(F988,Store[Store_ID],0))</f>
        <v>Shelton PLC</v>
      </c>
      <c r="H988" s="21" t="str">
        <f>Sales[Product_ID]</f>
        <v>PROD64</v>
      </c>
      <c r="I988" s="21" t="str">
        <f>VLOOKUP(H988,Products[],2)</f>
        <v>Matte Lipstick Set</v>
      </c>
      <c r="J988" s="24">
        <f>Sales[Total_Amount]</f>
        <v>1061.91</v>
      </c>
      <c r="K988" s="21" t="str">
        <f t="shared" si="1"/>
        <v>Nov</v>
      </c>
      <c r="L988" s="21">
        <f t="shared" si="2"/>
        <v>2024</v>
      </c>
      <c r="N988" s="33"/>
      <c r="O988" s="34"/>
    </row>
    <row r="989" ht="22.5" customHeight="1">
      <c r="A989" s="21" t="s">
        <v>2954</v>
      </c>
      <c r="B989" s="21" t="s">
        <v>1119</v>
      </c>
      <c r="C989" s="21" t="str">
        <f t="array" ref="C989">XLOOKUP(B989,Customer[Customer_ID],Customer[Name(Cleaned)])</f>
        <v>Michael Greene</v>
      </c>
      <c r="D989" s="22" t="str">
        <f>VLOOKUP(B989,Customer[#ALL],6)</f>
        <v>Male</v>
      </c>
      <c r="E989" s="23">
        <f>Sales[Order_Date]</f>
        <v>45797</v>
      </c>
      <c r="F989" s="21" t="str">
        <f>Sales[Store_ID]</f>
        <v>STORE3</v>
      </c>
      <c r="G989" s="21" t="str">
        <f t="array" ref="G989">INDEX(Store[Store_Name],MATCH(F989,Store[Store_ID],0))</f>
        <v>Johnson-Wright</v>
      </c>
      <c r="H989" s="21" t="str">
        <f>Sales[Product_ID]</f>
        <v>PROD1</v>
      </c>
      <c r="I989" s="21" t="str">
        <f>VLOOKUP(H989,Products[],2)</f>
        <v>Men's Graphic T-Shirt</v>
      </c>
      <c r="J989" s="24">
        <f>Sales[Total_Amount]</f>
        <v>146.5792</v>
      </c>
      <c r="K989" s="21" t="str">
        <f t="shared" si="1"/>
        <v>May</v>
      </c>
      <c r="L989" s="21">
        <f t="shared" si="2"/>
        <v>2025</v>
      </c>
      <c r="N989" s="33"/>
      <c r="O989" s="34"/>
    </row>
    <row r="990" ht="22.5" customHeight="1">
      <c r="A990" s="21" t="s">
        <v>2955</v>
      </c>
      <c r="B990" s="21" t="s">
        <v>938</v>
      </c>
      <c r="C990" s="21" t="str">
        <f t="array" ref="C990">XLOOKUP(B990,Customer[Customer_ID],Customer[Name(Cleaned)])</f>
        <v>James Powell</v>
      </c>
      <c r="D990" s="22" t="str">
        <f>VLOOKUP(B990,Customer[#ALL],6)</f>
        <v>Male</v>
      </c>
      <c r="E990" s="23">
        <f>Sales[Order_Date]</f>
        <v>45740</v>
      </c>
      <c r="F990" s="21" t="str">
        <f>Sales[Store_ID]</f>
        <v>STORE8</v>
      </c>
      <c r="G990" s="21" t="str">
        <f t="array" ref="G990">INDEX(Store[Store_Name],MATCH(F990,Store[Store_ID],0))</f>
        <v>Bean, Jones and Park</v>
      </c>
      <c r="H990" s="21" t="str">
        <f>Sales[Product_ID]</f>
        <v>PROD3</v>
      </c>
      <c r="I990" s="21" t="str">
        <f>VLOOKUP(H990,Products[],2)</f>
        <v>Fabric Sofa Throw Blanket</v>
      </c>
      <c r="J990" s="24">
        <f>Sales[Total_Amount]</f>
        <v>2350.4888</v>
      </c>
      <c r="K990" s="21" t="str">
        <f t="shared" si="1"/>
        <v>Mar</v>
      </c>
      <c r="L990" s="21">
        <f t="shared" si="2"/>
        <v>2025</v>
      </c>
      <c r="N990" s="33"/>
      <c r="O990" s="34"/>
    </row>
    <row r="991" ht="22.5" customHeight="1">
      <c r="A991" s="21" t="s">
        <v>2956</v>
      </c>
      <c r="B991" s="21" t="s">
        <v>152</v>
      </c>
      <c r="C991" s="21" t="str">
        <f t="array" ref="C991">XLOOKUP(B991,Customer[Customer_ID],Customer[Name(Cleaned)])</f>
        <v>Thomas Phillips</v>
      </c>
      <c r="D991" s="22" t="str">
        <f>VLOOKUP(B991,Customer[#ALL],6)</f>
        <v>Male</v>
      </c>
      <c r="E991" s="23">
        <f>Sales[Order_Date]</f>
        <v>45824</v>
      </c>
      <c r="F991" s="21" t="str">
        <f>Sales[Store_ID]</f>
        <v>STORE18</v>
      </c>
      <c r="G991" s="21" t="str">
        <f t="array" ref="G991">INDEX(Store[Store_Name],MATCH(F991,Store[Store_ID],0))</f>
        <v>Guerrero-Schmitt</v>
      </c>
      <c r="H991" s="21" t="str">
        <f>Sales[Product_ID]</f>
        <v>PROD40</v>
      </c>
      <c r="I991" s="21" t="str">
        <f>VLOOKUP(H991,Products[],2)</f>
        <v>Noise-Canceling Headphones</v>
      </c>
      <c r="J991" s="24">
        <f>Sales[Total_Amount]</f>
        <v>128.9568</v>
      </c>
      <c r="K991" s="21" t="str">
        <f t="shared" si="1"/>
        <v>Jun</v>
      </c>
      <c r="L991" s="21">
        <f t="shared" si="2"/>
        <v>2025</v>
      </c>
      <c r="N991" s="33"/>
      <c r="O991" s="34"/>
    </row>
    <row r="992" ht="22.5" customHeight="1">
      <c r="A992" s="21" t="s">
        <v>2957</v>
      </c>
      <c r="B992" s="21" t="s">
        <v>337</v>
      </c>
      <c r="C992" s="21" t="str">
        <f t="array" ref="C992">XLOOKUP(B992,Customer[Customer_ID],Customer[Name(Cleaned)])</f>
        <v>Donna Gregory</v>
      </c>
      <c r="D992" s="22" t="str">
        <f>VLOOKUP(B992,Customer[#ALL],6)</f>
        <v>Male</v>
      </c>
      <c r="E992" s="23">
        <f>Sales[Order_Date]</f>
        <v>45411</v>
      </c>
      <c r="F992" s="21" t="str">
        <f>Sales[Store_ID]</f>
        <v>STORE3</v>
      </c>
      <c r="G992" s="21" t="str">
        <f t="array" ref="G992">INDEX(Store[Store_Name],MATCH(F992,Store[Store_ID],0))</f>
        <v>Johnson-Wright</v>
      </c>
      <c r="H992" s="21" t="str">
        <f>Sales[Product_ID]</f>
        <v>PROD46</v>
      </c>
      <c r="I992" s="21" t="str">
        <f>VLOOKUP(H992,Products[],2)</f>
        <v>Men's Winter Jacket</v>
      </c>
      <c r="J992" s="24">
        <f>Sales[Total_Amount]</f>
        <v>522.684</v>
      </c>
      <c r="K992" s="21" t="str">
        <f t="shared" si="1"/>
        <v>Apr</v>
      </c>
      <c r="L992" s="21">
        <f t="shared" si="2"/>
        <v>2024</v>
      </c>
      <c r="N992" s="33"/>
      <c r="O992" s="34"/>
    </row>
    <row r="993" ht="22.5" customHeight="1">
      <c r="A993" s="21" t="s">
        <v>2958</v>
      </c>
      <c r="B993" s="21" t="s">
        <v>1529</v>
      </c>
      <c r="C993" s="21" t="str">
        <f t="array" ref="C993">XLOOKUP(B993,Customer[Customer_ID],Customer[Name(Cleaned)])</f>
        <v>Darrell Miller</v>
      </c>
      <c r="D993" s="22" t="str">
        <f>VLOOKUP(B993,Customer[#ALL],6)</f>
        <v>Male</v>
      </c>
      <c r="E993" s="23">
        <f>Sales[Order_Date]</f>
        <v>45404</v>
      </c>
      <c r="F993" s="21" t="str">
        <f>Sales[Store_ID]</f>
        <v>STORE10</v>
      </c>
      <c r="G993" s="21" t="str">
        <f t="array" ref="G993">INDEX(Store[Store_Name],MATCH(F993,Store[Store_ID],0))</f>
        <v>Hill, Wagner and Ballard</v>
      </c>
      <c r="H993" s="21" t="str">
        <f>Sales[Product_ID]</f>
        <v>PROD94</v>
      </c>
      <c r="I993" s="21" t="str">
        <f>VLOOKUP(H993,Products[],2)</f>
        <v>Vitamin E Body Lotion</v>
      </c>
      <c r="J993" s="24">
        <f>Sales[Total_Amount]</f>
        <v>2282.9664</v>
      </c>
      <c r="K993" s="21" t="str">
        <f t="shared" si="1"/>
        <v>Apr</v>
      </c>
      <c r="L993" s="21">
        <f t="shared" si="2"/>
        <v>2024</v>
      </c>
      <c r="N993" s="33"/>
      <c r="O993" s="34"/>
    </row>
    <row r="994" ht="22.5" customHeight="1">
      <c r="A994" s="21" t="s">
        <v>2959</v>
      </c>
      <c r="B994" s="21" t="s">
        <v>1427</v>
      </c>
      <c r="C994" s="21" t="str">
        <f t="array" ref="C994">XLOOKUP(B994,Customer[Customer_ID],Customer[Name(Cleaned)])</f>
        <v>Christina Robertson</v>
      </c>
      <c r="D994" s="22" t="str">
        <f>VLOOKUP(B994,Customer[#ALL],6)</f>
        <v>Female</v>
      </c>
      <c r="E994" s="23">
        <f>Sales[Order_Date]</f>
        <v>45916</v>
      </c>
      <c r="F994" s="21" t="str">
        <f>Sales[Store_ID]</f>
        <v>STORE19</v>
      </c>
      <c r="G994" s="21" t="str">
        <f t="array" ref="G994">INDEX(Store[Store_Name],MATCH(F994,Store[Store_ID],0))</f>
        <v>Mann-Austin</v>
      </c>
      <c r="H994" s="21" t="str">
        <f>Sales[Product_ID]</f>
        <v>PROD81</v>
      </c>
      <c r="I994" s="21" t="str">
        <f>VLOOKUP(H994,Products[],2)</f>
        <v>Badminton Racket Set</v>
      </c>
      <c r="J994" s="24">
        <f>Sales[Total_Amount]</f>
        <v>1956.0321</v>
      </c>
      <c r="K994" s="21" t="str">
        <f t="shared" si="1"/>
        <v>Sep</v>
      </c>
      <c r="L994" s="21">
        <f t="shared" si="2"/>
        <v>2025</v>
      </c>
      <c r="N994" s="33"/>
      <c r="O994" s="34"/>
    </row>
    <row r="995" ht="22.5" customHeight="1">
      <c r="A995" s="21" t="s">
        <v>2960</v>
      </c>
      <c r="B995" s="21" t="s">
        <v>229</v>
      </c>
      <c r="C995" s="21" t="str">
        <f t="array" ref="C995">XLOOKUP(B995,Customer[Customer_ID],Customer[Name(Cleaned)])</f>
        <v>Alyssa Vargas</v>
      </c>
      <c r="D995" s="22" t="str">
        <f>VLOOKUP(B995,Customer[#ALL],6)</f>
        <v>Female</v>
      </c>
      <c r="E995" s="23">
        <f>Sales[Order_Date]</f>
        <v>45269</v>
      </c>
      <c r="F995" s="21" t="str">
        <f>Sales[Store_ID]</f>
        <v>STORE14</v>
      </c>
      <c r="G995" s="21" t="str">
        <f t="array" ref="G995">INDEX(Store[Store_Name],MATCH(F995,Store[Store_ID],0))</f>
        <v>Mcdonald Inc</v>
      </c>
      <c r="H995" s="21" t="str">
        <f>Sales[Product_ID]</f>
        <v>PROD70</v>
      </c>
      <c r="I995" s="21" t="str">
        <f>VLOOKUP(H995,Products[],2)</f>
        <v>Kitchen Storage Rack</v>
      </c>
      <c r="J995" s="24">
        <f>Sales[Total_Amount]</f>
        <v>93.654</v>
      </c>
      <c r="K995" s="21" t="str">
        <f t="shared" si="1"/>
        <v>Dec</v>
      </c>
      <c r="L995" s="21">
        <f t="shared" si="2"/>
        <v>2023</v>
      </c>
      <c r="N995" s="33"/>
      <c r="O995" s="34"/>
    </row>
    <row r="996" ht="22.5" customHeight="1">
      <c r="A996" s="21" t="s">
        <v>2961</v>
      </c>
      <c r="B996" s="21" t="s">
        <v>579</v>
      </c>
      <c r="C996" s="21" t="str">
        <f t="array" ref="C996">XLOOKUP(B996,Customer[Customer_ID],Customer[Name(Cleaned)])</f>
        <v>Amy Wilson</v>
      </c>
      <c r="D996" s="22" t="str">
        <f>VLOOKUP(B996,Customer[#ALL],6)</f>
        <v>Male</v>
      </c>
      <c r="E996" s="23">
        <f>Sales[Order_Date]</f>
        <v>45493</v>
      </c>
      <c r="F996" s="21" t="str">
        <f>Sales[Store_ID]</f>
        <v>STORE17</v>
      </c>
      <c r="G996" s="21" t="str">
        <f t="array" ref="G996">INDEX(Store[Store_Name],MATCH(F996,Store[Store_ID],0))</f>
        <v>Holloway Ltd</v>
      </c>
      <c r="H996" s="21" t="str">
        <f>Sales[Product_ID]</f>
        <v>PROD72</v>
      </c>
      <c r="I996" s="21" t="str">
        <f>VLOOKUP(H996,Products[],2)</f>
        <v>Professional Jump Rope</v>
      </c>
      <c r="J996" s="24">
        <f>Sales[Total_Amount]</f>
        <v>319.0784</v>
      </c>
      <c r="K996" s="21" t="str">
        <f t="shared" si="1"/>
        <v>Jul</v>
      </c>
      <c r="L996" s="21">
        <f t="shared" si="2"/>
        <v>2024</v>
      </c>
      <c r="N996" s="33"/>
      <c r="O996" s="34"/>
    </row>
    <row r="997" ht="22.5" customHeight="1">
      <c r="A997" s="21" t="s">
        <v>2962</v>
      </c>
      <c r="B997" s="21" t="s">
        <v>1430</v>
      </c>
      <c r="C997" s="21" t="str">
        <f t="array" ref="C997">XLOOKUP(B997,Customer[Customer_ID],Customer[Name(Cleaned)])</f>
        <v>Kelly Garrett</v>
      </c>
      <c r="D997" s="22" t="str">
        <f>VLOOKUP(B997,Customer[#ALL],6)</f>
        <v>Male</v>
      </c>
      <c r="E997" s="23">
        <f>Sales[Order_Date]</f>
        <v>45558</v>
      </c>
      <c r="F997" s="21" t="str">
        <f>Sales[Store_ID]</f>
        <v>STORE18</v>
      </c>
      <c r="G997" s="21" t="str">
        <f t="array" ref="G997">INDEX(Store[Store_Name],MATCH(F997,Store[Store_ID],0))</f>
        <v>Guerrero-Schmitt</v>
      </c>
      <c r="H997" s="21" t="str">
        <f>Sales[Product_ID]</f>
        <v>PROD82</v>
      </c>
      <c r="I997" s="21" t="str">
        <f>VLOOKUP(H997,Products[],2)</f>
        <v>Fitness Resistance Bands</v>
      </c>
      <c r="J997" s="24">
        <f>Sales[Total_Amount]</f>
        <v>1549.9155</v>
      </c>
      <c r="K997" s="21" t="str">
        <f t="shared" si="1"/>
        <v>Sep</v>
      </c>
      <c r="L997" s="21">
        <f t="shared" si="2"/>
        <v>2024</v>
      </c>
      <c r="N997" s="33"/>
      <c r="O997" s="34"/>
    </row>
    <row r="998" ht="22.5" customHeight="1">
      <c r="A998" s="21" t="s">
        <v>2963</v>
      </c>
      <c r="B998" s="21" t="s">
        <v>111</v>
      </c>
      <c r="C998" s="21" t="str">
        <f t="array" ref="C998">XLOOKUP(B998,Customer[Customer_ID],Customer[Name(Cleaned)])</f>
        <v>Heather Collins</v>
      </c>
      <c r="D998" s="22" t="str">
        <f>VLOOKUP(B998,Customer[#ALL],6)</f>
        <v>Female</v>
      </c>
      <c r="E998" s="23">
        <f>Sales[Order_Date]</f>
        <v>45423</v>
      </c>
      <c r="F998" s="21" t="str">
        <f>Sales[Store_ID]</f>
        <v>STORE1</v>
      </c>
      <c r="G998" s="21" t="str">
        <f t="array" ref="G998">INDEX(Store[Store_Name],MATCH(F998,Store[Store_ID],0))</f>
        <v>Martinez, Adkins and Johnson</v>
      </c>
      <c r="H998" s="21" t="str">
        <f>Sales[Product_ID]</f>
        <v>PROD14</v>
      </c>
      <c r="I998" s="21" t="str">
        <f>VLOOKUP(H998,Products[],2)</f>
        <v>Decorative Wall Mirror</v>
      </c>
      <c r="J998" s="24">
        <f>Sales[Total_Amount]</f>
        <v>1307.3346</v>
      </c>
      <c r="K998" s="21" t="str">
        <f t="shared" si="1"/>
        <v>May</v>
      </c>
      <c r="L998" s="21">
        <f t="shared" si="2"/>
        <v>2024</v>
      </c>
      <c r="N998" s="33"/>
      <c r="O998" s="34"/>
    </row>
    <row r="999" ht="22.5" customHeight="1">
      <c r="A999" s="21" t="s">
        <v>2964</v>
      </c>
      <c r="B999" s="21" t="s">
        <v>1362</v>
      </c>
      <c r="C999" s="21" t="str">
        <f t="array" ref="C999">XLOOKUP(B999,Customer[Customer_ID],Customer[Name(Cleaned)])</f>
        <v>Monique Castro</v>
      </c>
      <c r="D999" s="22" t="str">
        <f>VLOOKUP(B999,Customer[#ALL],6)</f>
        <v>Male</v>
      </c>
      <c r="E999" s="23">
        <f>Sales[Order_Date]</f>
        <v>45780</v>
      </c>
      <c r="F999" s="21" t="str">
        <f>Sales[Store_ID]</f>
        <v>STORE8</v>
      </c>
      <c r="G999" s="21" t="str">
        <f t="array" ref="G999">INDEX(Store[Store_Name],MATCH(F999,Store[Store_ID],0))</f>
        <v>Bean, Jones and Park</v>
      </c>
      <c r="H999" s="21" t="str">
        <f>Sales[Product_ID]</f>
        <v>PROD13</v>
      </c>
      <c r="I999" s="21" t="str">
        <f>VLOOKUP(H999,Products[],2)</f>
        <v>USB-C Fast Charger</v>
      </c>
      <c r="J999" s="24">
        <f>Sales[Total_Amount]</f>
        <v>2829.7228</v>
      </c>
      <c r="K999" s="21" t="str">
        <f t="shared" si="1"/>
        <v>May</v>
      </c>
      <c r="L999" s="21">
        <f t="shared" si="2"/>
        <v>2025</v>
      </c>
      <c r="N999" s="33"/>
      <c r="O999" s="34"/>
    </row>
    <row r="1000" ht="22.5" customHeight="1">
      <c r="A1000" s="21" t="s">
        <v>2965</v>
      </c>
      <c r="B1000" s="21" t="s">
        <v>1323</v>
      </c>
      <c r="C1000" s="21" t="str">
        <f t="array" ref="C1000">XLOOKUP(B1000,Customer[Customer_ID],Customer[Name(Cleaned)])</f>
        <v>Holly Robinson</v>
      </c>
      <c r="D1000" s="22" t="str">
        <f>VLOOKUP(B1000,Customer[#ALL],6)</f>
        <v>Male</v>
      </c>
      <c r="E1000" s="23">
        <f>Sales[Order_Date]</f>
        <v>45345</v>
      </c>
      <c r="F1000" s="21" t="str">
        <f>Sales[Store_ID]</f>
        <v>STORE6</v>
      </c>
      <c r="G1000" s="21" t="str">
        <f t="array" ref="G1000">INDEX(Store[Store_Name],MATCH(F1000,Store[Store_ID],0))</f>
        <v>Benson-Elliott</v>
      </c>
      <c r="H1000" s="21" t="str">
        <f>Sales[Product_ID]</f>
        <v>PROD87</v>
      </c>
      <c r="I1000" s="21" t="str">
        <f>VLOOKUP(H1000,Products[],2)</f>
        <v>LED Bedside Lamp</v>
      </c>
      <c r="J1000" s="24">
        <f>Sales[Total_Amount]</f>
        <v>232.4232</v>
      </c>
      <c r="K1000" s="21" t="str">
        <f t="shared" si="1"/>
        <v>Feb</v>
      </c>
      <c r="L1000" s="21">
        <f t="shared" si="2"/>
        <v>2024</v>
      </c>
      <c r="N1000" s="33"/>
      <c r="O1000" s="34"/>
    </row>
    <row r="1001" ht="22.5" customHeight="1">
      <c r="A1001" s="21" t="s">
        <v>2966</v>
      </c>
      <c r="B1001" s="21" t="s">
        <v>1438</v>
      </c>
      <c r="C1001" s="21" t="str">
        <f t="array" ref="C1001">XLOOKUP(B1001,Customer[Customer_ID],Customer[Name(Cleaned)])</f>
        <v>Paul Cox</v>
      </c>
      <c r="D1001" s="22" t="str">
        <f>VLOOKUP(B1001,Customer[#ALL],6)</f>
        <v>Male</v>
      </c>
      <c r="E1001" s="23">
        <f>Sales[Order_Date]</f>
        <v>45344</v>
      </c>
      <c r="F1001" s="21" t="str">
        <f>Sales[Store_ID]</f>
        <v>STORE15</v>
      </c>
      <c r="G1001" s="21" t="str">
        <f t="array" ref="G1001">INDEX(Store[Store_Name],MATCH(F1001,Store[Store_ID],0))</f>
        <v>Shelton PLC</v>
      </c>
      <c r="H1001" s="21" t="str">
        <f>Sales[Product_ID]</f>
        <v>PROD74</v>
      </c>
      <c r="I1001" s="21" t="str">
        <f>VLOOKUP(H1001,Products[],2)</f>
        <v>Bluetooth Car Audio System</v>
      </c>
      <c r="J1001" s="24">
        <f>Sales[Total_Amount]</f>
        <v>2084.3328</v>
      </c>
      <c r="K1001" s="21" t="str">
        <f t="shared" si="1"/>
        <v>Feb</v>
      </c>
      <c r="L1001" s="21">
        <f t="shared" si="2"/>
        <v>2024</v>
      </c>
      <c r="N1001" s="33"/>
      <c r="O1001" s="34"/>
    </row>
    <row r="1002" ht="22.5" customHeight="1">
      <c r="A1002" s="21" t="s">
        <v>2967</v>
      </c>
      <c r="B1002" s="21" t="s">
        <v>238</v>
      </c>
      <c r="C1002" s="21" t="str">
        <f t="array" ref="C1002">XLOOKUP(B1002,Customer[Customer_ID],Customer[Name(Cleaned)])</f>
        <v>James Bean</v>
      </c>
      <c r="D1002" s="22" t="str">
        <f>VLOOKUP(B1002,Customer[#ALL],6)</f>
        <v>Female</v>
      </c>
      <c r="E1002" s="23">
        <f>Sales[Order_Date]</f>
        <v>45525</v>
      </c>
      <c r="F1002" s="21" t="str">
        <f>Sales[Store_ID]</f>
        <v>STORE12</v>
      </c>
      <c r="G1002" s="21" t="str">
        <f t="array" ref="G1002">INDEX(Store[Store_Name],MATCH(F1002,Store[Store_ID],0))</f>
        <v>Thomas, Bridges and Harris</v>
      </c>
      <c r="H1002" s="21" t="str">
        <f>Sales[Product_ID]</f>
        <v>PROD78</v>
      </c>
      <c r="I1002" s="21" t="str">
        <f>VLOOKUP(H1002,Products[],2)</f>
        <v>Essential Oil Diffuser</v>
      </c>
      <c r="J1002" s="24">
        <f>Sales[Total_Amount]</f>
        <v>984.37</v>
      </c>
      <c r="K1002" s="21" t="str">
        <f t="shared" si="1"/>
        <v>Aug</v>
      </c>
      <c r="L1002" s="21">
        <f t="shared" si="2"/>
        <v>2024</v>
      </c>
      <c r="N1002" s="33"/>
      <c r="O1002" s="34"/>
    </row>
    <row r="1003" ht="22.5" customHeight="1">
      <c r="A1003" s="21" t="s">
        <v>2968</v>
      </c>
      <c r="B1003" s="21" t="s">
        <v>782</v>
      </c>
      <c r="C1003" s="21" t="str">
        <f t="array" ref="C1003">XLOOKUP(B1003,Customer[Customer_ID],Customer[Name(Cleaned)])</f>
        <v>Maria Hill</v>
      </c>
      <c r="D1003" s="22" t="str">
        <f>VLOOKUP(B1003,Customer[#ALL],6)</f>
        <v>Male</v>
      </c>
      <c r="E1003" s="23">
        <f>Sales[Order_Date]</f>
        <v>45369</v>
      </c>
      <c r="F1003" s="21" t="str">
        <f>Sales[Store_ID]</f>
        <v>STORE13</v>
      </c>
      <c r="G1003" s="21" t="str">
        <f t="array" ref="G1003">INDEX(Store[Store_Name],MATCH(F1003,Store[Store_ID],0))</f>
        <v>Gardner, Humphrey and Contreras</v>
      </c>
      <c r="H1003" s="21" t="str">
        <f>Sales[Product_ID]</f>
        <v>PROD60</v>
      </c>
      <c r="I1003" s="21" t="str">
        <f>VLOOKUP(H1003,Products[],2)</f>
        <v>Luxury Perfume Spray</v>
      </c>
      <c r="J1003" s="24">
        <f>Sales[Total_Amount]</f>
        <v>1782.4512</v>
      </c>
      <c r="K1003" s="21" t="str">
        <f t="shared" si="1"/>
        <v>Mar</v>
      </c>
      <c r="L1003" s="21">
        <f t="shared" si="2"/>
        <v>2024</v>
      </c>
      <c r="N1003" s="33"/>
      <c r="O1003" s="34"/>
    </row>
    <row r="1004" ht="22.5" customHeight="1">
      <c r="A1004" s="21" t="s">
        <v>2969</v>
      </c>
      <c r="B1004" s="21" t="s">
        <v>1065</v>
      </c>
      <c r="C1004" s="21" t="str">
        <f t="array" ref="C1004">XLOOKUP(B1004,Customer[Customer_ID],Customer[Name(Cleaned)])</f>
        <v>Mr. Christopher Sims</v>
      </c>
      <c r="D1004" s="22" t="str">
        <f>VLOOKUP(B1004,Customer[#ALL],6)</f>
        <v>Male</v>
      </c>
      <c r="E1004" s="23">
        <f>Sales[Order_Date]</f>
        <v>45775</v>
      </c>
      <c r="F1004" s="21" t="str">
        <f>Sales[Store_ID]</f>
        <v>STORE9</v>
      </c>
      <c r="G1004" s="21" t="str">
        <f t="array" ref="G1004">INDEX(Store[Store_Name],MATCH(F1004,Store[Store_ID],0))</f>
        <v>Moore, Padilla and Butler</v>
      </c>
      <c r="H1004" s="21" t="str">
        <f>Sales[Product_ID]</f>
        <v>PROD71</v>
      </c>
      <c r="I1004" s="21" t="str">
        <f>VLOOKUP(H1004,Products[],2)</f>
        <v>Hair Repair Oil Treatment</v>
      </c>
      <c r="J1004" s="24">
        <f>Sales[Total_Amount]</f>
        <v>1146.939</v>
      </c>
      <c r="K1004" s="21" t="str">
        <f t="shared" si="1"/>
        <v>Apr</v>
      </c>
      <c r="L1004" s="21">
        <f t="shared" si="2"/>
        <v>2025</v>
      </c>
      <c r="N1004" s="33"/>
      <c r="O1004" s="34"/>
    </row>
    <row r="1005" ht="22.5" customHeight="1">
      <c r="A1005" s="21" t="s">
        <v>2970</v>
      </c>
      <c r="B1005" s="21" t="s">
        <v>941</v>
      </c>
      <c r="C1005" s="21" t="str">
        <f t="array" ref="C1005">XLOOKUP(B1005,Customer[Customer_ID],Customer[Name(Cleaned)])</f>
        <v>Ricardo Jones</v>
      </c>
      <c r="D1005" s="22" t="str">
        <f>VLOOKUP(B1005,Customer[#ALL],6)</f>
        <v>Female</v>
      </c>
      <c r="E1005" s="23">
        <f>Sales[Order_Date]</f>
        <v>45329</v>
      </c>
      <c r="F1005" s="21" t="str">
        <f>Sales[Store_ID]</f>
        <v>STORE12</v>
      </c>
      <c r="G1005" s="21" t="str">
        <f t="array" ref="G1005">INDEX(Store[Store_Name],MATCH(F1005,Store[Store_ID],0))</f>
        <v>Thomas, Bridges and Harris</v>
      </c>
      <c r="H1005" s="21" t="str">
        <f>Sales[Product_ID]</f>
        <v>PROD1</v>
      </c>
      <c r="I1005" s="21" t="str">
        <f>VLOOKUP(H1005,Products[],2)</f>
        <v>Men's Graphic T-Shirt</v>
      </c>
      <c r="J1005" s="24">
        <f>Sales[Total_Amount]</f>
        <v>418.1584</v>
      </c>
      <c r="K1005" s="21" t="str">
        <f t="shared" si="1"/>
        <v>Feb</v>
      </c>
      <c r="L1005" s="21">
        <f t="shared" si="2"/>
        <v>2024</v>
      </c>
      <c r="N1005" s="33"/>
      <c r="O1005" s="34"/>
    </row>
    <row r="1006" ht="22.5" customHeight="1">
      <c r="A1006" s="21" t="s">
        <v>2971</v>
      </c>
      <c r="B1006" s="21" t="s">
        <v>1353</v>
      </c>
      <c r="C1006" s="21" t="str">
        <f t="array" ref="C1006">XLOOKUP(B1006,Customer[Customer_ID],Customer[Name(Cleaned)])</f>
        <v>John Smith</v>
      </c>
      <c r="D1006" s="22" t="str">
        <f>VLOOKUP(B1006,Customer[#ALL],6)</f>
        <v>Female</v>
      </c>
      <c r="E1006" s="23">
        <f>Sales[Order_Date]</f>
        <v>45250</v>
      </c>
      <c r="F1006" s="21" t="str">
        <f>Sales[Store_ID]</f>
        <v>STORE8</v>
      </c>
      <c r="G1006" s="21" t="str">
        <f t="array" ref="G1006">INDEX(Store[Store_Name],MATCH(F1006,Store[Store_ID],0))</f>
        <v>Bean, Jones and Park</v>
      </c>
      <c r="H1006" s="21" t="str">
        <f>Sales[Product_ID]</f>
        <v>PROD25</v>
      </c>
      <c r="I1006" s="21" t="str">
        <f>VLOOKUP(H1006,Products[],2)</f>
        <v>Women's Scarf Set</v>
      </c>
      <c r="J1006" s="24">
        <f>Sales[Total_Amount]</f>
        <v>38.0038</v>
      </c>
      <c r="K1006" s="21" t="str">
        <f t="shared" si="1"/>
        <v>Nov</v>
      </c>
      <c r="L1006" s="21">
        <f t="shared" si="2"/>
        <v>2023</v>
      </c>
      <c r="N1006" s="33"/>
      <c r="O1006" s="34"/>
    </row>
    <row r="1007" ht="22.5" customHeight="1">
      <c r="A1007" s="21" t="s">
        <v>2972</v>
      </c>
      <c r="B1007" s="21" t="s">
        <v>1421</v>
      </c>
      <c r="C1007" s="21" t="str">
        <f t="array" ref="C1007">XLOOKUP(B1007,Customer[Customer_ID],Customer[Name(Cleaned)])</f>
        <v>Tyler Weber</v>
      </c>
      <c r="D1007" s="22" t="str">
        <f>VLOOKUP(B1007,Customer[#ALL],6)</f>
        <v>Female</v>
      </c>
      <c r="E1007" s="23">
        <f>Sales[Order_Date]</f>
        <v>45691</v>
      </c>
      <c r="F1007" s="21" t="str">
        <f>Sales[Store_ID]</f>
        <v>STORE1</v>
      </c>
      <c r="G1007" s="21" t="str">
        <f t="array" ref="G1007">INDEX(Store[Store_Name],MATCH(F1007,Store[Store_ID],0))</f>
        <v>Martinez, Adkins and Johnson</v>
      </c>
      <c r="H1007" s="21" t="str">
        <f>Sales[Product_ID]</f>
        <v>PROD3</v>
      </c>
      <c r="I1007" s="21" t="str">
        <f>VLOOKUP(H1007,Products[],2)</f>
        <v>Fabric Sofa Throw Blanket</v>
      </c>
      <c r="J1007" s="24">
        <f>Sales[Total_Amount]</f>
        <v>1046.5488</v>
      </c>
      <c r="K1007" s="21" t="str">
        <f t="shared" si="1"/>
        <v>Feb</v>
      </c>
      <c r="L1007" s="21">
        <f t="shared" si="2"/>
        <v>2025</v>
      </c>
      <c r="N1007" s="33"/>
      <c r="O1007" s="34"/>
    </row>
    <row r="1008" ht="22.5" customHeight="1">
      <c r="A1008" s="21" t="s">
        <v>2973</v>
      </c>
      <c r="B1008" s="21" t="s">
        <v>567</v>
      </c>
      <c r="C1008" s="21" t="str">
        <f t="array" ref="C1008">XLOOKUP(B1008,Customer[Customer_ID],Customer[Name(Cleaned)])</f>
        <v>Antonio Wade</v>
      </c>
      <c r="D1008" s="22" t="str">
        <f>VLOOKUP(B1008,Customer[#ALL],6)</f>
        <v>Male</v>
      </c>
      <c r="E1008" s="23">
        <f>Sales[Order_Date]</f>
        <v>45644</v>
      </c>
      <c r="F1008" s="21" t="str">
        <f>Sales[Store_ID]</f>
        <v>STORE0</v>
      </c>
      <c r="G1008" s="21" t="str">
        <f t="array" ref="G1008">INDEX(Store[Store_Name],MATCH(F1008,Store[Store_ID],0))</f>
        <v>Rivera-Warner</v>
      </c>
      <c r="H1008" s="21" t="str">
        <f>Sales[Product_ID]</f>
        <v>PROD3</v>
      </c>
      <c r="I1008" s="21" t="str">
        <f>VLOOKUP(H1008,Products[],2)</f>
        <v>Fabric Sofa Throw Blanket</v>
      </c>
      <c r="J1008" s="24">
        <f>Sales[Total_Amount]</f>
        <v>1356.885</v>
      </c>
      <c r="K1008" s="21" t="str">
        <f t="shared" si="1"/>
        <v>Dec</v>
      </c>
      <c r="L1008" s="21">
        <f t="shared" si="2"/>
        <v>2024</v>
      </c>
      <c r="N1008" s="33"/>
      <c r="O1008" s="34"/>
    </row>
    <row r="1009" ht="22.5" customHeight="1">
      <c r="A1009" s="21" t="s">
        <v>2974</v>
      </c>
      <c r="B1009" s="21" t="s">
        <v>235</v>
      </c>
      <c r="C1009" s="21" t="str">
        <f t="array" ref="C1009">XLOOKUP(B1009,Customer[Customer_ID],Customer[Name(Cleaned)])</f>
        <v>Kristin Stein</v>
      </c>
      <c r="D1009" s="22" t="str">
        <f>VLOOKUP(B1009,Customer[#ALL],6)</f>
        <v>Female</v>
      </c>
      <c r="E1009" s="23">
        <f>Sales[Order_Date]</f>
        <v>45514</v>
      </c>
      <c r="F1009" s="21" t="str">
        <f>Sales[Store_ID]</f>
        <v>STORE6</v>
      </c>
      <c r="G1009" s="21" t="str">
        <f t="array" ref="G1009">INDEX(Store[Store_Name],MATCH(F1009,Store[Store_ID],0))</f>
        <v>Benson-Elliott</v>
      </c>
      <c r="H1009" s="21" t="str">
        <f>Sales[Product_ID]</f>
        <v>PROD61</v>
      </c>
      <c r="I1009" s="21" t="str">
        <f>VLOOKUP(H1009,Products[],2)</f>
        <v>Tennis Ball 3-Pack</v>
      </c>
      <c r="J1009" s="24">
        <f>Sales[Total_Amount]</f>
        <v>502.7524</v>
      </c>
      <c r="K1009" s="21" t="str">
        <f t="shared" si="1"/>
        <v>Aug</v>
      </c>
      <c r="L1009" s="21">
        <f t="shared" si="2"/>
        <v>2024</v>
      </c>
      <c r="N1009" s="33"/>
      <c r="O1009" s="34"/>
    </row>
    <row r="1010" ht="22.5" customHeight="1">
      <c r="A1010" s="21" t="s">
        <v>2975</v>
      </c>
      <c r="B1010" s="21" t="s">
        <v>594</v>
      </c>
      <c r="C1010" s="21" t="str">
        <f t="array" ref="C1010">XLOOKUP(B1010,Customer[Customer_ID],Customer[Name(Cleaned)])</f>
        <v>John Bradford</v>
      </c>
      <c r="D1010" s="22" t="str">
        <f>VLOOKUP(B1010,Customer[#ALL],6)</f>
        <v>Female</v>
      </c>
      <c r="E1010" s="23">
        <f>Sales[Order_Date]</f>
        <v>45760</v>
      </c>
      <c r="F1010" s="21" t="str">
        <f>Sales[Store_ID]</f>
        <v>STORE12</v>
      </c>
      <c r="G1010" s="21" t="str">
        <f t="array" ref="G1010">INDEX(Store[Store_Name],MATCH(F1010,Store[Store_ID],0))</f>
        <v>Thomas, Bridges and Harris</v>
      </c>
      <c r="H1010" s="21" t="str">
        <f>Sales[Product_ID]</f>
        <v>PROD75</v>
      </c>
      <c r="I1010" s="21" t="str">
        <f>VLOOKUP(H1010,Products[],2)</f>
        <v>Women's Ankle Boots</v>
      </c>
      <c r="J1010" s="24">
        <f>Sales[Total_Amount]</f>
        <v>793.3869</v>
      </c>
      <c r="K1010" s="21" t="str">
        <f t="shared" si="1"/>
        <v>Apr</v>
      </c>
      <c r="L1010" s="21">
        <f t="shared" si="2"/>
        <v>2025</v>
      </c>
      <c r="N1010" s="33"/>
      <c r="O1010" s="34"/>
    </row>
    <row r="1011" ht="22.5" customHeight="1">
      <c r="A1011" s="21" t="s">
        <v>2976</v>
      </c>
      <c r="B1011" s="21" t="s">
        <v>646</v>
      </c>
      <c r="C1011" s="21" t="str">
        <f t="array" ref="C1011">XLOOKUP(B1011,Customer[Customer_ID],Customer[Name(Cleaned)])</f>
        <v>David Roberts</v>
      </c>
      <c r="D1011" s="22" t="str">
        <f>VLOOKUP(B1011,Customer[#ALL],6)</f>
        <v>Female</v>
      </c>
      <c r="E1011" s="23">
        <f>Sales[Order_Date]</f>
        <v>45289</v>
      </c>
      <c r="F1011" s="21" t="str">
        <f>Sales[Store_ID]</f>
        <v>STORE2</v>
      </c>
      <c r="G1011" s="21" t="str">
        <f t="array" ref="G1011">INDEX(Store[Store_Name],MATCH(F1011,Store[Store_ID],0))</f>
        <v>Black-Horn</v>
      </c>
      <c r="H1011" s="21" t="str">
        <f>Sales[Product_ID]</f>
        <v>PROD17</v>
      </c>
      <c r="I1011" s="21" t="str">
        <f>VLOOKUP(H1011,Products[],2)</f>
        <v>Soccer Training Cone Set</v>
      </c>
      <c r="J1011" s="24">
        <f>Sales[Total_Amount]</f>
        <v>2075.913</v>
      </c>
      <c r="K1011" s="21" t="str">
        <f t="shared" si="1"/>
        <v>Dec</v>
      </c>
      <c r="L1011" s="21">
        <f t="shared" si="2"/>
        <v>2023</v>
      </c>
      <c r="N1011" s="33"/>
      <c r="O1011" s="34"/>
    </row>
    <row r="1012" ht="22.5" customHeight="1">
      <c r="A1012" s="21" t="s">
        <v>2977</v>
      </c>
      <c r="B1012" s="21" t="s">
        <v>830</v>
      </c>
      <c r="C1012" s="21" t="str">
        <f t="array" ref="C1012">XLOOKUP(B1012,Customer[Customer_ID],Customer[Name(Cleaned)])</f>
        <v>Damon Perez</v>
      </c>
      <c r="D1012" s="22" t="str">
        <f>VLOOKUP(B1012,Customer[#ALL],6)</f>
        <v>Female</v>
      </c>
      <c r="E1012" s="23">
        <f>Sales[Order_Date]</f>
        <v>45704</v>
      </c>
      <c r="F1012" s="21" t="str">
        <f>Sales[Store_ID]</f>
        <v>STORE3</v>
      </c>
      <c r="G1012" s="21" t="str">
        <f t="array" ref="G1012">INDEX(Store[Store_Name],MATCH(F1012,Store[Store_ID],0))</f>
        <v>Johnson-Wright</v>
      </c>
      <c r="H1012" s="21" t="str">
        <f>Sales[Product_ID]</f>
        <v>PROD76</v>
      </c>
      <c r="I1012" s="21" t="str">
        <f>VLOOKUP(H1012,Products[],2)</f>
        <v>Wireless Mouse</v>
      </c>
      <c r="J1012" s="24">
        <f>Sales[Total_Amount]</f>
        <v>2513.8984</v>
      </c>
      <c r="K1012" s="21" t="str">
        <f t="shared" si="1"/>
        <v>Feb</v>
      </c>
      <c r="L1012" s="21">
        <f t="shared" si="2"/>
        <v>2025</v>
      </c>
      <c r="N1012" s="33"/>
      <c r="O1012" s="34"/>
    </row>
    <row r="1013" ht="22.5" customHeight="1">
      <c r="A1013" s="21" t="s">
        <v>2978</v>
      </c>
      <c r="B1013" s="21" t="s">
        <v>1092</v>
      </c>
      <c r="C1013" s="21" t="str">
        <f t="array" ref="C1013">XLOOKUP(B1013,Customer[Customer_ID],Customer[Name(Cleaned)])</f>
        <v>Ryan Moore</v>
      </c>
      <c r="D1013" s="22" t="str">
        <f>VLOOKUP(B1013,Customer[#ALL],6)</f>
        <v>Female</v>
      </c>
      <c r="E1013" s="23">
        <f>Sales[Order_Date]</f>
        <v>45318</v>
      </c>
      <c r="F1013" s="21" t="str">
        <f>Sales[Store_ID]</f>
        <v>STORE14</v>
      </c>
      <c r="G1013" s="21" t="str">
        <f t="array" ref="G1013">INDEX(Store[Store_Name],MATCH(F1013,Store[Store_ID],0))</f>
        <v>Mcdonald Inc</v>
      </c>
      <c r="H1013" s="21" t="str">
        <f>Sales[Product_ID]</f>
        <v>PROD95</v>
      </c>
      <c r="I1013" s="21" t="str">
        <f>VLOOKUP(H1013,Products[],2)</f>
        <v>Sports Stopwatch Basic</v>
      </c>
      <c r="J1013" s="24">
        <f>Sales[Total_Amount]</f>
        <v>895.5342</v>
      </c>
      <c r="K1013" s="21" t="str">
        <f t="shared" si="1"/>
        <v>Jan</v>
      </c>
      <c r="L1013" s="21">
        <f t="shared" si="2"/>
        <v>2024</v>
      </c>
      <c r="N1013" s="33"/>
      <c r="O1013" s="34"/>
    </row>
    <row r="1014" ht="22.5" customHeight="1">
      <c r="A1014" s="21" t="s">
        <v>2979</v>
      </c>
      <c r="B1014" s="21" t="s">
        <v>1393</v>
      </c>
      <c r="C1014" s="21" t="str">
        <f t="array" ref="C1014">XLOOKUP(B1014,Customer[Customer_ID],Customer[Name(Cleaned)])</f>
        <v>Gene Lee</v>
      </c>
      <c r="D1014" s="22" t="str">
        <f>VLOOKUP(B1014,Customer[#ALL],6)</f>
        <v>Male</v>
      </c>
      <c r="E1014" s="23">
        <f>Sales[Order_Date]</f>
        <v>45495</v>
      </c>
      <c r="F1014" s="21" t="str">
        <f>Sales[Store_ID]</f>
        <v>STORE18</v>
      </c>
      <c r="G1014" s="21" t="str">
        <f t="array" ref="G1014">INDEX(Store[Store_Name],MATCH(F1014,Store[Store_ID],0))</f>
        <v>Guerrero-Schmitt</v>
      </c>
      <c r="H1014" s="21" t="str">
        <f>Sales[Product_ID]</f>
        <v>PROD54</v>
      </c>
      <c r="I1014" s="21" t="str">
        <f>VLOOKUP(H1014,Products[],2)</f>
        <v>Sports Stopwatch Pro</v>
      </c>
      <c r="J1014" s="24">
        <f>Sales[Total_Amount]</f>
        <v>1443.2418</v>
      </c>
      <c r="K1014" s="21" t="str">
        <f t="shared" si="1"/>
        <v>Jul</v>
      </c>
      <c r="L1014" s="21">
        <f t="shared" si="2"/>
        <v>2024</v>
      </c>
      <c r="N1014" s="33"/>
      <c r="O1014" s="34"/>
    </row>
    <row r="1015" ht="22.5" customHeight="1">
      <c r="A1015" s="21" t="s">
        <v>2980</v>
      </c>
      <c r="B1015" s="21" t="s">
        <v>481</v>
      </c>
      <c r="C1015" s="21" t="str">
        <f t="array" ref="C1015">XLOOKUP(B1015,Customer[Customer_ID],Customer[Name(Cleaned)])</f>
        <v>Sean Roth</v>
      </c>
      <c r="D1015" s="22" t="str">
        <f>VLOOKUP(B1015,Customer[#ALL],6)</f>
        <v>Female</v>
      </c>
      <c r="E1015" s="23">
        <f>Sales[Order_Date]</f>
        <v>45459</v>
      </c>
      <c r="F1015" s="21" t="str">
        <f>Sales[Store_ID]</f>
        <v>STORE18</v>
      </c>
      <c r="G1015" s="21" t="str">
        <f t="array" ref="G1015">INDEX(Store[Store_Name],MATCH(F1015,Store[Store_ID],0))</f>
        <v>Guerrero-Schmitt</v>
      </c>
      <c r="H1015" s="21" t="str">
        <f>Sales[Product_ID]</f>
        <v>PROD46</v>
      </c>
      <c r="I1015" s="21" t="str">
        <f>VLOOKUP(H1015,Products[],2)</f>
        <v>Men's Winter Jacket</v>
      </c>
      <c r="J1015" s="24">
        <f>Sales[Total_Amount]</f>
        <v>780.753</v>
      </c>
      <c r="K1015" s="21" t="str">
        <f t="shared" si="1"/>
        <v>Jun</v>
      </c>
      <c r="L1015" s="21">
        <f t="shared" si="2"/>
        <v>2024</v>
      </c>
      <c r="N1015" s="33"/>
      <c r="O1015" s="34"/>
    </row>
    <row r="1016" ht="22.5" customHeight="1">
      <c r="A1016" s="21" t="s">
        <v>2981</v>
      </c>
      <c r="B1016" s="21" t="s">
        <v>135</v>
      </c>
      <c r="C1016" s="21" t="str">
        <f t="array" ref="C1016">XLOOKUP(B1016,Customer[Customer_ID],Customer[Name(Cleaned)])</f>
        <v>Sarah Vance</v>
      </c>
      <c r="D1016" s="22" t="str">
        <f>VLOOKUP(B1016,Customer[#ALL],6)</f>
        <v>Female</v>
      </c>
      <c r="E1016" s="23">
        <f>Sales[Order_Date]</f>
        <v>45560</v>
      </c>
      <c r="F1016" s="21" t="str">
        <f>Sales[Store_ID]</f>
        <v>STORE8</v>
      </c>
      <c r="G1016" s="21" t="str">
        <f t="array" ref="G1016">INDEX(Store[Store_Name],MATCH(F1016,Store[Store_ID],0))</f>
        <v>Bean, Jones and Park</v>
      </c>
      <c r="H1016" s="21" t="str">
        <f>Sales[Product_ID]</f>
        <v>PROD61</v>
      </c>
      <c r="I1016" s="21" t="str">
        <f>VLOOKUP(H1016,Products[],2)</f>
        <v>Tennis Ball 3-Pack</v>
      </c>
      <c r="J1016" s="24">
        <f>Sales[Total_Amount]</f>
        <v>762.003</v>
      </c>
      <c r="K1016" s="21" t="str">
        <f t="shared" si="1"/>
        <v>Sep</v>
      </c>
      <c r="L1016" s="21">
        <f t="shared" si="2"/>
        <v>2024</v>
      </c>
      <c r="N1016" s="33"/>
      <c r="O1016" s="34"/>
    </row>
    <row r="1017" ht="22.5" customHeight="1">
      <c r="A1017" s="21" t="s">
        <v>2982</v>
      </c>
      <c r="B1017" s="21" t="s">
        <v>85</v>
      </c>
      <c r="C1017" s="21" t="str">
        <f t="array" ref="C1017">XLOOKUP(B1017,Customer[Customer_ID],Customer[Name(Cleaned)])</f>
        <v>Adam Cruz</v>
      </c>
      <c r="D1017" s="22" t="str">
        <f>VLOOKUP(B1017,Customer[#ALL],6)</f>
        <v>Male</v>
      </c>
      <c r="E1017" s="23">
        <f>Sales[Order_Date]</f>
        <v>45367</v>
      </c>
      <c r="F1017" s="21" t="str">
        <f>Sales[Store_ID]</f>
        <v>STORE6</v>
      </c>
      <c r="G1017" s="21" t="str">
        <f t="array" ref="G1017">INDEX(Store[Store_Name],MATCH(F1017,Store[Store_ID],0))</f>
        <v>Benson-Elliott</v>
      </c>
      <c r="H1017" s="21" t="str">
        <f>Sales[Product_ID]</f>
        <v>PROD24</v>
      </c>
      <c r="I1017" s="21" t="str">
        <f>VLOOKUP(H1017,Products[],2)</f>
        <v>Foldable Camping Chair</v>
      </c>
      <c r="J1017" s="24">
        <f>Sales[Total_Amount]</f>
        <v>223.592</v>
      </c>
      <c r="K1017" s="21" t="str">
        <f t="shared" si="1"/>
        <v>Mar</v>
      </c>
      <c r="L1017" s="21">
        <f t="shared" si="2"/>
        <v>2024</v>
      </c>
      <c r="N1017" s="33"/>
      <c r="O1017" s="34"/>
    </row>
    <row r="1018" ht="22.5" customHeight="1">
      <c r="A1018" s="21" t="s">
        <v>2983</v>
      </c>
      <c r="B1018" s="21" t="s">
        <v>899</v>
      </c>
      <c r="C1018" s="21" t="str">
        <f t="array" ref="C1018">XLOOKUP(B1018,Customer[Customer_ID],Customer[Name(Cleaned)])</f>
        <v>Stephen Fowler</v>
      </c>
      <c r="D1018" s="22" t="str">
        <f>VLOOKUP(B1018,Customer[#ALL],6)</f>
        <v>Male</v>
      </c>
      <c r="E1018" s="23">
        <f>Sales[Order_Date]</f>
        <v>45861</v>
      </c>
      <c r="F1018" s="21" t="str">
        <f>Sales[Store_ID]</f>
        <v>STORE6</v>
      </c>
      <c r="G1018" s="21" t="str">
        <f t="array" ref="G1018">INDEX(Store[Store_Name],MATCH(F1018,Store[Store_ID],0))</f>
        <v>Benson-Elliott</v>
      </c>
      <c r="H1018" s="21" t="str">
        <f>Sales[Product_ID]</f>
        <v>PROD92</v>
      </c>
      <c r="I1018" s="21" t="str">
        <f>VLOOKUP(H1018,Products[],2)</f>
        <v>Microwave Oven</v>
      </c>
      <c r="J1018" s="24">
        <f>Sales[Total_Amount]</f>
        <v>846.7488</v>
      </c>
      <c r="K1018" s="21" t="str">
        <f t="shared" si="1"/>
        <v>Jul</v>
      </c>
      <c r="L1018" s="21">
        <f t="shared" si="2"/>
        <v>2025</v>
      </c>
      <c r="N1018" s="33"/>
      <c r="O1018" s="34"/>
    </row>
    <row r="1019" ht="22.5" customHeight="1">
      <c r="A1019" s="21" t="s">
        <v>2984</v>
      </c>
      <c r="B1019" s="21" t="s">
        <v>51</v>
      </c>
      <c r="C1019" s="21" t="str">
        <f t="array" ref="C1019">XLOOKUP(B1019,Customer[Customer_ID],Customer[Name(Cleaned)])</f>
        <v>Melissa Howard</v>
      </c>
      <c r="D1019" s="22" t="str">
        <f>VLOOKUP(B1019,Customer[#ALL],6)</f>
        <v>Male</v>
      </c>
      <c r="E1019" s="23">
        <f>Sales[Order_Date]</f>
        <v>45589</v>
      </c>
      <c r="F1019" s="21" t="str">
        <f>Sales[Store_ID]</f>
        <v>STORE14</v>
      </c>
      <c r="G1019" s="21" t="str">
        <f t="array" ref="G1019">INDEX(Store[Store_Name],MATCH(F1019,Store[Store_ID],0))</f>
        <v>Mcdonald Inc</v>
      </c>
      <c r="H1019" s="21" t="str">
        <f>Sales[Product_ID]</f>
        <v>PROD22</v>
      </c>
      <c r="I1019" s="21" t="str">
        <f>VLOOKUP(H1019,Products[],2)</f>
        <v>Carbon Fiber Tennis Racket</v>
      </c>
      <c r="J1019" s="24">
        <f>Sales[Total_Amount]</f>
        <v>757.1676</v>
      </c>
      <c r="K1019" s="21" t="str">
        <f t="shared" si="1"/>
        <v>Oct</v>
      </c>
      <c r="L1019" s="21">
        <f t="shared" si="2"/>
        <v>2024</v>
      </c>
      <c r="N1019" s="33"/>
      <c r="O1019" s="34"/>
    </row>
    <row r="1020" ht="22.5" customHeight="1">
      <c r="A1020" s="21" t="s">
        <v>2985</v>
      </c>
      <c r="B1020" s="21" t="s">
        <v>51</v>
      </c>
      <c r="C1020" s="21" t="str">
        <f t="array" ref="C1020">XLOOKUP(B1020,Customer[Customer_ID],Customer[Name(Cleaned)])</f>
        <v>Melissa Howard</v>
      </c>
      <c r="D1020" s="22" t="str">
        <f>VLOOKUP(B1020,Customer[#ALL],6)</f>
        <v>Male</v>
      </c>
      <c r="E1020" s="23">
        <f>Sales[Order_Date]</f>
        <v>45560</v>
      </c>
      <c r="F1020" s="21" t="str">
        <f>Sales[Store_ID]</f>
        <v>STORE2</v>
      </c>
      <c r="G1020" s="21" t="str">
        <f t="array" ref="G1020">INDEX(Store[Store_Name],MATCH(F1020,Store[Store_ID],0))</f>
        <v>Black-Horn</v>
      </c>
      <c r="H1020" s="21" t="str">
        <f>Sales[Product_ID]</f>
        <v>PROD99</v>
      </c>
      <c r="I1020" s="21" t="str">
        <f>VLOOKUP(H1020,Products[],2)</f>
        <v>Stainless Steel Cookware Set</v>
      </c>
      <c r="J1020" s="24">
        <f>Sales[Total_Amount]</f>
        <v>709.1271</v>
      </c>
      <c r="K1020" s="21" t="str">
        <f t="shared" si="1"/>
        <v>Sep</v>
      </c>
      <c r="L1020" s="21">
        <f t="shared" si="2"/>
        <v>2024</v>
      </c>
      <c r="N1020" s="33"/>
      <c r="O1020" s="34"/>
    </row>
    <row r="1021" ht="22.5" customHeight="1">
      <c r="A1021" s="21" t="s">
        <v>2986</v>
      </c>
      <c r="B1021" s="21" t="s">
        <v>1032</v>
      </c>
      <c r="C1021" s="21" t="str">
        <f t="array" ref="C1021">XLOOKUP(B1021,Customer[Customer_ID],Customer[Name(Cleaned)])</f>
        <v>Kristy Dunlap</v>
      </c>
      <c r="D1021" s="22" t="str">
        <f>VLOOKUP(B1021,Customer[#ALL],6)</f>
        <v>Male</v>
      </c>
      <c r="E1021" s="23">
        <f>Sales[Order_Date]</f>
        <v>45408</v>
      </c>
      <c r="F1021" s="21" t="str">
        <f>Sales[Store_ID]</f>
        <v>STORE16</v>
      </c>
      <c r="G1021" s="21" t="str">
        <f t="array" ref="G1021">INDEX(Store[Store_Name],MATCH(F1021,Store[Store_ID],0))</f>
        <v>Frederick-Wright</v>
      </c>
      <c r="H1021" s="21" t="str">
        <f>Sales[Product_ID]</f>
        <v>PROD9</v>
      </c>
      <c r="I1021" s="21" t="str">
        <f>VLOOKUP(H1021,Products[],2)</f>
        <v>Face Foundation Kit</v>
      </c>
      <c r="J1021" s="24">
        <f>Sales[Total_Amount]</f>
        <v>810.0972</v>
      </c>
      <c r="K1021" s="21" t="str">
        <f t="shared" si="1"/>
        <v>Apr</v>
      </c>
      <c r="L1021" s="21">
        <f t="shared" si="2"/>
        <v>2024</v>
      </c>
      <c r="N1021" s="33"/>
      <c r="O1021" s="34"/>
    </row>
    <row r="1022" ht="22.5" customHeight="1">
      <c r="A1022" s="21" t="s">
        <v>2987</v>
      </c>
      <c r="B1022" s="21" t="s">
        <v>312</v>
      </c>
      <c r="C1022" s="21" t="str">
        <f t="array" ref="C1022">XLOOKUP(B1022,Customer[Customer_ID],Customer[Name(Cleaned)])</f>
        <v>Christy Hoffman</v>
      </c>
      <c r="D1022" s="22" t="str">
        <f>VLOOKUP(B1022,Customer[#ALL],6)</f>
        <v>Male</v>
      </c>
      <c r="E1022" s="23">
        <f>Sales[Order_Date]</f>
        <v>45714</v>
      </c>
      <c r="F1022" s="21" t="str">
        <f>Sales[Store_ID]</f>
        <v>STORE9</v>
      </c>
      <c r="G1022" s="21" t="str">
        <f t="array" ref="G1022">INDEX(Store[Store_Name],MATCH(F1022,Store[Store_ID],0))</f>
        <v>Moore, Padilla and Butler</v>
      </c>
      <c r="H1022" s="21" t="str">
        <f>Sales[Product_ID]</f>
        <v>PROD99</v>
      </c>
      <c r="I1022" s="21" t="str">
        <f>VLOOKUP(H1022,Products[],2)</f>
        <v>Stainless Steel Cookware Set</v>
      </c>
      <c r="J1022" s="24">
        <f>Sales[Total_Amount]</f>
        <v>942.228</v>
      </c>
      <c r="K1022" s="21" t="str">
        <f t="shared" si="1"/>
        <v>Feb</v>
      </c>
      <c r="L1022" s="21">
        <f t="shared" si="2"/>
        <v>2025</v>
      </c>
      <c r="N1022" s="33"/>
      <c r="O1022" s="34"/>
    </row>
    <row r="1023" ht="22.5" customHeight="1">
      <c r="A1023" s="21" t="s">
        <v>2988</v>
      </c>
      <c r="B1023" s="21" t="s">
        <v>1453</v>
      </c>
      <c r="C1023" s="21" t="str">
        <f t="array" ref="C1023">XLOOKUP(B1023,Customer[Customer_ID],Customer[Name(Cleaned)])</f>
        <v>Cynthia Parrish</v>
      </c>
      <c r="D1023" s="22" t="str">
        <f>VLOOKUP(B1023,Customer[#ALL],6)</f>
        <v>Female</v>
      </c>
      <c r="E1023" s="23">
        <f>Sales[Order_Date]</f>
        <v>45661</v>
      </c>
      <c r="F1023" s="21" t="str">
        <f>Sales[Store_ID]</f>
        <v>STORE0</v>
      </c>
      <c r="G1023" s="21" t="str">
        <f t="array" ref="G1023">INDEX(Store[Store_Name],MATCH(F1023,Store[Store_ID],0))</f>
        <v>Rivera-Warner</v>
      </c>
      <c r="H1023" s="21" t="str">
        <f>Sales[Product_ID]</f>
        <v>PROD12</v>
      </c>
      <c r="I1023" s="21" t="str">
        <f>VLOOKUP(H1023,Products[],2)</f>
        <v>Hair Strengthening Shampoo</v>
      </c>
      <c r="J1023" s="24">
        <f>Sales[Total_Amount]</f>
        <v>1099.76</v>
      </c>
      <c r="K1023" s="21" t="str">
        <f t="shared" si="1"/>
        <v>Jan</v>
      </c>
      <c r="L1023" s="21">
        <f t="shared" si="2"/>
        <v>2025</v>
      </c>
      <c r="N1023" s="33"/>
      <c r="O1023" s="34"/>
    </row>
    <row r="1024" ht="22.5" customHeight="1">
      <c r="A1024" s="21" t="s">
        <v>2989</v>
      </c>
      <c r="B1024" s="21" t="s">
        <v>687</v>
      </c>
      <c r="C1024" s="21" t="str">
        <f t="array" ref="C1024">XLOOKUP(B1024,Customer[Customer_ID],Customer[Name(Cleaned)])</f>
        <v>Jacqueline Pacheco</v>
      </c>
      <c r="D1024" s="22" t="str">
        <f>VLOOKUP(B1024,Customer[#ALL],6)</f>
        <v>Male</v>
      </c>
      <c r="E1024" s="23">
        <f>Sales[Order_Date]</f>
        <v>45921</v>
      </c>
      <c r="F1024" s="21" t="str">
        <f>Sales[Store_ID]</f>
        <v>STORE8</v>
      </c>
      <c r="G1024" s="21" t="str">
        <f t="array" ref="G1024">INDEX(Store[Store_Name],MATCH(F1024,Store[Store_ID],0))</f>
        <v>Bean, Jones and Park</v>
      </c>
      <c r="H1024" s="21" t="str">
        <f>Sales[Product_ID]</f>
        <v>PROD84</v>
      </c>
      <c r="I1024" s="21" t="str">
        <f>VLOOKUP(H1024,Products[],2)</f>
        <v>Wooden Bookshelf</v>
      </c>
      <c r="J1024" s="24">
        <f>Sales[Total_Amount]</f>
        <v>47.6212</v>
      </c>
      <c r="K1024" s="21" t="str">
        <f t="shared" si="1"/>
        <v>Sep</v>
      </c>
      <c r="L1024" s="21">
        <f t="shared" si="2"/>
        <v>2025</v>
      </c>
      <c r="N1024" s="33"/>
      <c r="O1024" s="34"/>
    </row>
    <row r="1025" ht="22.5" customHeight="1">
      <c r="A1025" s="21" t="s">
        <v>2990</v>
      </c>
      <c r="B1025" s="21" t="s">
        <v>361</v>
      </c>
      <c r="C1025" s="21" t="str">
        <f t="array" ref="C1025">XLOOKUP(B1025,Customer[Customer_ID],Customer[Name(Cleaned)])</f>
        <v>Sheila Wilson</v>
      </c>
      <c r="D1025" s="22" t="str">
        <f>VLOOKUP(B1025,Customer[#ALL],6)</f>
        <v>Female</v>
      </c>
      <c r="E1025" s="23">
        <f>Sales[Order_Date]</f>
        <v>45651</v>
      </c>
      <c r="F1025" s="21" t="str">
        <f>Sales[Store_ID]</f>
        <v>STORE8</v>
      </c>
      <c r="G1025" s="21" t="str">
        <f t="array" ref="G1025">INDEX(Store[Store_Name],MATCH(F1025,Store[Store_ID],0))</f>
        <v>Bean, Jones and Park</v>
      </c>
      <c r="H1025" s="21" t="str">
        <f>Sales[Product_ID]</f>
        <v>PROD34</v>
      </c>
      <c r="I1025" s="21" t="str">
        <f>VLOOKUP(H1025,Products[],2)</f>
        <v>Gaming Mechanical Keyboard</v>
      </c>
      <c r="J1025" s="24">
        <f>Sales[Total_Amount]</f>
        <v>1505.1168</v>
      </c>
      <c r="K1025" s="21" t="str">
        <f t="shared" si="1"/>
        <v>Dec</v>
      </c>
      <c r="L1025" s="21">
        <f t="shared" si="2"/>
        <v>2024</v>
      </c>
      <c r="N1025" s="33"/>
      <c r="O1025" s="34"/>
    </row>
    <row r="1026" ht="22.5" customHeight="1">
      <c r="A1026" s="21" t="s">
        <v>2991</v>
      </c>
      <c r="B1026" s="21" t="s">
        <v>1332</v>
      </c>
      <c r="C1026" s="21" t="str">
        <f t="array" ref="C1026">XLOOKUP(B1026,Customer[Customer_ID],Customer[Name(Cleaned)])</f>
        <v>Edwin Barnes</v>
      </c>
      <c r="D1026" s="22" t="str">
        <f>VLOOKUP(B1026,Customer[#ALL],6)</f>
        <v>Female</v>
      </c>
      <c r="E1026" s="23">
        <f>Sales[Order_Date]</f>
        <v>45617</v>
      </c>
      <c r="F1026" s="21" t="str">
        <f>Sales[Store_ID]</f>
        <v>STORE14</v>
      </c>
      <c r="G1026" s="21" t="str">
        <f t="array" ref="G1026">INDEX(Store[Store_Name],MATCH(F1026,Store[Store_ID],0))</f>
        <v>Mcdonald Inc</v>
      </c>
      <c r="H1026" s="21" t="str">
        <f>Sales[Product_ID]</f>
        <v>PROD92</v>
      </c>
      <c r="I1026" s="21" t="str">
        <f>VLOOKUP(H1026,Products[],2)</f>
        <v>Microwave Oven</v>
      </c>
      <c r="J1026" s="24">
        <f>Sales[Total_Amount]</f>
        <v>922.2075</v>
      </c>
      <c r="K1026" s="21" t="str">
        <f t="shared" si="1"/>
        <v>Nov</v>
      </c>
      <c r="L1026" s="21">
        <f t="shared" si="2"/>
        <v>2024</v>
      </c>
      <c r="N1026" s="33"/>
      <c r="O1026" s="34"/>
    </row>
    <row r="1027" ht="22.5" customHeight="1">
      <c r="A1027" s="21" t="s">
        <v>2992</v>
      </c>
      <c r="B1027" s="21" t="s">
        <v>908</v>
      </c>
      <c r="C1027" s="21" t="str">
        <f t="array" ref="C1027">XLOOKUP(B1027,Customer[Customer_ID],Customer[Name(Cleaned)])</f>
        <v>Brittany Watson</v>
      </c>
      <c r="D1027" s="22" t="str">
        <f>VLOOKUP(B1027,Customer[#ALL],6)</f>
        <v>Female</v>
      </c>
      <c r="E1027" s="23">
        <f>Sales[Order_Date]</f>
        <v>45883</v>
      </c>
      <c r="F1027" s="21" t="str">
        <f>Sales[Store_ID]</f>
        <v>STORE19</v>
      </c>
      <c r="G1027" s="21" t="str">
        <f t="array" ref="G1027">INDEX(Store[Store_Name],MATCH(F1027,Store[Store_ID],0))</f>
        <v>Mann-Austin</v>
      </c>
      <c r="H1027" s="21" t="str">
        <f>Sales[Product_ID]</f>
        <v>PROD77</v>
      </c>
      <c r="I1027" s="21" t="str">
        <f>VLOOKUP(H1027,Products[],2)</f>
        <v>WiFi Mesh Router</v>
      </c>
      <c r="J1027" s="24">
        <f>Sales[Total_Amount]</f>
        <v>855.9831</v>
      </c>
      <c r="K1027" s="21" t="str">
        <f t="shared" si="1"/>
        <v>Aug</v>
      </c>
      <c r="L1027" s="21">
        <f t="shared" si="2"/>
        <v>2025</v>
      </c>
      <c r="N1027" s="33"/>
      <c r="O1027" s="34"/>
    </row>
    <row r="1028" ht="22.5" customHeight="1">
      <c r="A1028" s="21" t="s">
        <v>2993</v>
      </c>
      <c r="B1028" s="21" t="s">
        <v>1540</v>
      </c>
      <c r="C1028" s="21" t="str">
        <f t="array" ref="C1028">XLOOKUP(B1028,Customer[Customer_ID],Customer[Name(Cleaned)])</f>
        <v>Christopher Ford</v>
      </c>
      <c r="D1028" s="22" t="str">
        <f>VLOOKUP(B1028,Customer[#ALL],6)</f>
        <v>Female</v>
      </c>
      <c r="E1028" s="23">
        <f>Sales[Order_Date]</f>
        <v>45624</v>
      </c>
      <c r="F1028" s="21" t="str">
        <f>Sales[Store_ID]</f>
        <v>STORE12</v>
      </c>
      <c r="G1028" s="21" t="str">
        <f t="array" ref="G1028">INDEX(Store[Store_Name],MATCH(F1028,Store[Store_ID],0))</f>
        <v>Thomas, Bridges and Harris</v>
      </c>
      <c r="H1028" s="21" t="str">
        <f>Sales[Product_ID]</f>
        <v>PROD79</v>
      </c>
      <c r="I1028" s="21" t="str">
        <f>VLOOKUP(H1028,Products[],2)</f>
        <v>Decorative Lamp Shade</v>
      </c>
      <c r="J1028" s="24">
        <f>Sales[Total_Amount]</f>
        <v>1734.18</v>
      </c>
      <c r="K1028" s="21" t="str">
        <f t="shared" si="1"/>
        <v>Nov</v>
      </c>
      <c r="L1028" s="21">
        <f t="shared" si="2"/>
        <v>2024</v>
      </c>
      <c r="N1028" s="33"/>
      <c r="O1028" s="34"/>
    </row>
    <row r="1029" ht="22.5" customHeight="1">
      <c r="A1029" s="21" t="s">
        <v>2994</v>
      </c>
      <c r="B1029" s="21" t="s">
        <v>806</v>
      </c>
      <c r="C1029" s="21" t="str">
        <f t="array" ref="C1029">XLOOKUP(B1029,Customer[Customer_ID],Customer[Name(Cleaned)])</f>
        <v>Douglas Rhodes</v>
      </c>
      <c r="D1029" s="22" t="str">
        <f>VLOOKUP(B1029,Customer[#ALL],6)</f>
        <v>Female</v>
      </c>
      <c r="E1029" s="23">
        <f>Sales[Order_Date]</f>
        <v>45276</v>
      </c>
      <c r="F1029" s="21" t="str">
        <f>Sales[Store_ID]</f>
        <v>STORE17</v>
      </c>
      <c r="G1029" s="21" t="str">
        <f t="array" ref="G1029">INDEX(Store[Store_Name],MATCH(F1029,Store[Store_ID],0))</f>
        <v>Holloway Ltd</v>
      </c>
      <c r="H1029" s="21" t="str">
        <f>Sales[Product_ID]</f>
        <v>PROD46</v>
      </c>
      <c r="I1029" s="21" t="str">
        <f>VLOOKUP(H1029,Products[],2)</f>
        <v>Men's Winter Jacket</v>
      </c>
      <c r="J1029" s="24">
        <f>Sales[Total_Amount]</f>
        <v>1662.5312</v>
      </c>
      <c r="K1029" s="21" t="str">
        <f t="shared" si="1"/>
        <v>Dec</v>
      </c>
      <c r="L1029" s="21">
        <f t="shared" si="2"/>
        <v>2023</v>
      </c>
      <c r="N1029" s="33"/>
      <c r="O1029" s="34"/>
    </row>
    <row r="1030" ht="22.5" customHeight="1">
      <c r="A1030" s="21" t="s">
        <v>2995</v>
      </c>
      <c r="B1030" s="21" t="s">
        <v>1482</v>
      </c>
      <c r="C1030" s="21" t="str">
        <f t="array" ref="C1030">XLOOKUP(B1030,Customer[Customer_ID],Customer[Name(Cleaned)])</f>
        <v>Elizabeth Foster</v>
      </c>
      <c r="D1030" s="22" t="str">
        <f>VLOOKUP(B1030,Customer[#ALL],6)</f>
        <v>Male</v>
      </c>
      <c r="E1030" s="23">
        <f>Sales[Order_Date]</f>
        <v>45344</v>
      </c>
      <c r="F1030" s="21" t="str">
        <f>Sales[Store_ID]</f>
        <v>STORE4</v>
      </c>
      <c r="G1030" s="21" t="str">
        <f t="array" ref="G1030">INDEX(Store[Store_Name],MATCH(F1030,Store[Store_ID],0))</f>
        <v>Alexander Group</v>
      </c>
      <c r="H1030" s="21" t="str">
        <f>Sales[Product_ID]</f>
        <v>PROD27</v>
      </c>
      <c r="I1030" s="21" t="str">
        <f>VLOOKUP(H1030,Products[],2)</f>
        <v>Decorative Floor Vase</v>
      </c>
      <c r="J1030" s="24">
        <f>Sales[Total_Amount]</f>
        <v>1184.89</v>
      </c>
      <c r="K1030" s="21" t="str">
        <f t="shared" si="1"/>
        <v>Feb</v>
      </c>
      <c r="L1030" s="21">
        <f t="shared" si="2"/>
        <v>2024</v>
      </c>
      <c r="N1030" s="33"/>
      <c r="O1030" s="34"/>
    </row>
    <row r="1031" ht="22.5" customHeight="1">
      <c r="A1031" s="21" t="s">
        <v>2996</v>
      </c>
      <c r="B1031" s="21" t="s">
        <v>1362</v>
      </c>
      <c r="C1031" s="21" t="str">
        <f t="array" ref="C1031">XLOOKUP(B1031,Customer[Customer_ID],Customer[Name(Cleaned)])</f>
        <v>Monique Castro</v>
      </c>
      <c r="D1031" s="22" t="str">
        <f>VLOOKUP(B1031,Customer[#ALL],6)</f>
        <v>Male</v>
      </c>
      <c r="E1031" s="23">
        <f>Sales[Order_Date]</f>
        <v>45849</v>
      </c>
      <c r="F1031" s="21" t="str">
        <f>Sales[Store_ID]</f>
        <v>STORE2</v>
      </c>
      <c r="G1031" s="21" t="str">
        <f t="array" ref="G1031">INDEX(Store[Store_Name],MATCH(F1031,Store[Store_ID],0))</f>
        <v>Black-Horn</v>
      </c>
      <c r="H1031" s="21" t="str">
        <f>Sales[Product_ID]</f>
        <v>PROD30</v>
      </c>
      <c r="I1031" s="21" t="str">
        <f>VLOOKUP(H1031,Products[],2)</f>
        <v>Stainless Steel Cutlery Set</v>
      </c>
      <c r="J1031" s="24">
        <f>Sales[Total_Amount]</f>
        <v>559.7995</v>
      </c>
      <c r="K1031" s="21" t="str">
        <f t="shared" si="1"/>
        <v>Jul</v>
      </c>
      <c r="L1031" s="21">
        <f t="shared" si="2"/>
        <v>2025</v>
      </c>
      <c r="N1031" s="33"/>
      <c r="O1031" s="34"/>
    </row>
    <row r="1032" ht="22.5" customHeight="1">
      <c r="A1032" s="21" t="s">
        <v>2997</v>
      </c>
      <c r="B1032" s="21" t="s">
        <v>1143</v>
      </c>
      <c r="C1032" s="21" t="str">
        <f t="array" ref="C1032">XLOOKUP(B1032,Customer[Customer_ID],Customer[Name(Cleaned)])</f>
        <v>Denise Tate</v>
      </c>
      <c r="D1032" s="22" t="str">
        <f>VLOOKUP(B1032,Customer[#ALL],6)</f>
        <v>Female</v>
      </c>
      <c r="E1032" s="23">
        <f>Sales[Order_Date]</f>
        <v>45880</v>
      </c>
      <c r="F1032" s="21" t="str">
        <f>Sales[Store_ID]</f>
        <v>STORE12</v>
      </c>
      <c r="G1032" s="21" t="str">
        <f t="array" ref="G1032">INDEX(Store[Store_Name],MATCH(F1032,Store[Store_ID],0))</f>
        <v>Thomas, Bridges and Harris</v>
      </c>
      <c r="H1032" s="21" t="str">
        <f>Sales[Product_ID]</f>
        <v>PROD35</v>
      </c>
      <c r="I1032" s="21" t="str">
        <f>VLOOKUP(H1032,Products[],2)</f>
        <v>Bedroom Table Lamp</v>
      </c>
      <c r="J1032" s="24">
        <f>Sales[Total_Amount]</f>
        <v>630.1866</v>
      </c>
      <c r="K1032" s="21" t="str">
        <f t="shared" si="1"/>
        <v>Aug</v>
      </c>
      <c r="L1032" s="21">
        <f t="shared" si="2"/>
        <v>2025</v>
      </c>
      <c r="N1032" s="33"/>
      <c r="O1032" s="34"/>
    </row>
    <row r="1033" ht="22.5" customHeight="1">
      <c r="A1033" s="21" t="s">
        <v>2998</v>
      </c>
      <c r="B1033" s="21" t="s">
        <v>118</v>
      </c>
      <c r="C1033" s="21" t="str">
        <f t="array" ref="C1033">XLOOKUP(B1033,Customer[Customer_ID],Customer[Name(Cleaned)])</f>
        <v>Amber Carlson</v>
      </c>
      <c r="D1033" s="22" t="str">
        <f>VLOOKUP(B1033,Customer[#ALL],6)</f>
        <v>Male</v>
      </c>
      <c r="E1033" s="23">
        <f>Sales[Order_Date]</f>
        <v>45907</v>
      </c>
      <c r="F1033" s="21" t="str">
        <f>Sales[Store_ID]</f>
        <v>STORE5</v>
      </c>
      <c r="G1033" s="21" t="str">
        <f t="array" ref="G1033">INDEX(Store[Store_Name],MATCH(F1033,Store[Store_ID],0))</f>
        <v>Gray Ltd</v>
      </c>
      <c r="H1033" s="21" t="str">
        <f>Sales[Product_ID]</f>
        <v>PROD14</v>
      </c>
      <c r="I1033" s="21" t="str">
        <f>VLOOKUP(H1033,Products[],2)</f>
        <v>Decorative Wall Mirror</v>
      </c>
      <c r="J1033" s="24">
        <f>Sales[Total_Amount]</f>
        <v>355.2448</v>
      </c>
      <c r="K1033" s="21" t="str">
        <f t="shared" si="1"/>
        <v>Sep</v>
      </c>
      <c r="L1033" s="21">
        <f t="shared" si="2"/>
        <v>2025</v>
      </c>
      <c r="N1033" s="33"/>
      <c r="O1033" s="34"/>
    </row>
    <row r="1034" ht="22.5" customHeight="1">
      <c r="A1034" s="21" t="s">
        <v>2999</v>
      </c>
      <c r="B1034" s="21" t="s">
        <v>1485</v>
      </c>
      <c r="C1034" s="21" t="str">
        <f t="array" ref="C1034">XLOOKUP(B1034,Customer[Customer_ID],Customer[Name(Cleaned)])</f>
        <v>Andrea Harris</v>
      </c>
      <c r="D1034" s="22" t="str">
        <f>VLOOKUP(B1034,Customer[#ALL],6)</f>
        <v>Male</v>
      </c>
      <c r="E1034" s="23">
        <f>Sales[Order_Date]</f>
        <v>45545</v>
      </c>
      <c r="F1034" s="21" t="str">
        <f>Sales[Store_ID]</f>
        <v>STORE13</v>
      </c>
      <c r="G1034" s="21" t="str">
        <f t="array" ref="G1034">INDEX(Store[Store_Name],MATCH(F1034,Store[Store_ID],0))</f>
        <v>Gardner, Humphrey and Contreras</v>
      </c>
      <c r="H1034" s="21" t="str">
        <f>Sales[Product_ID]</f>
        <v>PROD19</v>
      </c>
      <c r="I1034" s="21" t="str">
        <f>VLOOKUP(H1034,Products[],2)</f>
        <v>Knee Support Brace</v>
      </c>
      <c r="J1034" s="24">
        <f>Sales[Total_Amount]</f>
        <v>2373.462</v>
      </c>
      <c r="K1034" s="21" t="str">
        <f t="shared" si="1"/>
        <v>Sep</v>
      </c>
      <c r="L1034" s="21">
        <f t="shared" si="2"/>
        <v>2024</v>
      </c>
      <c r="N1034" s="33"/>
      <c r="O1034" s="34"/>
    </row>
    <row r="1035" ht="22.5" customHeight="1">
      <c r="A1035" s="21" t="s">
        <v>3000</v>
      </c>
      <c r="B1035" s="21" t="s">
        <v>549</v>
      </c>
      <c r="C1035" s="21" t="str">
        <f t="array" ref="C1035">XLOOKUP(B1035,Customer[Customer_ID],Customer[Name(Cleaned)])</f>
        <v>Cynthia Morris</v>
      </c>
      <c r="D1035" s="22" t="str">
        <f>VLOOKUP(B1035,Customer[#ALL],6)</f>
        <v>Male</v>
      </c>
      <c r="E1035" s="23">
        <f>Sales[Order_Date]</f>
        <v>45257</v>
      </c>
      <c r="F1035" s="21" t="str">
        <f>Sales[Store_ID]</f>
        <v>STORE5</v>
      </c>
      <c r="G1035" s="21" t="str">
        <f t="array" ref="G1035">INDEX(Store[Store_Name],MATCH(F1035,Store[Store_ID],0))</f>
        <v>Gray Ltd</v>
      </c>
      <c r="H1035" s="21" t="str">
        <f>Sales[Product_ID]</f>
        <v>PROD45</v>
      </c>
      <c r="I1035" s="21" t="str">
        <f>VLOOKUP(H1035,Products[],2)</f>
        <v>High-Grip Football</v>
      </c>
      <c r="J1035" s="24">
        <f>Sales[Total_Amount]</f>
        <v>579.5884</v>
      </c>
      <c r="K1035" s="21" t="str">
        <f t="shared" si="1"/>
        <v>Nov</v>
      </c>
      <c r="L1035" s="21">
        <f t="shared" si="2"/>
        <v>2023</v>
      </c>
      <c r="N1035" s="33"/>
      <c r="O1035" s="34"/>
    </row>
    <row r="1036" ht="22.5" customHeight="1">
      <c r="A1036" s="21" t="s">
        <v>3001</v>
      </c>
      <c r="B1036" s="21" t="s">
        <v>993</v>
      </c>
      <c r="C1036" s="21" t="str">
        <f t="array" ref="C1036">XLOOKUP(B1036,Customer[Customer_ID],Customer[Name(Cleaned)])</f>
        <v>Kara Dodson</v>
      </c>
      <c r="D1036" s="22" t="str">
        <f>VLOOKUP(B1036,Customer[#ALL],6)</f>
        <v>Female</v>
      </c>
      <c r="E1036" s="23">
        <f>Sales[Order_Date]</f>
        <v>45466</v>
      </c>
      <c r="F1036" s="21" t="str">
        <f>Sales[Store_ID]</f>
        <v>STORE5</v>
      </c>
      <c r="G1036" s="21" t="str">
        <f t="array" ref="G1036">INDEX(Store[Store_Name],MATCH(F1036,Store[Store_ID],0))</f>
        <v>Gray Ltd</v>
      </c>
      <c r="H1036" s="21" t="str">
        <f>Sales[Product_ID]</f>
        <v>PROD5</v>
      </c>
      <c r="I1036" s="21" t="str">
        <f>VLOOKUP(H1036,Products[],2)</f>
        <v>Men's Roll-On Perfume</v>
      </c>
      <c r="J1036" s="24">
        <f>Sales[Total_Amount]</f>
        <v>626.3712</v>
      </c>
      <c r="K1036" s="21" t="str">
        <f t="shared" si="1"/>
        <v>Jun</v>
      </c>
      <c r="L1036" s="21">
        <f t="shared" si="2"/>
        <v>2024</v>
      </c>
      <c r="N1036" s="33"/>
      <c r="O1036" s="34"/>
    </row>
    <row r="1037" ht="22.5" customHeight="1">
      <c r="A1037" s="21" t="s">
        <v>3002</v>
      </c>
      <c r="B1037" s="21" t="s">
        <v>552</v>
      </c>
      <c r="C1037" s="21" t="str">
        <f t="array" ref="C1037">XLOOKUP(B1037,Customer[Customer_ID],Customer[Name(Cleaned)])</f>
        <v>Mariah Brown</v>
      </c>
      <c r="D1037" s="22" t="str">
        <f>VLOOKUP(B1037,Customer[#ALL],6)</f>
        <v>Female</v>
      </c>
      <c r="E1037" s="23">
        <f>Sales[Order_Date]</f>
        <v>45763</v>
      </c>
      <c r="F1037" s="21" t="str">
        <f>Sales[Store_ID]</f>
        <v>STORE4</v>
      </c>
      <c r="G1037" s="21" t="str">
        <f t="array" ref="G1037">INDEX(Store[Store_Name],MATCH(F1037,Store[Store_ID],0))</f>
        <v>Alexander Group</v>
      </c>
      <c r="H1037" s="21" t="str">
        <f>Sales[Product_ID]</f>
        <v>PROD7</v>
      </c>
      <c r="I1037" s="21" t="str">
        <f>VLOOKUP(H1037,Products[],2)</f>
        <v>Men's Sports Shorts</v>
      </c>
      <c r="J1037" s="24">
        <f>Sales[Total_Amount]</f>
        <v>263.6072</v>
      </c>
      <c r="K1037" s="21" t="str">
        <f t="shared" si="1"/>
        <v>Apr</v>
      </c>
      <c r="L1037" s="21">
        <f t="shared" si="2"/>
        <v>2025</v>
      </c>
      <c r="N1037" s="33"/>
      <c r="O1037" s="34"/>
    </row>
    <row r="1038" ht="22.5" customHeight="1">
      <c r="A1038" s="21" t="s">
        <v>3003</v>
      </c>
      <c r="B1038" s="21" t="s">
        <v>963</v>
      </c>
      <c r="C1038" s="21" t="str">
        <f t="array" ref="C1038">XLOOKUP(B1038,Customer[Customer_ID],Customer[Name(Cleaned)])</f>
        <v>Matthew Avery</v>
      </c>
      <c r="D1038" s="22" t="str">
        <f>VLOOKUP(B1038,Customer[#ALL],6)</f>
        <v>Female</v>
      </c>
      <c r="E1038" s="23">
        <f>Sales[Order_Date]</f>
        <v>45847</v>
      </c>
      <c r="F1038" s="21" t="str">
        <f>Sales[Store_ID]</f>
        <v>STORE9</v>
      </c>
      <c r="G1038" s="21" t="str">
        <f t="array" ref="G1038">INDEX(Store[Store_Name],MATCH(F1038,Store[Store_ID],0))</f>
        <v>Moore, Padilla and Butler</v>
      </c>
      <c r="H1038" s="21" t="str">
        <f>Sales[Product_ID]</f>
        <v>PROD48</v>
      </c>
      <c r="I1038" s="21" t="str">
        <f>VLOOKUP(H1038,Products[],2)</f>
        <v>Car Dashboard Phone Holder</v>
      </c>
      <c r="J1038" s="24">
        <f>Sales[Total_Amount]</f>
        <v>715.3005</v>
      </c>
      <c r="K1038" s="21" t="str">
        <f t="shared" si="1"/>
        <v>Jul</v>
      </c>
      <c r="L1038" s="21">
        <f t="shared" si="2"/>
        <v>2025</v>
      </c>
      <c r="N1038" s="33"/>
      <c r="O1038" s="34"/>
    </row>
    <row r="1039" ht="22.5" customHeight="1">
      <c r="A1039" s="21" t="s">
        <v>3004</v>
      </c>
      <c r="B1039" s="21" t="s">
        <v>1332</v>
      </c>
      <c r="C1039" s="21" t="str">
        <f t="array" ref="C1039">XLOOKUP(B1039,Customer[Customer_ID],Customer[Name(Cleaned)])</f>
        <v>Edwin Barnes</v>
      </c>
      <c r="D1039" s="22" t="str">
        <f>VLOOKUP(B1039,Customer[#ALL],6)</f>
        <v>Female</v>
      </c>
      <c r="E1039" s="23">
        <f>Sales[Order_Date]</f>
        <v>45825</v>
      </c>
      <c r="F1039" s="21" t="str">
        <f>Sales[Store_ID]</f>
        <v>STORE17</v>
      </c>
      <c r="G1039" s="21" t="str">
        <f t="array" ref="G1039">INDEX(Store[Store_Name],MATCH(F1039,Store[Store_ID],0))</f>
        <v>Holloway Ltd</v>
      </c>
      <c r="H1039" s="21" t="str">
        <f>Sales[Product_ID]</f>
        <v>PROD83</v>
      </c>
      <c r="I1039" s="21" t="str">
        <f>VLOOKUP(H1039,Products[],2)</f>
        <v>Hydrating Face Cleanser</v>
      </c>
      <c r="J1039" s="24">
        <f>Sales[Total_Amount]</f>
        <v>134.9568</v>
      </c>
      <c r="K1039" s="21" t="str">
        <f t="shared" si="1"/>
        <v>Jun</v>
      </c>
      <c r="L1039" s="21">
        <f t="shared" si="2"/>
        <v>2025</v>
      </c>
      <c r="N1039" s="33"/>
      <c r="O1039" s="34"/>
    </row>
    <row r="1040" ht="22.5" customHeight="1">
      <c r="A1040" s="21" t="s">
        <v>3005</v>
      </c>
      <c r="B1040" s="21" t="s">
        <v>1540</v>
      </c>
      <c r="C1040" s="21" t="str">
        <f t="array" ref="C1040">XLOOKUP(B1040,Customer[Customer_ID],Customer[Name(Cleaned)])</f>
        <v>Christopher Ford</v>
      </c>
      <c r="D1040" s="22" t="str">
        <f>VLOOKUP(B1040,Customer[#ALL],6)</f>
        <v>Female</v>
      </c>
      <c r="E1040" s="23">
        <f>Sales[Order_Date]</f>
        <v>45839</v>
      </c>
      <c r="F1040" s="21" t="str">
        <f>Sales[Store_ID]</f>
        <v>STORE8</v>
      </c>
      <c r="G1040" s="21" t="str">
        <f t="array" ref="G1040">INDEX(Store[Store_Name],MATCH(F1040,Store[Store_ID],0))</f>
        <v>Bean, Jones and Park</v>
      </c>
      <c r="H1040" s="21" t="str">
        <f>Sales[Product_ID]</f>
        <v>PROD78</v>
      </c>
      <c r="I1040" s="21" t="str">
        <f>VLOOKUP(H1040,Products[],2)</f>
        <v>Essential Oil Diffuser</v>
      </c>
      <c r="J1040" s="24">
        <f>Sales[Total_Amount]</f>
        <v>994.482</v>
      </c>
      <c r="K1040" s="21" t="str">
        <f t="shared" si="1"/>
        <v>Jul</v>
      </c>
      <c r="L1040" s="21">
        <f t="shared" si="2"/>
        <v>2025</v>
      </c>
      <c r="N1040" s="33"/>
      <c r="O1040" s="34"/>
    </row>
    <row r="1041" ht="22.5" customHeight="1">
      <c r="A1041" s="21" t="s">
        <v>3006</v>
      </c>
      <c r="B1041" s="21" t="s">
        <v>773</v>
      </c>
      <c r="C1041" s="21" t="str">
        <f t="array" ref="C1041">XLOOKUP(B1041,Customer[Customer_ID],Customer[Name(Cleaned)])</f>
        <v>Joshua Wilson</v>
      </c>
      <c r="D1041" s="22" t="str">
        <f>VLOOKUP(B1041,Customer[#ALL],6)</f>
        <v>Male</v>
      </c>
      <c r="E1041" s="23">
        <f>Sales[Order_Date]</f>
        <v>45720</v>
      </c>
      <c r="F1041" s="21" t="str">
        <f>Sales[Store_ID]</f>
        <v>STORE6</v>
      </c>
      <c r="G1041" s="21" t="str">
        <f t="array" ref="G1041">INDEX(Store[Store_Name],MATCH(F1041,Store[Store_ID],0))</f>
        <v>Benson-Elliott</v>
      </c>
      <c r="H1041" s="21" t="str">
        <f>Sales[Product_ID]</f>
        <v>PROD24</v>
      </c>
      <c r="I1041" s="21" t="str">
        <f>VLOOKUP(H1041,Products[],2)</f>
        <v>Foldable Camping Chair</v>
      </c>
      <c r="J1041" s="24">
        <f>Sales[Total_Amount]</f>
        <v>1301.8758</v>
      </c>
      <c r="K1041" s="21" t="str">
        <f t="shared" si="1"/>
        <v>Mar</v>
      </c>
      <c r="L1041" s="21">
        <f t="shared" si="2"/>
        <v>2025</v>
      </c>
      <c r="N1041" s="33"/>
      <c r="O1041" s="34"/>
    </row>
    <row r="1042" ht="22.5" customHeight="1">
      <c r="A1042" s="21" t="s">
        <v>3007</v>
      </c>
      <c r="B1042" s="21" t="s">
        <v>1408</v>
      </c>
      <c r="C1042" s="21" t="str">
        <f t="array" ref="C1042">XLOOKUP(B1042,Customer[Customer_ID],Customer[Name(Cleaned)])</f>
        <v>Shane Mills</v>
      </c>
      <c r="D1042" s="22" t="str">
        <f>VLOOKUP(B1042,Customer[#ALL],6)</f>
        <v>Female</v>
      </c>
      <c r="E1042" s="23">
        <f>Sales[Order_Date]</f>
        <v>45250</v>
      </c>
      <c r="F1042" s="21" t="str">
        <f>Sales[Store_ID]</f>
        <v>STORE19</v>
      </c>
      <c r="G1042" s="21" t="str">
        <f t="array" ref="G1042">INDEX(Store[Store_Name],MATCH(F1042,Store[Store_ID],0))</f>
        <v>Mann-Austin</v>
      </c>
      <c r="H1042" s="21" t="str">
        <f>Sales[Product_ID]</f>
        <v>PROD73</v>
      </c>
      <c r="I1042" s="21" t="str">
        <f>VLOOKUP(H1042,Products[],2)</f>
        <v>Shin Guards – Adult</v>
      </c>
      <c r="J1042" s="24">
        <f>Sales[Total_Amount]</f>
        <v>574.883</v>
      </c>
      <c r="K1042" s="21" t="str">
        <f t="shared" si="1"/>
        <v>Nov</v>
      </c>
      <c r="L1042" s="21">
        <f t="shared" si="2"/>
        <v>2023</v>
      </c>
      <c r="N1042" s="33"/>
      <c r="O1042" s="34"/>
    </row>
    <row r="1043" ht="22.5" customHeight="1">
      <c r="A1043" s="21" t="s">
        <v>3008</v>
      </c>
      <c r="B1043" s="21" t="s">
        <v>1368</v>
      </c>
      <c r="C1043" s="21" t="str">
        <f t="array" ref="C1043">XLOOKUP(B1043,Customer[Customer_ID],Customer[Name(Cleaned)])</f>
        <v>Sharon Simpson</v>
      </c>
      <c r="D1043" s="22" t="str">
        <f>VLOOKUP(B1043,Customer[#ALL],6)</f>
        <v>Female</v>
      </c>
      <c r="E1043" s="23">
        <f>Sales[Order_Date]</f>
        <v>45258</v>
      </c>
      <c r="F1043" s="21" t="str">
        <f>Sales[Store_ID]</f>
        <v>STORE7</v>
      </c>
      <c r="G1043" s="21" t="str">
        <f t="array" ref="G1043">INDEX(Store[Store_Name],MATCH(F1043,Store[Store_ID],0))</f>
        <v>Martinez-Mullins</v>
      </c>
      <c r="H1043" s="21" t="str">
        <f>Sales[Product_ID]</f>
        <v>PROD51</v>
      </c>
      <c r="I1043" s="21" t="str">
        <f>VLOOKUP(H1043,Products[],2)</f>
        <v>HDMI Cable – 2m</v>
      </c>
      <c r="J1043" s="24">
        <f>Sales[Total_Amount]</f>
        <v>2139.3312</v>
      </c>
      <c r="K1043" s="21" t="str">
        <f t="shared" si="1"/>
        <v>Nov</v>
      </c>
      <c r="L1043" s="21">
        <f t="shared" si="2"/>
        <v>2023</v>
      </c>
      <c r="N1043" s="33"/>
      <c r="O1043" s="34"/>
    </row>
    <row r="1044" ht="22.5" customHeight="1">
      <c r="A1044" s="21" t="s">
        <v>3009</v>
      </c>
      <c r="B1044" s="21" t="s">
        <v>352</v>
      </c>
      <c r="C1044" s="21" t="str">
        <f t="array" ref="C1044">XLOOKUP(B1044,Customer[Customer_ID],Customer[Name(Cleaned)])</f>
        <v>Samantha Walker</v>
      </c>
      <c r="D1044" s="22" t="str">
        <f>VLOOKUP(B1044,Customer[#ALL],6)</f>
        <v>Male</v>
      </c>
      <c r="E1044" s="23">
        <f>Sales[Order_Date]</f>
        <v>45793</v>
      </c>
      <c r="F1044" s="21" t="str">
        <f>Sales[Store_ID]</f>
        <v>STORE1</v>
      </c>
      <c r="G1044" s="21" t="str">
        <f t="array" ref="G1044">INDEX(Store[Store_Name],MATCH(F1044,Store[Store_ID],0))</f>
        <v>Martinez, Adkins and Johnson</v>
      </c>
      <c r="H1044" s="21" t="str">
        <f>Sales[Product_ID]</f>
        <v>PROD66</v>
      </c>
      <c r="I1044" s="21" t="str">
        <f>VLOOKUP(H1044,Products[],2)</f>
        <v>Women's Hair Dryer Brush</v>
      </c>
      <c r="J1044" s="24">
        <f>Sales[Total_Amount]</f>
        <v>274.4523</v>
      </c>
      <c r="K1044" s="21" t="str">
        <f t="shared" si="1"/>
        <v>May</v>
      </c>
      <c r="L1044" s="21">
        <f t="shared" si="2"/>
        <v>2025</v>
      </c>
      <c r="N1044" s="33"/>
      <c r="O1044" s="34"/>
    </row>
    <row r="1045" ht="22.5" customHeight="1">
      <c r="A1045" s="21" t="s">
        <v>3010</v>
      </c>
      <c r="B1045" s="21" t="s">
        <v>920</v>
      </c>
      <c r="C1045" s="21" t="str">
        <f t="array" ref="C1045">XLOOKUP(B1045,Customer[Customer_ID],Customer[Name(Cleaned)])</f>
        <v>Donna Guerra</v>
      </c>
      <c r="D1045" s="22" t="str">
        <f>VLOOKUP(B1045,Customer[#ALL],6)</f>
        <v>Male</v>
      </c>
      <c r="E1045" s="23">
        <f>Sales[Order_Date]</f>
        <v>45265</v>
      </c>
      <c r="F1045" s="21" t="str">
        <f>Sales[Store_ID]</f>
        <v>STORE13</v>
      </c>
      <c r="G1045" s="21" t="str">
        <f t="array" ref="G1045">INDEX(Store[Store_Name],MATCH(F1045,Store[Store_ID],0))</f>
        <v>Gardner, Humphrey and Contreras</v>
      </c>
      <c r="H1045" s="21" t="str">
        <f>Sales[Product_ID]</f>
        <v>PROD49</v>
      </c>
      <c r="I1045" s="21" t="str">
        <f>VLOOKUP(H1045,Products[],2)</f>
        <v>Men's Roll-On Perfume</v>
      </c>
      <c r="J1045" s="24">
        <f>Sales[Total_Amount]</f>
        <v>1706.43</v>
      </c>
      <c r="K1045" s="21" t="str">
        <f t="shared" si="1"/>
        <v>Dec</v>
      </c>
      <c r="L1045" s="21">
        <f t="shared" si="2"/>
        <v>2023</v>
      </c>
      <c r="N1045" s="33"/>
      <c r="O1045" s="34"/>
    </row>
    <row r="1046" ht="22.5" customHeight="1">
      <c r="A1046" s="21" t="s">
        <v>3011</v>
      </c>
      <c r="B1046" s="21" t="s">
        <v>1188</v>
      </c>
      <c r="C1046" s="21" t="str">
        <f t="array" ref="C1046">XLOOKUP(B1046,Customer[Customer_ID],Customer[Name(Cleaned)])</f>
        <v>Joshua Bell</v>
      </c>
      <c r="D1046" s="22" t="str">
        <f>VLOOKUP(B1046,Customer[#ALL],6)</f>
        <v>Female</v>
      </c>
      <c r="E1046" s="23">
        <f>Sales[Order_Date]</f>
        <v>45607</v>
      </c>
      <c r="F1046" s="21" t="str">
        <f>Sales[Store_ID]</f>
        <v>STORE17</v>
      </c>
      <c r="G1046" s="21" t="str">
        <f t="array" ref="G1046">INDEX(Store[Store_Name],MATCH(F1046,Store[Store_ID],0))</f>
        <v>Holloway Ltd</v>
      </c>
      <c r="H1046" s="21" t="str">
        <f>Sales[Product_ID]</f>
        <v>PROD61</v>
      </c>
      <c r="I1046" s="21" t="str">
        <f>VLOOKUP(H1046,Products[],2)</f>
        <v>Tennis Ball 3-Pack</v>
      </c>
      <c r="J1046" s="24">
        <f>Sales[Total_Amount]</f>
        <v>599.471</v>
      </c>
      <c r="K1046" s="21" t="str">
        <f t="shared" si="1"/>
        <v>Nov</v>
      </c>
      <c r="L1046" s="21">
        <f t="shared" si="2"/>
        <v>2024</v>
      </c>
      <c r="N1046" s="33"/>
      <c r="O1046" s="34"/>
    </row>
    <row r="1047" ht="22.5" customHeight="1">
      <c r="A1047" s="21" t="s">
        <v>3012</v>
      </c>
      <c r="B1047" s="21" t="s">
        <v>534</v>
      </c>
      <c r="C1047" s="21" t="str">
        <f t="array" ref="C1047">XLOOKUP(B1047,Customer[Customer_ID],Customer[Name(Cleaned)])</f>
        <v>Maria Sanchez</v>
      </c>
      <c r="D1047" s="22" t="str">
        <f>VLOOKUP(B1047,Customer[#ALL],6)</f>
        <v>Female</v>
      </c>
      <c r="E1047" s="23">
        <f>Sales[Order_Date]</f>
        <v>45382</v>
      </c>
      <c r="F1047" s="21" t="str">
        <f>Sales[Store_ID]</f>
        <v>STORE13</v>
      </c>
      <c r="G1047" s="21" t="str">
        <f t="array" ref="G1047">INDEX(Store[Store_Name],MATCH(F1047,Store[Store_ID],0))</f>
        <v>Gardner, Humphrey and Contreras</v>
      </c>
      <c r="H1047" s="21" t="str">
        <f>Sales[Product_ID]</f>
        <v>PROD96</v>
      </c>
      <c r="I1047" s="21" t="str">
        <f>VLOOKUP(H1047,Products[],2)</f>
        <v>Women's Formal Blazer</v>
      </c>
      <c r="J1047" s="24">
        <f>Sales[Total_Amount]</f>
        <v>1070.762</v>
      </c>
      <c r="K1047" s="21" t="str">
        <f t="shared" si="1"/>
        <v>Mar</v>
      </c>
      <c r="L1047" s="21">
        <f t="shared" si="2"/>
        <v>2024</v>
      </c>
      <c r="N1047" s="33"/>
      <c r="O1047" s="34"/>
    </row>
    <row r="1048" ht="22.5" customHeight="1">
      <c r="A1048" s="21" t="s">
        <v>3013</v>
      </c>
      <c r="B1048" s="21" t="s">
        <v>1032</v>
      </c>
      <c r="C1048" s="21" t="str">
        <f t="array" ref="C1048">XLOOKUP(B1048,Customer[Customer_ID],Customer[Name(Cleaned)])</f>
        <v>Kristy Dunlap</v>
      </c>
      <c r="D1048" s="22" t="str">
        <f>VLOOKUP(B1048,Customer[#ALL],6)</f>
        <v>Male</v>
      </c>
      <c r="E1048" s="23">
        <f>Sales[Order_Date]</f>
        <v>45618</v>
      </c>
      <c r="F1048" s="21" t="str">
        <f>Sales[Store_ID]</f>
        <v>STORE10</v>
      </c>
      <c r="G1048" s="21" t="str">
        <f t="array" ref="G1048">INDEX(Store[Store_Name],MATCH(F1048,Store[Store_ID],0))</f>
        <v>Hill, Wagner and Ballard</v>
      </c>
      <c r="H1048" s="21" t="str">
        <f>Sales[Product_ID]</f>
        <v>PROD49</v>
      </c>
      <c r="I1048" s="21" t="str">
        <f>VLOOKUP(H1048,Products[],2)</f>
        <v>Men's Roll-On Perfume</v>
      </c>
      <c r="J1048" s="24">
        <f>Sales[Total_Amount]</f>
        <v>2184.582</v>
      </c>
      <c r="K1048" s="21" t="str">
        <f t="shared" si="1"/>
        <v>Nov</v>
      </c>
      <c r="L1048" s="21">
        <f t="shared" si="2"/>
        <v>2024</v>
      </c>
      <c r="N1048" s="33"/>
      <c r="O1048" s="34"/>
    </row>
    <row r="1049" ht="22.5" customHeight="1">
      <c r="A1049" s="21" t="s">
        <v>3014</v>
      </c>
      <c r="B1049" s="21" t="s">
        <v>1532</v>
      </c>
      <c r="C1049" s="21" t="str">
        <f t="array" ref="C1049">XLOOKUP(B1049,Customer[Customer_ID],Customer[Name(Cleaned)])</f>
        <v>Amanda Powell</v>
      </c>
      <c r="D1049" s="22" t="str">
        <f>VLOOKUP(B1049,Customer[#ALL],6)</f>
        <v>Female</v>
      </c>
      <c r="E1049" s="23">
        <f>Sales[Order_Date]</f>
        <v>45793</v>
      </c>
      <c r="F1049" s="21" t="str">
        <f>Sales[Store_ID]</f>
        <v>STORE3</v>
      </c>
      <c r="G1049" s="21" t="str">
        <f t="array" ref="G1049">INDEX(Store[Store_Name],MATCH(F1049,Store[Store_ID],0))</f>
        <v>Johnson-Wright</v>
      </c>
      <c r="H1049" s="21" t="str">
        <f>Sales[Product_ID]</f>
        <v>PROD98</v>
      </c>
      <c r="I1049" s="21" t="str">
        <f>VLOOKUP(H1049,Products[],2)</f>
        <v>Portable Bluetooth Speaker</v>
      </c>
      <c r="J1049" s="24">
        <f>Sales[Total_Amount]</f>
        <v>591.7032</v>
      </c>
      <c r="K1049" s="21" t="str">
        <f t="shared" si="1"/>
        <v>May</v>
      </c>
      <c r="L1049" s="21">
        <f t="shared" si="2"/>
        <v>2025</v>
      </c>
      <c r="N1049" s="33"/>
      <c r="O1049" s="34"/>
    </row>
    <row r="1050" ht="22.5" customHeight="1">
      <c r="A1050" s="21" t="s">
        <v>3015</v>
      </c>
      <c r="B1050" s="21" t="s">
        <v>549</v>
      </c>
      <c r="C1050" s="21" t="str">
        <f t="array" ref="C1050">XLOOKUP(B1050,Customer[Customer_ID],Customer[Name(Cleaned)])</f>
        <v>Cynthia Morris</v>
      </c>
      <c r="D1050" s="22" t="str">
        <f>VLOOKUP(B1050,Customer[#ALL],6)</f>
        <v>Male</v>
      </c>
      <c r="E1050" s="23">
        <f>Sales[Order_Date]</f>
        <v>45590</v>
      </c>
      <c r="F1050" s="21" t="str">
        <f>Sales[Store_ID]</f>
        <v>STORE2</v>
      </c>
      <c r="G1050" s="21" t="str">
        <f t="array" ref="G1050">INDEX(Store[Store_Name],MATCH(F1050,Store[Store_ID],0))</f>
        <v>Black-Horn</v>
      </c>
      <c r="H1050" s="21" t="str">
        <f>Sales[Product_ID]</f>
        <v>PROD57</v>
      </c>
      <c r="I1050" s="21" t="str">
        <f>VLOOKUP(H1050,Products[],2)</f>
        <v>Foam Roller</v>
      </c>
      <c r="J1050" s="24">
        <f>Sales[Total_Amount]</f>
        <v>2504.067</v>
      </c>
      <c r="K1050" s="21" t="str">
        <f t="shared" si="1"/>
        <v>Oct</v>
      </c>
      <c r="L1050" s="21">
        <f t="shared" si="2"/>
        <v>2024</v>
      </c>
      <c r="N1050" s="33"/>
      <c r="O1050" s="34"/>
    </row>
    <row r="1051" ht="22.5" customHeight="1">
      <c r="A1051" s="21" t="s">
        <v>3016</v>
      </c>
      <c r="B1051" s="21" t="s">
        <v>848</v>
      </c>
      <c r="C1051" s="21" t="str">
        <f t="array" ref="C1051">XLOOKUP(B1051,Customer[Customer_ID],Customer[Name(Cleaned)])</f>
        <v>Carol Bishop</v>
      </c>
      <c r="D1051" s="22" t="str">
        <f>VLOOKUP(B1051,Customer[#ALL],6)</f>
        <v>Male</v>
      </c>
      <c r="E1051" s="23">
        <f>Sales[Order_Date]</f>
        <v>45679</v>
      </c>
      <c r="F1051" s="21" t="str">
        <f>Sales[Store_ID]</f>
        <v>STORE10</v>
      </c>
      <c r="G1051" s="21" t="str">
        <f t="array" ref="G1051">INDEX(Store[Store_Name],MATCH(F1051,Store[Store_ID],0))</f>
        <v>Hill, Wagner and Ballard</v>
      </c>
      <c r="H1051" s="21" t="str">
        <f>Sales[Product_ID]</f>
        <v>PROD80</v>
      </c>
      <c r="I1051" s="21" t="str">
        <f>VLOOKUP(H1051,Products[],2)</f>
        <v>Wall-Mounted Spice Rack</v>
      </c>
      <c r="J1051" s="24">
        <f>Sales[Total_Amount]</f>
        <v>270.5164</v>
      </c>
      <c r="K1051" s="21" t="str">
        <f t="shared" si="1"/>
        <v>Jan</v>
      </c>
      <c r="L1051" s="21">
        <f t="shared" si="2"/>
        <v>2025</v>
      </c>
      <c r="N1051" s="33"/>
      <c r="O1051" s="34"/>
    </row>
    <row r="1052" ht="22.5" customHeight="1">
      <c r="A1052" s="21" t="s">
        <v>3017</v>
      </c>
      <c r="B1052" s="21" t="s">
        <v>890</v>
      </c>
      <c r="C1052" s="21" t="str">
        <f t="array" ref="C1052">XLOOKUP(B1052,Customer[Customer_ID],Customer[Name(Cleaned)])</f>
        <v>Shannon Miller</v>
      </c>
      <c r="D1052" s="22" t="str">
        <f>VLOOKUP(B1052,Customer[#ALL],6)</f>
        <v>Female</v>
      </c>
      <c r="E1052" s="23">
        <f>Sales[Order_Date]</f>
        <v>45814</v>
      </c>
      <c r="F1052" s="21" t="str">
        <f>Sales[Store_ID]</f>
        <v>STORE9</v>
      </c>
      <c r="G1052" s="21" t="str">
        <f t="array" ref="G1052">INDEX(Store[Store_Name],MATCH(F1052,Store[Store_ID],0))</f>
        <v>Moore, Padilla and Butler</v>
      </c>
      <c r="H1052" s="21" t="str">
        <f>Sales[Product_ID]</f>
        <v>PROD56</v>
      </c>
      <c r="I1052" s="21" t="str">
        <f>VLOOKUP(H1052,Products[],2)</f>
        <v>Premium Blanket Throw</v>
      </c>
      <c r="J1052" s="24">
        <f>Sales[Total_Amount]</f>
        <v>1128.732</v>
      </c>
      <c r="K1052" s="21" t="str">
        <f t="shared" si="1"/>
        <v>Jun</v>
      </c>
      <c r="L1052" s="21">
        <f t="shared" si="2"/>
        <v>2025</v>
      </c>
      <c r="N1052" s="33"/>
      <c r="O1052" s="34"/>
    </row>
    <row r="1053" ht="22.5" customHeight="1">
      <c r="A1053" s="21" t="s">
        <v>3018</v>
      </c>
      <c r="B1053" s="21" t="s">
        <v>343</v>
      </c>
      <c r="C1053" s="21" t="str">
        <f t="array" ref="C1053">XLOOKUP(B1053,Customer[Customer_ID],Customer[Name(Cleaned)])</f>
        <v>Christy Vasquez</v>
      </c>
      <c r="D1053" s="22" t="str">
        <f>VLOOKUP(B1053,Customer[#ALL],6)</f>
        <v>Male</v>
      </c>
      <c r="E1053" s="23">
        <f>Sales[Order_Date]</f>
        <v>45795</v>
      </c>
      <c r="F1053" s="21" t="str">
        <f>Sales[Store_ID]</f>
        <v>STORE2</v>
      </c>
      <c r="G1053" s="21" t="str">
        <f t="array" ref="G1053">INDEX(Store[Store_Name],MATCH(F1053,Store[Store_ID],0))</f>
        <v>Black-Horn</v>
      </c>
      <c r="H1053" s="21" t="str">
        <f>Sales[Product_ID]</f>
        <v>PROD38</v>
      </c>
      <c r="I1053" s="21" t="str">
        <f>VLOOKUP(H1053,Products[],2)</f>
        <v>Sports Water Hydration Pack</v>
      </c>
      <c r="J1053" s="24">
        <f>Sales[Total_Amount]</f>
        <v>1119.4092</v>
      </c>
      <c r="K1053" s="21" t="str">
        <f t="shared" si="1"/>
        <v>May</v>
      </c>
      <c r="L1053" s="21">
        <f t="shared" si="2"/>
        <v>2025</v>
      </c>
      <c r="N1053" s="33"/>
      <c r="O1053" s="34"/>
    </row>
    <row r="1054" ht="22.5" customHeight="1">
      <c r="A1054" s="21" t="s">
        <v>3019</v>
      </c>
      <c r="B1054" s="21" t="s">
        <v>466</v>
      </c>
      <c r="C1054" s="21" t="str">
        <f t="array" ref="C1054">XLOOKUP(B1054,Customer[Customer_ID],Customer[Name(Cleaned)])</f>
        <v>Hayley Pope</v>
      </c>
      <c r="D1054" s="22" t="str">
        <f>VLOOKUP(B1054,Customer[#ALL],6)</f>
        <v>Male</v>
      </c>
      <c r="E1054" s="23">
        <f>Sales[Order_Date]</f>
        <v>45797</v>
      </c>
      <c r="F1054" s="21" t="str">
        <f>Sales[Store_ID]</f>
        <v>STORE17</v>
      </c>
      <c r="G1054" s="21" t="str">
        <f t="array" ref="G1054">INDEX(Store[Store_Name],MATCH(F1054,Store[Store_ID],0))</f>
        <v>Holloway Ltd</v>
      </c>
      <c r="H1054" s="21" t="str">
        <f>Sales[Product_ID]</f>
        <v>PROD94</v>
      </c>
      <c r="I1054" s="21" t="str">
        <f>VLOOKUP(H1054,Products[],2)</f>
        <v>Vitamin E Body Lotion</v>
      </c>
      <c r="J1054" s="24">
        <f>Sales[Total_Amount]</f>
        <v>259.3763</v>
      </c>
      <c r="K1054" s="21" t="str">
        <f t="shared" si="1"/>
        <v>May</v>
      </c>
      <c r="L1054" s="21">
        <f t="shared" si="2"/>
        <v>2025</v>
      </c>
      <c r="N1054" s="33"/>
      <c r="O1054" s="34"/>
    </row>
    <row r="1055" ht="22.5" customHeight="1">
      <c r="A1055" s="21" t="s">
        <v>3020</v>
      </c>
      <c r="B1055" s="21" t="s">
        <v>1191</v>
      </c>
      <c r="C1055" s="21" t="str">
        <f t="array" ref="C1055">XLOOKUP(B1055,Customer[Customer_ID],Customer[Name(Cleaned)])</f>
        <v>Michele Burke</v>
      </c>
      <c r="D1055" s="22" t="str">
        <f>VLOOKUP(B1055,Customer[#ALL],6)</f>
        <v>Female</v>
      </c>
      <c r="E1055" s="23">
        <f>Sales[Order_Date]</f>
        <v>45607</v>
      </c>
      <c r="F1055" s="21" t="str">
        <f>Sales[Store_ID]</f>
        <v>STORE13</v>
      </c>
      <c r="G1055" s="21" t="str">
        <f t="array" ref="G1055">INDEX(Store[Store_Name],MATCH(F1055,Store[Store_ID],0))</f>
        <v>Gardner, Humphrey and Contreras</v>
      </c>
      <c r="H1055" s="21" t="str">
        <f>Sales[Product_ID]</f>
        <v>PROD9</v>
      </c>
      <c r="I1055" s="21" t="str">
        <f>VLOOKUP(H1055,Products[],2)</f>
        <v>Face Foundation Kit</v>
      </c>
      <c r="J1055" s="24">
        <f>Sales[Total_Amount]</f>
        <v>729.39</v>
      </c>
      <c r="K1055" s="21" t="str">
        <f t="shared" si="1"/>
        <v>Nov</v>
      </c>
      <c r="L1055" s="21">
        <f t="shared" si="2"/>
        <v>2024</v>
      </c>
      <c r="N1055" s="33"/>
      <c r="O1055" s="34"/>
    </row>
    <row r="1056" ht="22.5" customHeight="1">
      <c r="A1056" s="21" t="s">
        <v>3021</v>
      </c>
      <c r="B1056" s="21" t="s">
        <v>752</v>
      </c>
      <c r="C1056" s="21" t="str">
        <f t="array" ref="C1056">XLOOKUP(B1056,Customer[Customer_ID],Customer[Name(Cleaned)])</f>
        <v>Tanner Thompson</v>
      </c>
      <c r="D1056" s="22" t="str">
        <f>VLOOKUP(B1056,Customer[#ALL],6)</f>
        <v>Male</v>
      </c>
      <c r="E1056" s="23">
        <f>Sales[Order_Date]</f>
        <v>45614</v>
      </c>
      <c r="F1056" s="21" t="str">
        <f>Sales[Store_ID]</f>
        <v>STORE11</v>
      </c>
      <c r="G1056" s="21" t="str">
        <f t="array" ref="G1056">INDEX(Store[Store_Name],MATCH(F1056,Store[Store_ID],0))</f>
        <v>Aguirre-Keller</v>
      </c>
      <c r="H1056" s="21" t="str">
        <f>Sales[Product_ID]</f>
        <v>PROD59</v>
      </c>
      <c r="I1056" s="21" t="str">
        <f>VLOOKUP(H1056,Products[],2)</f>
        <v>Men's Hair Styling Gel</v>
      </c>
      <c r="J1056" s="24">
        <f>Sales[Total_Amount]</f>
        <v>591.3072</v>
      </c>
      <c r="K1056" s="21" t="str">
        <f t="shared" si="1"/>
        <v>Nov</v>
      </c>
      <c r="L1056" s="21">
        <f t="shared" si="2"/>
        <v>2024</v>
      </c>
      <c r="N1056" s="33"/>
      <c r="O1056" s="34"/>
    </row>
    <row r="1057" ht="22.5" customHeight="1">
      <c r="A1057" s="21" t="s">
        <v>3022</v>
      </c>
      <c r="B1057" s="21" t="s">
        <v>1335</v>
      </c>
      <c r="C1057" s="21" t="str">
        <f t="array" ref="C1057">XLOOKUP(B1057,Customer[Customer_ID],Customer[Name(Cleaned)])</f>
        <v>Bryce Hawkins</v>
      </c>
      <c r="D1057" s="22" t="str">
        <f>VLOOKUP(B1057,Customer[#ALL],6)</f>
        <v>Female</v>
      </c>
      <c r="E1057" s="23">
        <f>Sales[Order_Date]</f>
        <v>45293</v>
      </c>
      <c r="F1057" s="21" t="str">
        <f>Sales[Store_ID]</f>
        <v>STORE10</v>
      </c>
      <c r="G1057" s="21" t="str">
        <f t="array" ref="G1057">INDEX(Store[Store_Name],MATCH(F1057,Store[Store_ID],0))</f>
        <v>Hill, Wagner and Ballard</v>
      </c>
      <c r="H1057" s="21" t="str">
        <f>Sales[Product_ID]</f>
        <v>PROD94</v>
      </c>
      <c r="I1057" s="21" t="str">
        <f>VLOOKUP(H1057,Products[],2)</f>
        <v>Vitamin E Body Lotion</v>
      </c>
      <c r="J1057" s="24">
        <f>Sales[Total_Amount]</f>
        <v>340.2</v>
      </c>
      <c r="K1057" s="21" t="str">
        <f t="shared" si="1"/>
        <v>Jan</v>
      </c>
      <c r="L1057" s="21">
        <f t="shared" si="2"/>
        <v>2024</v>
      </c>
      <c r="N1057" s="33"/>
      <c r="O1057" s="34"/>
    </row>
    <row r="1058" ht="22.5" customHeight="1">
      <c r="A1058" s="21" t="s">
        <v>3023</v>
      </c>
      <c r="B1058" s="21" t="s">
        <v>745</v>
      </c>
      <c r="C1058" s="21" t="str">
        <f t="array" ref="C1058">XLOOKUP(B1058,Customer[Customer_ID],Customer[Name(Cleaned)])</f>
        <v>Alexis Castaneda</v>
      </c>
      <c r="D1058" s="22" t="str">
        <f>VLOOKUP(B1058,Customer[#ALL],6)</f>
        <v>Female</v>
      </c>
      <c r="E1058" s="23">
        <f>Sales[Order_Date]</f>
        <v>45301</v>
      </c>
      <c r="F1058" s="21" t="str">
        <f>Sales[Store_ID]</f>
        <v>STORE17</v>
      </c>
      <c r="G1058" s="21" t="str">
        <f t="array" ref="G1058">INDEX(Store[Store_Name],MATCH(F1058,Store[Store_ID],0))</f>
        <v>Holloway Ltd</v>
      </c>
      <c r="H1058" s="21" t="str">
        <f>Sales[Product_ID]</f>
        <v>PROD7</v>
      </c>
      <c r="I1058" s="21" t="str">
        <f>VLOOKUP(H1058,Products[],2)</f>
        <v>Men's Sports Shorts</v>
      </c>
      <c r="J1058" s="24">
        <f>Sales[Total_Amount]</f>
        <v>2779.5932</v>
      </c>
      <c r="K1058" s="21" t="str">
        <f t="shared" si="1"/>
        <v>Jan</v>
      </c>
      <c r="L1058" s="21">
        <f t="shared" si="2"/>
        <v>2024</v>
      </c>
      <c r="N1058" s="33"/>
      <c r="O1058" s="34"/>
    </row>
    <row r="1059" ht="22.5" customHeight="1">
      <c r="A1059" s="21" t="s">
        <v>3024</v>
      </c>
      <c r="B1059" s="21" t="s">
        <v>1341</v>
      </c>
      <c r="C1059" s="21" t="str">
        <f t="array" ref="C1059">XLOOKUP(B1059,Customer[Customer_ID],Customer[Name(Cleaned)])</f>
        <v>Jose Stewart</v>
      </c>
      <c r="D1059" s="22" t="str">
        <f>VLOOKUP(B1059,Customer[#ALL],6)</f>
        <v>Male</v>
      </c>
      <c r="E1059" s="23">
        <f>Sales[Order_Date]</f>
        <v>45290</v>
      </c>
      <c r="F1059" s="21" t="str">
        <f>Sales[Store_ID]</f>
        <v>STORE17</v>
      </c>
      <c r="G1059" s="21" t="str">
        <f t="array" ref="G1059">INDEX(Store[Store_Name],MATCH(F1059,Store[Store_ID],0))</f>
        <v>Holloway Ltd</v>
      </c>
      <c r="H1059" s="21" t="str">
        <f>Sales[Product_ID]</f>
        <v>PROD60</v>
      </c>
      <c r="I1059" s="21" t="str">
        <f>VLOOKUP(H1059,Products[],2)</f>
        <v>Luxury Perfume Spray</v>
      </c>
      <c r="J1059" s="24">
        <f>Sales[Total_Amount]</f>
        <v>862.5143</v>
      </c>
      <c r="K1059" s="21" t="str">
        <f t="shared" si="1"/>
        <v>Dec</v>
      </c>
      <c r="L1059" s="21">
        <f t="shared" si="2"/>
        <v>2023</v>
      </c>
      <c r="N1059" s="33"/>
      <c r="O1059" s="34"/>
    </row>
    <row r="1060" ht="22.5" customHeight="1">
      <c r="A1060" s="21" t="s">
        <v>3025</v>
      </c>
      <c r="B1060" s="21" t="s">
        <v>346</v>
      </c>
      <c r="C1060" s="21" t="str">
        <f t="array" ref="C1060">XLOOKUP(B1060,Customer[Customer_ID],Customer[Name(Cleaned)])</f>
        <v>David Patterson</v>
      </c>
      <c r="D1060" s="22" t="str">
        <f>VLOOKUP(B1060,Customer[#ALL],6)</f>
        <v>Male</v>
      </c>
      <c r="E1060" s="23">
        <f>Sales[Order_Date]</f>
        <v>45311</v>
      </c>
      <c r="F1060" s="21" t="str">
        <f>Sales[Store_ID]</f>
        <v>STORE1</v>
      </c>
      <c r="G1060" s="21" t="str">
        <f t="array" ref="G1060">INDEX(Store[Store_Name],MATCH(F1060,Store[Store_ID],0))</f>
        <v>Martinez, Adkins and Johnson</v>
      </c>
      <c r="H1060" s="21" t="str">
        <f>Sales[Product_ID]</f>
        <v>PROD73</v>
      </c>
      <c r="I1060" s="21" t="str">
        <f>VLOOKUP(H1060,Products[],2)</f>
        <v>Shin Guards – Adult</v>
      </c>
      <c r="J1060" s="24">
        <f>Sales[Total_Amount]</f>
        <v>548.5224</v>
      </c>
      <c r="K1060" s="21" t="str">
        <f t="shared" si="1"/>
        <v>Jan</v>
      </c>
      <c r="L1060" s="21">
        <f t="shared" si="2"/>
        <v>2024</v>
      </c>
      <c r="N1060" s="33"/>
      <c r="O1060" s="34"/>
    </row>
    <row r="1061" ht="22.5" customHeight="1">
      <c r="A1061" s="21" t="s">
        <v>3026</v>
      </c>
      <c r="B1061" s="21" t="s">
        <v>213</v>
      </c>
      <c r="C1061" s="21" t="str">
        <f t="array" ref="C1061">XLOOKUP(B1061,Customer[Customer_ID],Customer[Name(Cleaned)])</f>
        <v>Katherine Dorsey</v>
      </c>
      <c r="D1061" s="22" t="str">
        <f>VLOOKUP(B1061,Customer[#ALL],6)</f>
        <v>Female</v>
      </c>
      <c r="E1061" s="23">
        <f>Sales[Order_Date]</f>
        <v>45702</v>
      </c>
      <c r="F1061" s="21" t="str">
        <f>Sales[Store_ID]</f>
        <v>STORE11</v>
      </c>
      <c r="G1061" s="21" t="str">
        <f t="array" ref="G1061">INDEX(Store[Store_Name],MATCH(F1061,Store[Store_ID],0))</f>
        <v>Aguirre-Keller</v>
      </c>
      <c r="H1061" s="21" t="str">
        <f>Sales[Product_ID]</f>
        <v>PROD62</v>
      </c>
      <c r="I1061" s="21" t="str">
        <f>VLOOKUP(H1061,Products[],2)</f>
        <v>Laptop Cooling Pad</v>
      </c>
      <c r="J1061" s="24">
        <f>Sales[Total_Amount]</f>
        <v>1034.7036</v>
      </c>
      <c r="K1061" s="21" t="str">
        <f t="shared" si="1"/>
        <v>Feb</v>
      </c>
      <c r="L1061" s="21">
        <f t="shared" si="2"/>
        <v>2025</v>
      </c>
      <c r="N1061" s="33"/>
      <c r="O1061" s="34"/>
    </row>
    <row r="1062" ht="22.5" customHeight="1">
      <c r="A1062" s="21" t="s">
        <v>3027</v>
      </c>
      <c r="B1062" s="21" t="s">
        <v>1020</v>
      </c>
      <c r="C1062" s="21" t="str">
        <f t="array" ref="C1062">XLOOKUP(B1062,Customer[Customer_ID],Customer[Name(Cleaned)])</f>
        <v>Casey Simpson</v>
      </c>
      <c r="D1062" s="22" t="str">
        <f>VLOOKUP(B1062,Customer[#ALL],6)</f>
        <v>Female</v>
      </c>
      <c r="E1062" s="23">
        <f>Sales[Order_Date]</f>
        <v>45525</v>
      </c>
      <c r="F1062" s="21" t="str">
        <f>Sales[Store_ID]</f>
        <v>STORE13</v>
      </c>
      <c r="G1062" s="21" t="str">
        <f t="array" ref="G1062">INDEX(Store[Store_Name],MATCH(F1062,Store[Store_ID],0))</f>
        <v>Gardner, Humphrey and Contreras</v>
      </c>
      <c r="H1062" s="21" t="str">
        <f>Sales[Product_ID]</f>
        <v>PROD52</v>
      </c>
      <c r="I1062" s="21" t="str">
        <f>VLOOKUP(H1062,Products[],2)</f>
        <v>Rugby Ball</v>
      </c>
      <c r="J1062" s="24">
        <f>Sales[Total_Amount]</f>
        <v>1532.3904</v>
      </c>
      <c r="K1062" s="21" t="str">
        <f t="shared" si="1"/>
        <v>Aug</v>
      </c>
      <c r="L1062" s="21">
        <f t="shared" si="2"/>
        <v>2024</v>
      </c>
      <c r="N1062" s="33"/>
      <c r="O1062" s="34"/>
    </row>
    <row r="1063" ht="22.5" customHeight="1">
      <c r="A1063" s="21" t="s">
        <v>3028</v>
      </c>
      <c r="B1063" s="21" t="s">
        <v>303</v>
      </c>
      <c r="C1063" s="21" t="str">
        <f t="array" ref="C1063">XLOOKUP(B1063,Customer[Customer_ID],Customer[Name(Cleaned)])</f>
        <v>Krystal Ford</v>
      </c>
      <c r="D1063" s="22" t="str">
        <f>VLOOKUP(B1063,Customer[#ALL],6)</f>
        <v>Male</v>
      </c>
      <c r="E1063" s="23">
        <f>Sales[Order_Date]</f>
        <v>45780</v>
      </c>
      <c r="F1063" s="21" t="str">
        <f>Sales[Store_ID]</f>
        <v>STORE17</v>
      </c>
      <c r="G1063" s="21" t="str">
        <f t="array" ref="G1063">INDEX(Store[Store_Name],MATCH(F1063,Store[Store_ID],0))</f>
        <v>Holloway Ltd</v>
      </c>
      <c r="H1063" s="21" t="str">
        <f>Sales[Product_ID]</f>
        <v>PROD56</v>
      </c>
      <c r="I1063" s="21" t="str">
        <f>VLOOKUP(H1063,Products[],2)</f>
        <v>Premium Blanket Throw</v>
      </c>
      <c r="J1063" s="24">
        <f>Sales[Total_Amount]</f>
        <v>1648.668</v>
      </c>
      <c r="K1063" s="21" t="str">
        <f t="shared" si="1"/>
        <v>May</v>
      </c>
      <c r="L1063" s="21">
        <f t="shared" si="2"/>
        <v>2025</v>
      </c>
      <c r="N1063" s="33"/>
      <c r="O1063" s="34"/>
    </row>
    <row r="1064" ht="22.5" customHeight="1">
      <c r="A1064" s="21" t="s">
        <v>3029</v>
      </c>
      <c r="B1064" s="21" t="s">
        <v>736</v>
      </c>
      <c r="C1064" s="21" t="str">
        <f t="array" ref="C1064">XLOOKUP(B1064,Customer[Customer_ID],Customer[Name(Cleaned)])</f>
        <v>Robert Harris</v>
      </c>
      <c r="D1064" s="22" t="str">
        <f>VLOOKUP(B1064,Customer[#ALL],6)</f>
        <v>Female</v>
      </c>
      <c r="E1064" s="23">
        <f>Sales[Order_Date]</f>
        <v>45819</v>
      </c>
      <c r="F1064" s="21" t="str">
        <f>Sales[Store_ID]</f>
        <v>STORE3</v>
      </c>
      <c r="G1064" s="21" t="str">
        <f t="array" ref="G1064">INDEX(Store[Store_Name],MATCH(F1064,Store[Store_ID],0))</f>
        <v>Johnson-Wright</v>
      </c>
      <c r="H1064" s="21" t="str">
        <f>Sales[Product_ID]</f>
        <v>PROD59</v>
      </c>
      <c r="I1064" s="21" t="str">
        <f>VLOOKUP(H1064,Products[],2)</f>
        <v>Men's Hair Styling Gel</v>
      </c>
      <c r="J1064" s="24">
        <f>Sales[Total_Amount]</f>
        <v>786.0314</v>
      </c>
      <c r="K1064" s="21" t="str">
        <f t="shared" si="1"/>
        <v>Jun</v>
      </c>
      <c r="L1064" s="21">
        <f t="shared" si="2"/>
        <v>2025</v>
      </c>
      <c r="N1064" s="33"/>
      <c r="O1064" s="34"/>
    </row>
    <row r="1065" ht="22.5" customHeight="1">
      <c r="A1065" s="21" t="s">
        <v>3030</v>
      </c>
      <c r="B1065" s="21" t="s">
        <v>62</v>
      </c>
      <c r="C1065" s="21" t="str">
        <f t="array" ref="C1065">XLOOKUP(B1065,Customer[Customer_ID],Customer[Name(Cleaned)])</f>
        <v>Brian Lopez</v>
      </c>
      <c r="D1065" s="22" t="str">
        <f>VLOOKUP(B1065,Customer[#ALL],6)</f>
        <v>Male</v>
      </c>
      <c r="E1065" s="23">
        <f>Sales[Order_Date]</f>
        <v>45863</v>
      </c>
      <c r="F1065" s="21" t="str">
        <f>Sales[Store_ID]</f>
        <v>STORE8</v>
      </c>
      <c r="G1065" s="21" t="str">
        <f t="array" ref="G1065">INDEX(Store[Store_Name],MATCH(F1065,Store[Store_ID],0))</f>
        <v>Bean, Jones and Park</v>
      </c>
      <c r="H1065" s="21" t="str">
        <f>Sales[Product_ID]</f>
        <v>PROD66</v>
      </c>
      <c r="I1065" s="21" t="str">
        <f>VLOOKUP(H1065,Products[],2)</f>
        <v>Women's Hair Dryer Brush</v>
      </c>
      <c r="J1065" s="24">
        <f>Sales[Total_Amount]</f>
        <v>887.8632</v>
      </c>
      <c r="K1065" s="21" t="str">
        <f t="shared" si="1"/>
        <v>Jul</v>
      </c>
      <c r="L1065" s="21">
        <f t="shared" si="2"/>
        <v>2025</v>
      </c>
      <c r="N1065" s="33"/>
      <c r="O1065" s="34"/>
    </row>
    <row r="1066" ht="22.5" customHeight="1">
      <c r="A1066" s="21" t="s">
        <v>3031</v>
      </c>
      <c r="B1066" s="21" t="s">
        <v>549</v>
      </c>
      <c r="C1066" s="21" t="str">
        <f t="array" ref="C1066">XLOOKUP(B1066,Customer[Customer_ID],Customer[Name(Cleaned)])</f>
        <v>Cynthia Morris</v>
      </c>
      <c r="D1066" s="22" t="str">
        <f>VLOOKUP(B1066,Customer[#ALL],6)</f>
        <v>Male</v>
      </c>
      <c r="E1066" s="23">
        <f>Sales[Order_Date]</f>
        <v>45687</v>
      </c>
      <c r="F1066" s="21" t="str">
        <f>Sales[Store_ID]</f>
        <v>STORE6</v>
      </c>
      <c r="G1066" s="21" t="str">
        <f t="array" ref="G1066">INDEX(Store[Store_Name],MATCH(F1066,Store[Store_ID],0))</f>
        <v>Benson-Elliott</v>
      </c>
      <c r="H1066" s="21" t="str">
        <f>Sales[Product_ID]</f>
        <v>PROD77</v>
      </c>
      <c r="I1066" s="21" t="str">
        <f>VLOOKUP(H1066,Products[],2)</f>
        <v>WiFi Mesh Router</v>
      </c>
      <c r="J1066" s="24">
        <f>Sales[Total_Amount]</f>
        <v>2935.8252</v>
      </c>
      <c r="K1066" s="21" t="str">
        <f t="shared" si="1"/>
        <v>Jan</v>
      </c>
      <c r="L1066" s="21">
        <f t="shared" si="2"/>
        <v>2025</v>
      </c>
      <c r="N1066" s="33"/>
      <c r="O1066" s="34"/>
    </row>
    <row r="1067" ht="22.5" customHeight="1">
      <c r="A1067" s="21" t="s">
        <v>3032</v>
      </c>
      <c r="B1067" s="21" t="s">
        <v>1424</v>
      </c>
      <c r="C1067" s="21" t="str">
        <f t="array" ref="C1067">XLOOKUP(B1067,Customer[Customer_ID],Customer[Name(Cleaned)])</f>
        <v>Julie Powell</v>
      </c>
      <c r="D1067" s="22" t="str">
        <f>VLOOKUP(B1067,Customer[#ALL],6)</f>
        <v>Male</v>
      </c>
      <c r="E1067" s="23">
        <f>Sales[Order_Date]</f>
        <v>45806</v>
      </c>
      <c r="F1067" s="21" t="str">
        <f>Sales[Store_ID]</f>
        <v>STORE9</v>
      </c>
      <c r="G1067" s="21" t="str">
        <f t="array" ref="G1067">INDEX(Store[Store_Name],MATCH(F1067,Store[Store_ID],0))</f>
        <v>Moore, Padilla and Butler</v>
      </c>
      <c r="H1067" s="21" t="str">
        <f>Sales[Product_ID]</f>
        <v>PROD37</v>
      </c>
      <c r="I1067" s="21" t="str">
        <f>VLOOKUP(H1067,Products[],2)</f>
        <v>Men's Casual Sneakers</v>
      </c>
      <c r="J1067" s="24">
        <f>Sales[Total_Amount]</f>
        <v>1882.1952</v>
      </c>
      <c r="K1067" s="21" t="str">
        <f t="shared" si="1"/>
        <v>May</v>
      </c>
      <c r="L1067" s="21">
        <f t="shared" si="2"/>
        <v>2025</v>
      </c>
      <c r="N1067" s="33"/>
      <c r="O1067" s="34"/>
    </row>
    <row r="1068" ht="22.5" customHeight="1">
      <c r="A1068" s="21" t="s">
        <v>3033</v>
      </c>
      <c r="B1068" s="21" t="s">
        <v>272</v>
      </c>
      <c r="C1068" s="21" t="str">
        <f t="array" ref="C1068">XLOOKUP(B1068,Customer[Customer_ID],Customer[Name(Cleaned)])</f>
        <v>Tonya Burch</v>
      </c>
      <c r="D1068" s="22" t="str">
        <f>VLOOKUP(B1068,Customer[#ALL],6)</f>
        <v>Male</v>
      </c>
      <c r="E1068" s="23">
        <f>Sales[Order_Date]</f>
        <v>45216</v>
      </c>
      <c r="F1068" s="21" t="str">
        <f>Sales[Store_ID]</f>
        <v>STORE19</v>
      </c>
      <c r="G1068" s="21" t="str">
        <f t="array" ref="G1068">INDEX(Store[Store_Name],MATCH(F1068,Store[Store_ID],0))</f>
        <v>Mann-Austin</v>
      </c>
      <c r="H1068" s="21" t="str">
        <f>Sales[Product_ID]</f>
        <v>PROD64</v>
      </c>
      <c r="I1068" s="21" t="str">
        <f>VLOOKUP(H1068,Products[],2)</f>
        <v>Matte Lipstick Set</v>
      </c>
      <c r="J1068" s="24">
        <f>Sales[Total_Amount]</f>
        <v>1120.4751</v>
      </c>
      <c r="K1068" s="21" t="str">
        <f t="shared" si="1"/>
        <v>Oct</v>
      </c>
      <c r="L1068" s="21">
        <f t="shared" si="2"/>
        <v>2023</v>
      </c>
      <c r="N1068" s="33"/>
      <c r="O1068" s="34"/>
    </row>
    <row r="1069" ht="22.5" customHeight="1">
      <c r="A1069" s="21" t="s">
        <v>3034</v>
      </c>
      <c r="B1069" s="21" t="s">
        <v>821</v>
      </c>
      <c r="C1069" s="21" t="str">
        <f t="array" ref="C1069">XLOOKUP(B1069,Customer[Customer_ID],Customer[Name(Cleaned)])</f>
        <v>John Mccoy</v>
      </c>
      <c r="D1069" s="22" t="str">
        <f>VLOOKUP(B1069,Customer[#ALL],6)</f>
        <v>Female</v>
      </c>
      <c r="E1069" s="23">
        <f>Sales[Order_Date]</f>
        <v>45639</v>
      </c>
      <c r="F1069" s="21" t="str">
        <f>Sales[Store_ID]</f>
        <v>STORE11</v>
      </c>
      <c r="G1069" s="21" t="str">
        <f t="array" ref="G1069">INDEX(Store[Store_Name],MATCH(F1069,Store[Store_ID],0))</f>
        <v>Aguirre-Keller</v>
      </c>
      <c r="H1069" s="21" t="str">
        <f>Sales[Product_ID]</f>
        <v>PROD43</v>
      </c>
      <c r="I1069" s="21" t="str">
        <f>VLOOKUP(H1069,Products[],2)</f>
        <v>USB External Hard Drive</v>
      </c>
      <c r="J1069" s="24">
        <f>Sales[Total_Amount]</f>
        <v>493.0596</v>
      </c>
      <c r="K1069" s="21" t="str">
        <f t="shared" si="1"/>
        <v>Dec</v>
      </c>
      <c r="L1069" s="21">
        <f t="shared" si="2"/>
        <v>2024</v>
      </c>
      <c r="N1069" s="33"/>
      <c r="O1069" s="34"/>
    </row>
    <row r="1070" ht="22.5" customHeight="1">
      <c r="A1070" s="21" t="s">
        <v>3035</v>
      </c>
      <c r="B1070" s="21" t="s">
        <v>1447</v>
      </c>
      <c r="C1070" s="21" t="str">
        <f t="array" ref="C1070">XLOOKUP(B1070,Customer[Customer_ID],Customer[Name(Cleaned)])</f>
        <v>David Pierce</v>
      </c>
      <c r="D1070" s="22" t="str">
        <f>VLOOKUP(B1070,Customer[#ALL],6)</f>
        <v>Male</v>
      </c>
      <c r="E1070" s="23">
        <f>Sales[Order_Date]</f>
        <v>45904</v>
      </c>
      <c r="F1070" s="21" t="str">
        <f>Sales[Store_ID]</f>
        <v>STORE16</v>
      </c>
      <c r="G1070" s="21" t="str">
        <f t="array" ref="G1070">INDEX(Store[Store_Name],MATCH(F1070,Store[Store_ID],0))</f>
        <v>Frederick-Wright</v>
      </c>
      <c r="H1070" s="21" t="str">
        <f>Sales[Product_ID]</f>
        <v>PROD57</v>
      </c>
      <c r="I1070" s="21" t="str">
        <f>VLOOKUP(H1070,Products[],2)</f>
        <v>Foam Roller</v>
      </c>
      <c r="J1070" s="24">
        <f>Sales[Total_Amount]</f>
        <v>2620.746</v>
      </c>
      <c r="K1070" s="21" t="str">
        <f t="shared" si="1"/>
        <v>Sep</v>
      </c>
      <c r="L1070" s="21">
        <f t="shared" si="2"/>
        <v>2025</v>
      </c>
      <c r="N1070" s="33"/>
      <c r="O1070" s="34"/>
    </row>
    <row r="1071" ht="22.5" customHeight="1">
      <c r="A1071" s="21" t="s">
        <v>3036</v>
      </c>
      <c r="B1071" s="21" t="s">
        <v>478</v>
      </c>
      <c r="C1071" s="21" t="str">
        <f t="array" ref="C1071">XLOOKUP(B1071,Customer[Customer_ID],Customer[Name(Cleaned)])</f>
        <v>Rick Dominguez</v>
      </c>
      <c r="D1071" s="22" t="str">
        <f>VLOOKUP(B1071,Customer[#ALL],6)</f>
        <v>Male</v>
      </c>
      <c r="E1071" s="23">
        <f>Sales[Order_Date]</f>
        <v>45454</v>
      </c>
      <c r="F1071" s="21" t="str">
        <f>Sales[Store_ID]</f>
        <v>STORE19</v>
      </c>
      <c r="G1071" s="21" t="str">
        <f t="array" ref="G1071">INDEX(Store[Store_Name],MATCH(F1071,Store[Store_ID],0))</f>
        <v>Mann-Austin</v>
      </c>
      <c r="H1071" s="21" t="str">
        <f>Sales[Product_ID]</f>
        <v>PROD57</v>
      </c>
      <c r="I1071" s="21" t="str">
        <f>VLOOKUP(H1071,Products[],2)</f>
        <v>Foam Roller</v>
      </c>
      <c r="J1071" s="24">
        <f>Sales[Total_Amount]</f>
        <v>637.374</v>
      </c>
      <c r="K1071" s="21" t="str">
        <f t="shared" si="1"/>
        <v>Jun</v>
      </c>
      <c r="L1071" s="21">
        <f t="shared" si="2"/>
        <v>2024</v>
      </c>
      <c r="N1071" s="33"/>
      <c r="O1071" s="34"/>
    </row>
    <row r="1072" ht="22.5" customHeight="1">
      <c r="A1072" s="21" t="s">
        <v>3037</v>
      </c>
      <c r="B1072" s="21" t="s">
        <v>383</v>
      </c>
      <c r="C1072" s="21" t="str">
        <f t="array" ref="C1072">XLOOKUP(B1072,Customer[Customer_ID],Customer[Name(Cleaned)])</f>
        <v>Howard Summers</v>
      </c>
      <c r="D1072" s="22" t="str">
        <f>VLOOKUP(B1072,Customer[#ALL],6)</f>
        <v>Male</v>
      </c>
      <c r="E1072" s="23">
        <f>Sales[Order_Date]</f>
        <v>45934</v>
      </c>
      <c r="F1072" s="21" t="str">
        <f>Sales[Store_ID]</f>
        <v>STORE4</v>
      </c>
      <c r="G1072" s="21" t="str">
        <f t="array" ref="G1072">INDEX(Store[Store_Name],MATCH(F1072,Store[Store_ID],0))</f>
        <v>Alexander Group</v>
      </c>
      <c r="H1072" s="21" t="str">
        <f>Sales[Product_ID]</f>
        <v>PROD24</v>
      </c>
      <c r="I1072" s="21" t="str">
        <f>VLOOKUP(H1072,Products[],2)</f>
        <v>Foldable Camping Chair</v>
      </c>
      <c r="J1072" s="24">
        <f>Sales[Total_Amount]</f>
        <v>163.5744</v>
      </c>
      <c r="K1072" s="21" t="str">
        <f t="shared" si="1"/>
        <v>Oct</v>
      </c>
      <c r="L1072" s="21">
        <f t="shared" si="2"/>
        <v>2025</v>
      </c>
      <c r="N1072" s="33"/>
      <c r="O1072" s="34"/>
    </row>
    <row r="1073" ht="22.5" customHeight="1">
      <c r="A1073" s="21" t="s">
        <v>3038</v>
      </c>
      <c r="B1073" s="21" t="s">
        <v>1146</v>
      </c>
      <c r="C1073" s="21" t="str">
        <f t="array" ref="C1073">XLOOKUP(B1073,Customer[Customer_ID],Customer[Name(Cleaned)])</f>
        <v>Natalie Johnson</v>
      </c>
      <c r="D1073" s="22" t="str">
        <f>VLOOKUP(B1073,Customer[#ALL],6)</f>
        <v>Female</v>
      </c>
      <c r="E1073" s="23">
        <f>Sales[Order_Date]</f>
        <v>45401</v>
      </c>
      <c r="F1073" s="21" t="str">
        <f>Sales[Store_ID]</f>
        <v>STORE2</v>
      </c>
      <c r="G1073" s="21" t="str">
        <f t="array" ref="G1073">INDEX(Store[Store_Name],MATCH(F1073,Store[Store_ID],0))</f>
        <v>Black-Horn</v>
      </c>
      <c r="H1073" s="21" t="str">
        <f>Sales[Product_ID]</f>
        <v>PROD16</v>
      </c>
      <c r="I1073" s="21" t="str">
        <f>VLOOKUP(H1073,Products[],2)</f>
        <v>Beard Grooming Kit</v>
      </c>
      <c r="J1073" s="24">
        <f>Sales[Total_Amount]</f>
        <v>1051.736</v>
      </c>
      <c r="K1073" s="21" t="str">
        <f t="shared" si="1"/>
        <v>Apr</v>
      </c>
      <c r="L1073" s="21">
        <f t="shared" si="2"/>
        <v>2024</v>
      </c>
      <c r="N1073" s="33"/>
      <c r="O1073" s="34"/>
    </row>
    <row r="1074" ht="22.5" customHeight="1">
      <c r="A1074" s="21" t="s">
        <v>3039</v>
      </c>
      <c r="B1074" s="21" t="s">
        <v>1384</v>
      </c>
      <c r="C1074" s="21" t="str">
        <f t="array" ref="C1074">XLOOKUP(B1074,Customer[Customer_ID],Customer[Name(Cleaned)])</f>
        <v>Kelli Smith</v>
      </c>
      <c r="D1074" s="22" t="str">
        <f>VLOOKUP(B1074,Customer[#ALL],6)</f>
        <v>Male</v>
      </c>
      <c r="E1074" s="23">
        <f>Sales[Order_Date]</f>
        <v>45770</v>
      </c>
      <c r="F1074" s="21" t="str">
        <f>Sales[Store_ID]</f>
        <v>STORE19</v>
      </c>
      <c r="G1074" s="21" t="str">
        <f t="array" ref="G1074">INDEX(Store[Store_Name],MATCH(F1074,Store[Store_ID],0))</f>
        <v>Mann-Austin</v>
      </c>
      <c r="H1074" s="21" t="str">
        <f>Sales[Product_ID]</f>
        <v>PROD59</v>
      </c>
      <c r="I1074" s="21" t="str">
        <f>VLOOKUP(H1074,Products[],2)</f>
        <v>Men's Hair Styling Gel</v>
      </c>
      <c r="J1074" s="24">
        <f>Sales[Total_Amount]</f>
        <v>3242.1668</v>
      </c>
      <c r="K1074" s="21" t="str">
        <f t="shared" si="1"/>
        <v>Apr</v>
      </c>
      <c r="L1074" s="21">
        <f t="shared" si="2"/>
        <v>2025</v>
      </c>
      <c r="N1074" s="33"/>
      <c r="O1074" s="34"/>
    </row>
    <row r="1075" ht="22.5" customHeight="1">
      <c r="A1075" s="21" t="s">
        <v>3040</v>
      </c>
      <c r="B1075" s="21" t="s">
        <v>1209</v>
      </c>
      <c r="C1075" s="21" t="str">
        <f t="array" ref="C1075">XLOOKUP(B1075,Customer[Customer_ID],Customer[Name(Cleaned)])</f>
        <v>Martha Brown</v>
      </c>
      <c r="D1075" s="22" t="str">
        <f>VLOOKUP(B1075,Customer[#ALL],6)</f>
        <v>Male</v>
      </c>
      <c r="E1075" s="23">
        <f>Sales[Order_Date]</f>
        <v>45405</v>
      </c>
      <c r="F1075" s="21" t="str">
        <f>Sales[Store_ID]</f>
        <v>STORE5</v>
      </c>
      <c r="G1075" s="21" t="str">
        <f t="array" ref="G1075">INDEX(Store[Store_Name],MATCH(F1075,Store[Store_ID],0))</f>
        <v>Gray Ltd</v>
      </c>
      <c r="H1075" s="21" t="str">
        <f>Sales[Product_ID]</f>
        <v>PROD68</v>
      </c>
      <c r="I1075" s="21" t="str">
        <f>VLOOKUP(H1075,Products[],2)</f>
        <v>Wooden Nightstand</v>
      </c>
      <c r="J1075" s="24">
        <f>Sales[Total_Amount]</f>
        <v>322.9899</v>
      </c>
      <c r="K1075" s="21" t="str">
        <f t="shared" si="1"/>
        <v>Apr</v>
      </c>
      <c r="L1075" s="21">
        <f t="shared" si="2"/>
        <v>2024</v>
      </c>
      <c r="N1075" s="33"/>
      <c r="O1075" s="34"/>
    </row>
    <row r="1076" ht="22.5" customHeight="1">
      <c r="A1076" s="21" t="s">
        <v>3041</v>
      </c>
      <c r="B1076" s="21" t="s">
        <v>132</v>
      </c>
      <c r="C1076" s="21" t="str">
        <f t="array" ref="C1076">XLOOKUP(B1076,Customer[Customer_ID],Customer[Name(Cleaned)])</f>
        <v>Jessica Acevedo</v>
      </c>
      <c r="D1076" s="22" t="str">
        <f>VLOOKUP(B1076,Customer[#ALL],6)</f>
        <v>Male</v>
      </c>
      <c r="E1076" s="23">
        <f>Sales[Order_Date]</f>
        <v>45424</v>
      </c>
      <c r="F1076" s="21" t="str">
        <f>Sales[Store_ID]</f>
        <v>STORE9</v>
      </c>
      <c r="G1076" s="21" t="str">
        <f t="array" ref="G1076">INDEX(Store[Store_Name],MATCH(F1076,Store[Store_ID],0))</f>
        <v>Moore, Padilla and Butler</v>
      </c>
      <c r="H1076" s="21" t="str">
        <f>Sales[Product_ID]</f>
        <v>PROD40</v>
      </c>
      <c r="I1076" s="21" t="str">
        <f>VLOOKUP(H1076,Products[],2)</f>
        <v>Noise-Canceling Headphones</v>
      </c>
      <c r="J1076" s="24">
        <f>Sales[Total_Amount]</f>
        <v>51.1384</v>
      </c>
      <c r="K1076" s="21" t="str">
        <f t="shared" si="1"/>
        <v>May</v>
      </c>
      <c r="L1076" s="21">
        <f t="shared" si="2"/>
        <v>2024</v>
      </c>
      <c r="N1076" s="33"/>
      <c r="O1076" s="34"/>
    </row>
    <row r="1077" ht="22.5" customHeight="1">
      <c r="A1077" s="21" t="s">
        <v>3042</v>
      </c>
      <c r="B1077" s="21" t="s">
        <v>142</v>
      </c>
      <c r="C1077" s="21" t="str">
        <f t="array" ref="C1077">XLOOKUP(B1077,Customer[Customer_ID],Customer[Name(Cleaned)])</f>
        <v>Robert Jones Dds</v>
      </c>
      <c r="D1077" s="22" t="str">
        <f>VLOOKUP(B1077,Customer[#ALL],6)</f>
        <v>Female</v>
      </c>
      <c r="E1077" s="23">
        <f>Sales[Order_Date]</f>
        <v>45881</v>
      </c>
      <c r="F1077" s="21" t="str">
        <f>Sales[Store_ID]</f>
        <v>STORE6</v>
      </c>
      <c r="G1077" s="21" t="str">
        <f t="array" ref="G1077">INDEX(Store[Store_Name],MATCH(F1077,Store[Store_ID],0))</f>
        <v>Benson-Elliott</v>
      </c>
      <c r="H1077" s="21" t="str">
        <f>Sales[Product_ID]</f>
        <v>PROD77</v>
      </c>
      <c r="I1077" s="21" t="str">
        <f>VLOOKUP(H1077,Products[],2)</f>
        <v>WiFi Mesh Router</v>
      </c>
      <c r="J1077" s="24">
        <f>Sales[Total_Amount]</f>
        <v>817.7943</v>
      </c>
      <c r="K1077" s="21" t="str">
        <f t="shared" si="1"/>
        <v>Aug</v>
      </c>
      <c r="L1077" s="21">
        <f t="shared" si="2"/>
        <v>2025</v>
      </c>
      <c r="N1077" s="33"/>
      <c r="O1077" s="34"/>
    </row>
    <row r="1078" ht="22.5" customHeight="1">
      <c r="A1078" s="21" t="s">
        <v>3043</v>
      </c>
      <c r="B1078" s="21" t="s">
        <v>135</v>
      </c>
      <c r="C1078" s="21" t="str">
        <f t="array" ref="C1078">XLOOKUP(B1078,Customer[Customer_ID],Customer[Name(Cleaned)])</f>
        <v>Sarah Vance</v>
      </c>
      <c r="D1078" s="22" t="str">
        <f>VLOOKUP(B1078,Customer[#ALL],6)</f>
        <v>Female</v>
      </c>
      <c r="E1078" s="23">
        <f>Sales[Order_Date]</f>
        <v>45794</v>
      </c>
      <c r="F1078" s="21" t="str">
        <f>Sales[Store_ID]</f>
        <v>STORE11</v>
      </c>
      <c r="G1078" s="21" t="str">
        <f t="array" ref="G1078">INDEX(Store[Store_Name],MATCH(F1078,Store[Store_ID],0))</f>
        <v>Aguirre-Keller</v>
      </c>
      <c r="H1078" s="21" t="str">
        <f>Sales[Product_ID]</f>
        <v>PROD67</v>
      </c>
      <c r="I1078" s="21" t="str">
        <f>VLOOKUP(H1078,Products[],2)</f>
        <v>Smart LED Light Strip</v>
      </c>
      <c r="J1078" s="24">
        <f>Sales[Total_Amount]</f>
        <v>1313.1166</v>
      </c>
      <c r="K1078" s="21" t="str">
        <f t="shared" si="1"/>
        <v>May</v>
      </c>
      <c r="L1078" s="21">
        <f t="shared" si="2"/>
        <v>2025</v>
      </c>
      <c r="N1078" s="33"/>
      <c r="O1078" s="34"/>
    </row>
    <row r="1079" ht="22.5" customHeight="1">
      <c r="A1079" s="21" t="s">
        <v>3044</v>
      </c>
      <c r="B1079" s="21" t="s">
        <v>100</v>
      </c>
      <c r="C1079" s="21" t="str">
        <f t="array" ref="C1079">XLOOKUP(B1079,Customer[Customer_ID],Customer[Name(Cleaned)])</f>
        <v>Jeff Martinez</v>
      </c>
      <c r="D1079" s="22" t="str">
        <f>VLOOKUP(B1079,Customer[#ALL],6)</f>
        <v>Male</v>
      </c>
      <c r="E1079" s="23">
        <f>Sales[Order_Date]</f>
        <v>45665</v>
      </c>
      <c r="F1079" s="21" t="str">
        <f>Sales[Store_ID]</f>
        <v>STORE10</v>
      </c>
      <c r="G1079" s="21" t="str">
        <f t="array" ref="G1079">INDEX(Store[Store_Name],MATCH(F1079,Store[Store_ID],0))</f>
        <v>Hill, Wagner and Ballard</v>
      </c>
      <c r="H1079" s="21" t="str">
        <f>Sales[Product_ID]</f>
        <v>PROD12</v>
      </c>
      <c r="I1079" s="21" t="str">
        <f>VLOOKUP(H1079,Products[],2)</f>
        <v>Hair Strengthening Shampoo</v>
      </c>
      <c r="J1079" s="24">
        <f>Sales[Total_Amount]</f>
        <v>509.7591</v>
      </c>
      <c r="K1079" s="21" t="str">
        <f t="shared" si="1"/>
        <v>Jan</v>
      </c>
      <c r="L1079" s="21">
        <f t="shared" si="2"/>
        <v>2025</v>
      </c>
      <c r="N1079" s="33"/>
      <c r="O1079" s="34"/>
    </row>
    <row r="1080" ht="22.5" customHeight="1">
      <c r="A1080" s="21" t="s">
        <v>3045</v>
      </c>
      <c r="B1080" s="21" t="s">
        <v>492</v>
      </c>
      <c r="C1080" s="21" t="str">
        <f t="array" ref="C1080">XLOOKUP(B1080,Customer[Customer_ID],Customer[Name(Cleaned)])</f>
        <v>Maria Ramirez</v>
      </c>
      <c r="D1080" s="22" t="str">
        <f>VLOOKUP(B1080,Customer[#ALL],6)</f>
        <v>Female</v>
      </c>
      <c r="E1080" s="23">
        <f>Sales[Order_Date]</f>
        <v>45793</v>
      </c>
      <c r="F1080" s="21" t="str">
        <f>Sales[Store_ID]</f>
        <v>STORE8</v>
      </c>
      <c r="G1080" s="21" t="str">
        <f t="array" ref="G1080">INDEX(Store[Store_Name],MATCH(F1080,Store[Store_ID],0))</f>
        <v>Bean, Jones and Park</v>
      </c>
      <c r="H1080" s="21" t="str">
        <f>Sales[Product_ID]</f>
        <v>PROD38</v>
      </c>
      <c r="I1080" s="21" t="str">
        <f>VLOOKUP(H1080,Products[],2)</f>
        <v>Sports Water Hydration Pack</v>
      </c>
      <c r="J1080" s="24">
        <f>Sales[Total_Amount]</f>
        <v>78.5868</v>
      </c>
      <c r="K1080" s="21" t="str">
        <f t="shared" si="1"/>
        <v>May</v>
      </c>
      <c r="L1080" s="21">
        <f t="shared" si="2"/>
        <v>2025</v>
      </c>
      <c r="N1080" s="33"/>
      <c r="O1080" s="34"/>
    </row>
    <row r="1081" ht="22.5" customHeight="1">
      <c r="A1081" s="21" t="s">
        <v>3046</v>
      </c>
      <c r="B1081" s="21" t="s">
        <v>472</v>
      </c>
      <c r="C1081" s="21" t="str">
        <f t="array" ref="C1081">XLOOKUP(B1081,Customer[Customer_ID],Customer[Name(Cleaned)])</f>
        <v>Matthew Hanna</v>
      </c>
      <c r="D1081" s="22" t="str">
        <f>VLOOKUP(B1081,Customer[#ALL],6)</f>
        <v>Male</v>
      </c>
      <c r="E1081" s="23">
        <f>Sales[Order_Date]</f>
        <v>45227</v>
      </c>
      <c r="F1081" s="21" t="str">
        <f>Sales[Store_ID]</f>
        <v>STORE11</v>
      </c>
      <c r="G1081" s="21" t="str">
        <f t="array" ref="G1081">INDEX(Store[Store_Name],MATCH(F1081,Store[Store_ID],0))</f>
        <v>Aguirre-Keller</v>
      </c>
      <c r="H1081" s="21" t="str">
        <f>Sales[Product_ID]</f>
        <v>PROD44</v>
      </c>
      <c r="I1081" s="21" t="str">
        <f>VLOOKUP(H1081,Products[],2)</f>
        <v>Adjustable Jump Rope</v>
      </c>
      <c r="J1081" s="24">
        <f>Sales[Total_Amount]</f>
        <v>525.0028</v>
      </c>
      <c r="K1081" s="21" t="str">
        <f t="shared" si="1"/>
        <v>Oct</v>
      </c>
      <c r="L1081" s="21">
        <f t="shared" si="2"/>
        <v>2023</v>
      </c>
      <c r="N1081" s="33"/>
      <c r="O1081" s="34"/>
    </row>
    <row r="1082" ht="22.5" customHeight="1">
      <c r="A1082" s="21" t="s">
        <v>3047</v>
      </c>
      <c r="B1082" s="21" t="s">
        <v>1503</v>
      </c>
      <c r="C1082" s="21" t="str">
        <f t="array" ref="C1082">XLOOKUP(B1082,Customer[Customer_ID],Customer[Name(Cleaned)])</f>
        <v>Sarah Smith</v>
      </c>
      <c r="D1082" s="22" t="str">
        <f>VLOOKUP(B1082,Customer[#ALL],6)</f>
        <v>Female</v>
      </c>
      <c r="E1082" s="23">
        <f>Sales[Order_Date]</f>
        <v>45563</v>
      </c>
      <c r="F1082" s="21" t="str">
        <f>Sales[Store_ID]</f>
        <v>STORE11</v>
      </c>
      <c r="G1082" s="21" t="str">
        <f t="array" ref="G1082">INDEX(Store[Store_Name],MATCH(F1082,Store[Store_ID],0))</f>
        <v>Aguirre-Keller</v>
      </c>
      <c r="H1082" s="21" t="str">
        <f>Sales[Product_ID]</f>
        <v>PROD86</v>
      </c>
      <c r="I1082" s="21" t="str">
        <f>VLOOKUP(H1082,Products[],2)</f>
        <v>Kitchen Cutting Board</v>
      </c>
      <c r="J1082" s="24">
        <f>Sales[Total_Amount]</f>
        <v>889.83</v>
      </c>
      <c r="K1082" s="21" t="str">
        <f t="shared" si="1"/>
        <v>Sep</v>
      </c>
      <c r="L1082" s="21">
        <f t="shared" si="2"/>
        <v>2024</v>
      </c>
      <c r="N1082" s="33"/>
      <c r="O1082" s="34"/>
    </row>
    <row r="1083" ht="22.5" customHeight="1">
      <c r="A1083" s="21" t="s">
        <v>3048</v>
      </c>
      <c r="B1083" s="21" t="s">
        <v>830</v>
      </c>
      <c r="C1083" s="21" t="str">
        <f t="array" ref="C1083">XLOOKUP(B1083,Customer[Customer_ID],Customer[Name(Cleaned)])</f>
        <v>Damon Perez</v>
      </c>
      <c r="D1083" s="22" t="str">
        <f>VLOOKUP(B1083,Customer[#ALL],6)</f>
        <v>Female</v>
      </c>
      <c r="E1083" s="23">
        <f>Sales[Order_Date]</f>
        <v>45577</v>
      </c>
      <c r="F1083" s="21" t="str">
        <f>Sales[Store_ID]</f>
        <v>STORE10</v>
      </c>
      <c r="G1083" s="21" t="str">
        <f t="array" ref="G1083">INDEX(Store[Store_Name],MATCH(F1083,Store[Store_ID],0))</f>
        <v>Hill, Wagner and Ballard</v>
      </c>
      <c r="H1083" s="21" t="str">
        <f>Sales[Product_ID]</f>
        <v>PROD24</v>
      </c>
      <c r="I1083" s="21" t="str">
        <f>VLOOKUP(H1083,Products[],2)</f>
        <v>Foldable Camping Chair</v>
      </c>
      <c r="J1083" s="24">
        <f>Sales[Total_Amount]</f>
        <v>366.858</v>
      </c>
      <c r="K1083" s="21" t="str">
        <f t="shared" si="1"/>
        <v>Oct</v>
      </c>
      <c r="L1083" s="21">
        <f t="shared" si="2"/>
        <v>2024</v>
      </c>
      <c r="N1083" s="33"/>
      <c r="O1083" s="34"/>
    </row>
    <row r="1084" ht="22.5" customHeight="1">
      <c r="A1084" s="21" t="s">
        <v>3049</v>
      </c>
      <c r="B1084" s="21" t="s">
        <v>1245</v>
      </c>
      <c r="C1084" s="21" t="str">
        <f t="array" ref="C1084">XLOOKUP(B1084,Customer[Customer_ID],Customer[Name(Cleaned)])</f>
        <v>Alejandro Evans</v>
      </c>
      <c r="D1084" s="22" t="str">
        <f>VLOOKUP(B1084,Customer[#ALL],6)</f>
        <v>Male</v>
      </c>
      <c r="E1084" s="23">
        <f>Sales[Order_Date]</f>
        <v>45466</v>
      </c>
      <c r="F1084" s="21" t="str">
        <f>Sales[Store_ID]</f>
        <v>STORE16</v>
      </c>
      <c r="G1084" s="21" t="str">
        <f t="array" ref="G1084">INDEX(Store[Store_Name],MATCH(F1084,Store[Store_ID],0))</f>
        <v>Frederick-Wright</v>
      </c>
      <c r="H1084" s="21" t="str">
        <f>Sales[Product_ID]</f>
        <v>PROD79</v>
      </c>
      <c r="I1084" s="21" t="str">
        <f>VLOOKUP(H1084,Products[],2)</f>
        <v>Decorative Lamp Shade</v>
      </c>
      <c r="J1084" s="24">
        <f>Sales[Total_Amount]</f>
        <v>565.9089</v>
      </c>
      <c r="K1084" s="21" t="str">
        <f t="shared" si="1"/>
        <v>Jun</v>
      </c>
      <c r="L1084" s="21">
        <f t="shared" si="2"/>
        <v>2024</v>
      </c>
      <c r="N1084" s="33"/>
      <c r="O1084" s="34"/>
    </row>
    <row r="1085" ht="22.5" customHeight="1">
      <c r="A1085" s="21" t="s">
        <v>3050</v>
      </c>
      <c r="B1085" s="21" t="s">
        <v>531</v>
      </c>
      <c r="C1085" s="21" t="str">
        <f t="array" ref="C1085">XLOOKUP(B1085,Customer[Customer_ID],Customer[Name(Cleaned)])</f>
        <v>Curtis Haynes</v>
      </c>
      <c r="D1085" s="22" t="str">
        <f>VLOOKUP(B1085,Customer[#ALL],6)</f>
        <v>Male</v>
      </c>
      <c r="E1085" s="23">
        <f>Sales[Order_Date]</f>
        <v>45256</v>
      </c>
      <c r="F1085" s="21" t="str">
        <f>Sales[Store_ID]</f>
        <v>STORE12</v>
      </c>
      <c r="G1085" s="21" t="str">
        <f t="array" ref="G1085">INDEX(Store[Store_Name],MATCH(F1085,Store[Store_ID],0))</f>
        <v>Thomas, Bridges and Harris</v>
      </c>
      <c r="H1085" s="21" t="str">
        <f>Sales[Product_ID]</f>
        <v>PROD14</v>
      </c>
      <c r="I1085" s="21" t="str">
        <f>VLOOKUP(H1085,Products[],2)</f>
        <v>Decorative Wall Mirror</v>
      </c>
      <c r="J1085" s="24">
        <f>Sales[Total_Amount]</f>
        <v>64.7995</v>
      </c>
      <c r="K1085" s="21" t="str">
        <f t="shared" si="1"/>
        <v>Nov</v>
      </c>
      <c r="L1085" s="21">
        <f t="shared" si="2"/>
        <v>2023</v>
      </c>
      <c r="N1085" s="33"/>
      <c r="O1085" s="34"/>
    </row>
    <row r="1086" ht="22.5" customHeight="1">
      <c r="A1086" s="21" t="s">
        <v>3051</v>
      </c>
      <c r="B1086" s="21" t="s">
        <v>472</v>
      </c>
      <c r="C1086" s="21" t="str">
        <f t="array" ref="C1086">XLOOKUP(B1086,Customer[Customer_ID],Customer[Name(Cleaned)])</f>
        <v>Matthew Hanna</v>
      </c>
      <c r="D1086" s="22" t="str">
        <f>VLOOKUP(B1086,Customer[#ALL],6)</f>
        <v>Male</v>
      </c>
      <c r="E1086" s="23">
        <f>Sales[Order_Date]</f>
        <v>45886</v>
      </c>
      <c r="F1086" s="21" t="str">
        <f>Sales[Store_ID]</f>
        <v>STORE7</v>
      </c>
      <c r="G1086" s="21" t="str">
        <f t="array" ref="G1086">INDEX(Store[Store_Name],MATCH(F1086,Store[Store_ID],0))</f>
        <v>Martinez-Mullins</v>
      </c>
      <c r="H1086" s="21" t="str">
        <f>Sales[Product_ID]</f>
        <v>PROD53</v>
      </c>
      <c r="I1086" s="21" t="str">
        <f>VLOOKUP(H1086,Products[],2)</f>
        <v>Men's Track Pants</v>
      </c>
      <c r="J1086" s="24">
        <f>Sales[Total_Amount]</f>
        <v>1264.335</v>
      </c>
      <c r="K1086" s="21" t="str">
        <f t="shared" si="1"/>
        <v>Aug</v>
      </c>
      <c r="L1086" s="21">
        <f t="shared" si="2"/>
        <v>2025</v>
      </c>
      <c r="N1086" s="33"/>
      <c r="O1086" s="34"/>
    </row>
    <row r="1087" ht="22.5" customHeight="1">
      <c r="A1087" s="21" t="s">
        <v>3052</v>
      </c>
      <c r="B1087" s="21" t="s">
        <v>963</v>
      </c>
      <c r="C1087" s="21" t="str">
        <f t="array" ref="C1087">XLOOKUP(B1087,Customer[Customer_ID],Customer[Name(Cleaned)])</f>
        <v>Matthew Avery</v>
      </c>
      <c r="D1087" s="22" t="str">
        <f>VLOOKUP(B1087,Customer[#ALL],6)</f>
        <v>Female</v>
      </c>
      <c r="E1087" s="23">
        <f>Sales[Order_Date]</f>
        <v>45390</v>
      </c>
      <c r="F1087" s="21" t="str">
        <f>Sales[Store_ID]</f>
        <v>STORE4</v>
      </c>
      <c r="G1087" s="21" t="str">
        <f t="array" ref="G1087">INDEX(Store[Store_Name],MATCH(F1087,Store[Store_ID],0))</f>
        <v>Alexander Group</v>
      </c>
      <c r="H1087" s="21" t="str">
        <f>Sales[Product_ID]</f>
        <v>PROD5</v>
      </c>
      <c r="I1087" s="21" t="str">
        <f>VLOOKUP(H1087,Products[],2)</f>
        <v>Men's Roll-On Perfume</v>
      </c>
      <c r="J1087" s="24">
        <f>Sales[Total_Amount]</f>
        <v>346.484</v>
      </c>
      <c r="K1087" s="21" t="str">
        <f t="shared" si="1"/>
        <v>Apr</v>
      </c>
      <c r="L1087" s="21">
        <f t="shared" si="2"/>
        <v>2024</v>
      </c>
      <c r="N1087" s="33"/>
      <c r="O1087" s="34"/>
    </row>
    <row r="1088" ht="22.5" customHeight="1">
      <c r="A1088" s="21" t="s">
        <v>3053</v>
      </c>
      <c r="B1088" s="21" t="s">
        <v>643</v>
      </c>
      <c r="C1088" s="21" t="str">
        <f t="array" ref="C1088">XLOOKUP(B1088,Customer[Customer_ID],Customer[Name(Cleaned)])</f>
        <v>Jacob Wood</v>
      </c>
      <c r="D1088" s="22" t="str">
        <f>VLOOKUP(B1088,Customer[#ALL],6)</f>
        <v>Female</v>
      </c>
      <c r="E1088" s="23">
        <f>Sales[Order_Date]</f>
        <v>45388</v>
      </c>
      <c r="F1088" s="21" t="str">
        <f>Sales[Store_ID]</f>
        <v>STORE12</v>
      </c>
      <c r="G1088" s="21" t="str">
        <f t="array" ref="G1088">INDEX(Store[Store_Name],MATCH(F1088,Store[Store_ID],0))</f>
        <v>Thomas, Bridges and Harris</v>
      </c>
      <c r="H1088" s="21" t="str">
        <f>Sales[Product_ID]</f>
        <v>PROD66</v>
      </c>
      <c r="I1088" s="21" t="str">
        <f>VLOOKUP(H1088,Products[],2)</f>
        <v>Women's Hair Dryer Brush</v>
      </c>
      <c r="J1088" s="24">
        <f>Sales[Total_Amount]</f>
        <v>1564.0116</v>
      </c>
      <c r="K1088" s="21" t="str">
        <f t="shared" si="1"/>
        <v>Apr</v>
      </c>
      <c r="L1088" s="21">
        <f t="shared" si="2"/>
        <v>2024</v>
      </c>
      <c r="N1088" s="33"/>
      <c r="O1088" s="34"/>
    </row>
    <row r="1089" ht="22.5" customHeight="1">
      <c r="A1089" s="21" t="s">
        <v>3054</v>
      </c>
      <c r="B1089" s="21" t="s">
        <v>1158</v>
      </c>
      <c r="C1089" s="21" t="str">
        <f t="array" ref="C1089">XLOOKUP(B1089,Customer[Customer_ID],Customer[Name(Cleaned)])</f>
        <v>Brandon Mcbride</v>
      </c>
      <c r="D1089" s="22" t="str">
        <f>VLOOKUP(B1089,Customer[#ALL],6)</f>
        <v>Male</v>
      </c>
      <c r="E1089" s="23">
        <f>Sales[Order_Date]</f>
        <v>45793</v>
      </c>
      <c r="F1089" s="21" t="str">
        <f>Sales[Store_ID]</f>
        <v>STORE2</v>
      </c>
      <c r="G1089" s="21" t="str">
        <f t="array" ref="G1089">INDEX(Store[Store_Name],MATCH(F1089,Store[Store_ID],0))</f>
        <v>Black-Horn</v>
      </c>
      <c r="H1089" s="21" t="str">
        <f>Sales[Product_ID]</f>
        <v>PROD29</v>
      </c>
      <c r="I1089" s="21" t="str">
        <f>VLOOKUP(H1089,Products[],2)</f>
        <v>Fabric Sofa Throw Blanket</v>
      </c>
      <c r="J1089" s="24">
        <f>Sales[Total_Amount]</f>
        <v>592.5074</v>
      </c>
      <c r="K1089" s="21" t="str">
        <f t="shared" si="1"/>
        <v>May</v>
      </c>
      <c r="L1089" s="21">
        <f t="shared" si="2"/>
        <v>2025</v>
      </c>
      <c r="N1089" s="33"/>
      <c r="O1089" s="34"/>
    </row>
    <row r="1090" ht="22.5" customHeight="1">
      <c r="A1090" s="21" t="s">
        <v>3055</v>
      </c>
      <c r="B1090" s="21" t="s">
        <v>486</v>
      </c>
      <c r="C1090" s="21" t="str">
        <f t="array" ref="C1090">XLOOKUP(B1090,Customer[Customer_ID],Customer[Name(Cleaned)])</f>
        <v>Patty Francis</v>
      </c>
      <c r="D1090" s="22" t="str">
        <f>VLOOKUP(B1090,Customer[#ALL],6)</f>
        <v>Male</v>
      </c>
      <c r="E1090" s="23">
        <f>Sales[Order_Date]</f>
        <v>45615</v>
      </c>
      <c r="F1090" s="21" t="str">
        <f>Sales[Store_ID]</f>
        <v>STORE5</v>
      </c>
      <c r="G1090" s="21" t="str">
        <f t="array" ref="G1090">INDEX(Store[Store_Name],MATCH(F1090,Store[Store_ID],0))</f>
        <v>Gray Ltd</v>
      </c>
      <c r="H1090" s="21" t="str">
        <f>Sales[Product_ID]</f>
        <v>PROD35</v>
      </c>
      <c r="I1090" s="21" t="str">
        <f>VLOOKUP(H1090,Products[],2)</f>
        <v>Bedroom Table Lamp</v>
      </c>
      <c r="J1090" s="24">
        <f>Sales[Total_Amount]</f>
        <v>1510.719</v>
      </c>
      <c r="K1090" s="21" t="str">
        <f t="shared" si="1"/>
        <v>Nov</v>
      </c>
      <c r="L1090" s="21">
        <f t="shared" si="2"/>
        <v>2024</v>
      </c>
      <c r="N1090" s="33"/>
      <c r="O1090" s="34"/>
    </row>
    <row r="1091" ht="22.5" customHeight="1">
      <c r="A1091" s="21" t="s">
        <v>3056</v>
      </c>
      <c r="B1091" s="21" t="s">
        <v>990</v>
      </c>
      <c r="C1091" s="21" t="str">
        <f t="array" ref="C1091">XLOOKUP(B1091,Customer[Customer_ID],Customer[Name(Cleaned)])</f>
        <v>Stacy Collins</v>
      </c>
      <c r="D1091" s="22" t="str">
        <f>VLOOKUP(B1091,Customer[#ALL],6)</f>
        <v>Male</v>
      </c>
      <c r="E1091" s="23">
        <f>Sales[Order_Date]</f>
        <v>45666</v>
      </c>
      <c r="F1091" s="21" t="str">
        <f>Sales[Store_ID]</f>
        <v>STORE13</v>
      </c>
      <c r="G1091" s="21" t="str">
        <f t="array" ref="G1091">INDEX(Store[Store_Name],MATCH(F1091,Store[Store_ID],0))</f>
        <v>Gardner, Humphrey and Contreras</v>
      </c>
      <c r="H1091" s="21" t="str">
        <f>Sales[Product_ID]</f>
        <v>PROD46</v>
      </c>
      <c r="I1091" s="21" t="str">
        <f>VLOOKUP(H1091,Products[],2)</f>
        <v>Men's Winter Jacket</v>
      </c>
      <c r="J1091" s="24">
        <f>Sales[Total_Amount]</f>
        <v>1106.3094</v>
      </c>
      <c r="K1091" s="21" t="str">
        <f t="shared" si="1"/>
        <v>Jan</v>
      </c>
      <c r="L1091" s="21">
        <f t="shared" si="2"/>
        <v>2025</v>
      </c>
      <c r="N1091" s="33"/>
      <c r="O1091" s="34"/>
    </row>
    <row r="1092" ht="22.5" customHeight="1">
      <c r="A1092" s="21" t="s">
        <v>3057</v>
      </c>
      <c r="B1092" s="21" t="s">
        <v>1402</v>
      </c>
      <c r="C1092" s="21" t="str">
        <f t="array" ref="C1092">XLOOKUP(B1092,Customer[Customer_ID],Customer[Name(Cleaned)])</f>
        <v>Eric Holmes</v>
      </c>
      <c r="D1092" s="22" t="str">
        <f>VLOOKUP(B1092,Customer[#ALL],6)</f>
        <v>Male</v>
      </c>
      <c r="E1092" s="23">
        <f>Sales[Order_Date]</f>
        <v>45600</v>
      </c>
      <c r="F1092" s="21" t="str">
        <f>Sales[Store_ID]</f>
        <v>STORE6</v>
      </c>
      <c r="G1092" s="21" t="str">
        <f t="array" ref="G1092">INDEX(Store[Store_Name],MATCH(F1092,Store[Store_ID],0))</f>
        <v>Benson-Elliott</v>
      </c>
      <c r="H1092" s="21" t="str">
        <f>Sales[Product_ID]</f>
        <v>PROD81</v>
      </c>
      <c r="I1092" s="21" t="str">
        <f>VLOOKUP(H1092,Products[],2)</f>
        <v>Badminton Racket Set</v>
      </c>
      <c r="J1092" s="24">
        <f>Sales[Total_Amount]</f>
        <v>381.9564</v>
      </c>
      <c r="K1092" s="21" t="str">
        <f t="shared" si="1"/>
        <v>Nov</v>
      </c>
      <c r="L1092" s="21">
        <f t="shared" si="2"/>
        <v>2024</v>
      </c>
      <c r="N1092" s="33"/>
      <c r="O1092" s="34"/>
    </row>
    <row r="1093" ht="22.5" customHeight="1">
      <c r="A1093" s="21" t="s">
        <v>3058</v>
      </c>
      <c r="B1093" s="21" t="s">
        <v>896</v>
      </c>
      <c r="C1093" s="21" t="str">
        <f t="array" ref="C1093">XLOOKUP(B1093,Customer[Customer_ID],Customer[Name(Cleaned)])</f>
        <v>Jeffrey Gomez</v>
      </c>
      <c r="D1093" s="22" t="str">
        <f>VLOOKUP(B1093,Customer[#ALL],6)</f>
        <v>Male</v>
      </c>
      <c r="E1093" s="23">
        <f>Sales[Order_Date]</f>
        <v>45644</v>
      </c>
      <c r="F1093" s="21" t="str">
        <f>Sales[Store_ID]</f>
        <v>STORE4</v>
      </c>
      <c r="G1093" s="21" t="str">
        <f t="array" ref="G1093">INDEX(Store[Store_Name],MATCH(F1093,Store[Store_ID],0))</f>
        <v>Alexander Group</v>
      </c>
      <c r="H1093" s="21" t="str">
        <f>Sales[Product_ID]</f>
        <v>PROD14</v>
      </c>
      <c r="I1093" s="21" t="str">
        <f>VLOOKUP(H1093,Products[],2)</f>
        <v>Decorative Wall Mirror</v>
      </c>
      <c r="J1093" s="24">
        <f>Sales[Total_Amount]</f>
        <v>700.4052</v>
      </c>
      <c r="K1093" s="21" t="str">
        <f t="shared" si="1"/>
        <v>Dec</v>
      </c>
      <c r="L1093" s="21">
        <f t="shared" si="2"/>
        <v>2024</v>
      </c>
      <c r="N1093" s="33"/>
      <c r="O1093" s="34"/>
    </row>
    <row r="1094" ht="22.5" customHeight="1">
      <c r="A1094" s="21" t="s">
        <v>3059</v>
      </c>
      <c r="B1094" s="21" t="s">
        <v>857</v>
      </c>
      <c r="C1094" s="21" t="str">
        <f t="array" ref="C1094">XLOOKUP(B1094,Customer[Customer_ID],Customer[Name(Cleaned)])</f>
        <v>Matthew Payne</v>
      </c>
      <c r="D1094" s="22" t="str">
        <f>VLOOKUP(B1094,Customer[#ALL],6)</f>
        <v>Female</v>
      </c>
      <c r="E1094" s="23">
        <f>Sales[Order_Date]</f>
        <v>45648</v>
      </c>
      <c r="F1094" s="21" t="str">
        <f>Sales[Store_ID]</f>
        <v>STORE7</v>
      </c>
      <c r="G1094" s="21" t="str">
        <f t="array" ref="G1094">INDEX(Store[Store_Name],MATCH(F1094,Store[Store_ID],0))</f>
        <v>Martinez-Mullins</v>
      </c>
      <c r="H1094" s="21" t="str">
        <f>Sales[Product_ID]</f>
        <v>PROD36</v>
      </c>
      <c r="I1094" s="21" t="str">
        <f>VLOOKUP(H1094,Products[],2)</f>
        <v>Women's Summer Dress</v>
      </c>
      <c r="J1094" s="24">
        <f>Sales[Total_Amount]</f>
        <v>320.892</v>
      </c>
      <c r="K1094" s="21" t="str">
        <f t="shared" si="1"/>
        <v>Dec</v>
      </c>
      <c r="L1094" s="21">
        <f t="shared" si="2"/>
        <v>2024</v>
      </c>
      <c r="N1094" s="33"/>
      <c r="O1094" s="34"/>
    </row>
    <row r="1095" ht="22.5" customHeight="1">
      <c r="A1095" s="21" t="s">
        <v>3060</v>
      </c>
      <c r="B1095" s="21" t="s">
        <v>681</v>
      </c>
      <c r="C1095" s="21" t="str">
        <f t="array" ref="C1095">XLOOKUP(B1095,Customer[Customer_ID],Customer[Name(Cleaned)])</f>
        <v>Michelle Carpenter</v>
      </c>
      <c r="D1095" s="22" t="str">
        <f>VLOOKUP(B1095,Customer[#ALL],6)</f>
        <v>Male</v>
      </c>
      <c r="E1095" s="23">
        <f>Sales[Order_Date]</f>
        <v>45500</v>
      </c>
      <c r="F1095" s="21" t="str">
        <f>Sales[Store_ID]</f>
        <v>STORE2</v>
      </c>
      <c r="G1095" s="21" t="str">
        <f t="array" ref="G1095">INDEX(Store[Store_Name],MATCH(F1095,Store[Store_ID],0))</f>
        <v>Black-Horn</v>
      </c>
      <c r="H1095" s="21" t="str">
        <f>Sales[Product_ID]</f>
        <v>PROD68</v>
      </c>
      <c r="I1095" s="21" t="str">
        <f>VLOOKUP(H1095,Products[],2)</f>
        <v>Wooden Nightstand</v>
      </c>
      <c r="J1095" s="24">
        <f>Sales[Total_Amount]</f>
        <v>2704.47</v>
      </c>
      <c r="K1095" s="21" t="str">
        <f t="shared" si="1"/>
        <v>Jul</v>
      </c>
      <c r="L1095" s="21">
        <f t="shared" si="2"/>
        <v>2024</v>
      </c>
      <c r="N1095" s="33"/>
      <c r="O1095" s="34"/>
    </row>
    <row r="1096" ht="22.5" customHeight="1">
      <c r="A1096" s="21" t="s">
        <v>3061</v>
      </c>
      <c r="B1096" s="21" t="s">
        <v>666</v>
      </c>
      <c r="C1096" s="21" t="str">
        <f t="array" ref="C1096">XLOOKUP(B1096,Customer[Customer_ID],Customer[Name(Cleaned)])</f>
        <v>Anna Perez</v>
      </c>
      <c r="D1096" s="22" t="str">
        <f>VLOOKUP(B1096,Customer[#ALL],6)</f>
        <v>Female</v>
      </c>
      <c r="E1096" s="23">
        <f>Sales[Order_Date]</f>
        <v>45806</v>
      </c>
      <c r="F1096" s="21" t="str">
        <f>Sales[Store_ID]</f>
        <v>STORE5</v>
      </c>
      <c r="G1096" s="21" t="str">
        <f t="array" ref="G1096">INDEX(Store[Store_Name],MATCH(F1096,Store[Store_ID],0))</f>
        <v>Gray Ltd</v>
      </c>
      <c r="H1096" s="21" t="str">
        <f>Sales[Product_ID]</f>
        <v>PROD30</v>
      </c>
      <c r="I1096" s="21" t="str">
        <f>VLOOKUP(H1096,Products[],2)</f>
        <v>Stainless Steel Cutlery Set</v>
      </c>
      <c r="J1096" s="24">
        <f>Sales[Total_Amount]</f>
        <v>506.709</v>
      </c>
      <c r="K1096" s="21" t="str">
        <f t="shared" si="1"/>
        <v>May</v>
      </c>
      <c r="L1096" s="21">
        <f t="shared" si="2"/>
        <v>2025</v>
      </c>
      <c r="N1096" s="33"/>
      <c r="O1096" s="34"/>
    </row>
    <row r="1097" ht="22.5" customHeight="1">
      <c r="A1097" s="21" t="s">
        <v>3062</v>
      </c>
      <c r="B1097" s="21" t="s">
        <v>206</v>
      </c>
      <c r="C1097" s="21" t="str">
        <f t="array" ref="C1097">XLOOKUP(B1097,Customer[Customer_ID],Customer[Name(Cleaned)])</f>
        <v>Debra Liu</v>
      </c>
      <c r="D1097" s="22" t="str">
        <f>VLOOKUP(B1097,Customer[#ALL],6)</f>
        <v>Female</v>
      </c>
      <c r="E1097" s="23">
        <f>Sales[Order_Date]</f>
        <v>45365</v>
      </c>
      <c r="F1097" s="21" t="str">
        <f>Sales[Store_ID]</f>
        <v>STORE6</v>
      </c>
      <c r="G1097" s="21" t="str">
        <f t="array" ref="G1097">INDEX(Store[Store_Name],MATCH(F1097,Store[Store_ID],0))</f>
        <v>Benson-Elliott</v>
      </c>
      <c r="H1097" s="21" t="str">
        <f>Sales[Product_ID]</f>
        <v>PROD70</v>
      </c>
      <c r="I1097" s="21" t="str">
        <f>VLOOKUP(H1097,Products[],2)</f>
        <v>Kitchen Storage Rack</v>
      </c>
      <c r="J1097" s="24">
        <f>Sales[Total_Amount]</f>
        <v>595.41</v>
      </c>
      <c r="K1097" s="21" t="str">
        <f t="shared" si="1"/>
        <v>Mar</v>
      </c>
      <c r="L1097" s="21">
        <f t="shared" si="2"/>
        <v>2024</v>
      </c>
      <c r="N1097" s="33"/>
      <c r="O1097" s="34"/>
    </row>
    <row r="1098" ht="22.5" customHeight="1">
      <c r="A1098" s="21" t="s">
        <v>3063</v>
      </c>
      <c r="B1098" s="21" t="s">
        <v>1419</v>
      </c>
      <c r="C1098" s="21" t="str">
        <f t="array" ref="C1098">XLOOKUP(B1098,Customer[Customer_ID],Customer[Name(Cleaned)])</f>
        <v>John Berg</v>
      </c>
      <c r="D1098" s="22" t="str">
        <f>VLOOKUP(B1098,Customer[#ALL],6)</f>
        <v>Female</v>
      </c>
      <c r="E1098" s="23">
        <f>Sales[Order_Date]</f>
        <v>45229</v>
      </c>
      <c r="F1098" s="21" t="str">
        <f>Sales[Store_ID]</f>
        <v>STORE18</v>
      </c>
      <c r="G1098" s="21" t="str">
        <f t="array" ref="G1098">INDEX(Store[Store_Name],MATCH(F1098,Store[Store_ID],0))</f>
        <v>Guerrero-Schmitt</v>
      </c>
      <c r="H1098" s="21" t="str">
        <f>Sales[Product_ID]</f>
        <v>PROD60</v>
      </c>
      <c r="I1098" s="21" t="str">
        <f>VLOOKUP(H1098,Products[],2)</f>
        <v>Luxury Perfume Spray</v>
      </c>
      <c r="J1098" s="24">
        <f>Sales[Total_Amount]</f>
        <v>953.3868</v>
      </c>
      <c r="K1098" s="21" t="str">
        <f t="shared" si="1"/>
        <v>Oct</v>
      </c>
      <c r="L1098" s="21">
        <f t="shared" si="2"/>
        <v>2023</v>
      </c>
      <c r="N1098" s="33"/>
      <c r="O1098" s="34"/>
    </row>
    <row r="1099" ht="22.5" customHeight="1">
      <c r="A1099" s="21" t="s">
        <v>3064</v>
      </c>
      <c r="B1099" s="21" t="s">
        <v>987</v>
      </c>
      <c r="C1099" s="21" t="str">
        <f t="array" ref="C1099">XLOOKUP(B1099,Customer[Customer_ID],Customer[Name(Cleaned)])</f>
        <v>Jennifer Zamora</v>
      </c>
      <c r="D1099" s="22" t="str">
        <f>VLOOKUP(B1099,Customer[#ALL],6)</f>
        <v>Male</v>
      </c>
      <c r="E1099" s="23">
        <f>Sales[Order_Date]</f>
        <v>45349</v>
      </c>
      <c r="F1099" s="21" t="str">
        <f>Sales[Store_ID]</f>
        <v>STORE9</v>
      </c>
      <c r="G1099" s="21" t="str">
        <f t="array" ref="G1099">INDEX(Store[Store_Name],MATCH(F1099,Store[Store_ID],0))</f>
        <v>Moore, Padilla and Butler</v>
      </c>
      <c r="H1099" s="21" t="str">
        <f>Sales[Product_ID]</f>
        <v>PROD82</v>
      </c>
      <c r="I1099" s="21" t="str">
        <f>VLOOKUP(H1099,Products[],2)</f>
        <v>Fitness Resistance Bands</v>
      </c>
      <c r="J1099" s="24">
        <f>Sales[Total_Amount]</f>
        <v>2317.6384</v>
      </c>
      <c r="K1099" s="21" t="str">
        <f t="shared" si="1"/>
        <v>Feb</v>
      </c>
      <c r="L1099" s="21">
        <f t="shared" si="2"/>
        <v>2024</v>
      </c>
      <c r="N1099" s="33"/>
      <c r="O1099" s="34"/>
    </row>
    <row r="1100" ht="22.5" customHeight="1">
      <c r="A1100" s="21" t="s">
        <v>3065</v>
      </c>
      <c r="B1100" s="21" t="s">
        <v>1405</v>
      </c>
      <c r="C1100" s="21" t="str">
        <f t="array" ref="C1100">XLOOKUP(B1100,Customer[Customer_ID],Customer[Name(Cleaned)])</f>
        <v>William Cortez</v>
      </c>
      <c r="D1100" s="22" t="str">
        <f>VLOOKUP(B1100,Customer[#ALL],6)</f>
        <v>Female</v>
      </c>
      <c r="E1100" s="23">
        <f>Sales[Order_Date]</f>
        <v>45886</v>
      </c>
      <c r="F1100" s="21" t="str">
        <f>Sales[Store_ID]</f>
        <v>STORE19</v>
      </c>
      <c r="G1100" s="21" t="str">
        <f t="array" ref="G1100">INDEX(Store[Store_Name],MATCH(F1100,Store[Store_ID],0))</f>
        <v>Mann-Austin</v>
      </c>
      <c r="H1100" s="21" t="str">
        <f>Sales[Product_ID]</f>
        <v>PROD57</v>
      </c>
      <c r="I1100" s="21" t="str">
        <f>VLOOKUP(H1100,Products[],2)</f>
        <v>Foam Roller</v>
      </c>
      <c r="J1100" s="24">
        <f>Sales[Total_Amount]</f>
        <v>88.8148</v>
      </c>
      <c r="K1100" s="21" t="str">
        <f t="shared" si="1"/>
        <v>Aug</v>
      </c>
      <c r="L1100" s="21">
        <f t="shared" si="2"/>
        <v>2025</v>
      </c>
      <c r="N1100" s="33"/>
      <c r="O1100" s="34"/>
    </row>
    <row r="1101" ht="22.5" customHeight="1">
      <c r="A1101" s="21" t="s">
        <v>3066</v>
      </c>
      <c r="B1101" s="21" t="s">
        <v>1032</v>
      </c>
      <c r="C1101" s="21" t="str">
        <f t="array" ref="C1101">XLOOKUP(B1101,Customer[Customer_ID],Customer[Name(Cleaned)])</f>
        <v>Kristy Dunlap</v>
      </c>
      <c r="D1101" s="22" t="str">
        <f>VLOOKUP(B1101,Customer[#ALL],6)</f>
        <v>Male</v>
      </c>
      <c r="E1101" s="23">
        <f>Sales[Order_Date]</f>
        <v>45359</v>
      </c>
      <c r="F1101" s="21" t="str">
        <f>Sales[Store_ID]</f>
        <v>STORE8</v>
      </c>
      <c r="G1101" s="21" t="str">
        <f t="array" ref="G1101">INDEX(Store[Store_Name],MATCH(F1101,Store[Store_ID],0))</f>
        <v>Bean, Jones and Park</v>
      </c>
      <c r="H1101" s="21" t="str">
        <f>Sales[Product_ID]</f>
        <v>PROD41</v>
      </c>
      <c r="I1101" s="21" t="str">
        <f>VLOOKUP(H1101,Products[],2)</f>
        <v>Yoga Exercise Mat</v>
      </c>
      <c r="J1101" s="24">
        <f>Sales[Total_Amount]</f>
        <v>316.8936</v>
      </c>
      <c r="K1101" s="21" t="str">
        <f t="shared" si="1"/>
        <v>Mar</v>
      </c>
      <c r="L1101" s="21">
        <f t="shared" si="2"/>
        <v>2024</v>
      </c>
      <c r="N1101" s="33"/>
      <c r="O1101" s="34"/>
    </row>
    <row r="1102" ht="22.5" customHeight="1">
      <c r="A1102" s="21" t="s">
        <v>3067</v>
      </c>
      <c r="B1102" s="21" t="s">
        <v>306</v>
      </c>
      <c r="C1102" s="21" t="str">
        <f t="array" ref="C1102">XLOOKUP(B1102,Customer[Customer_ID],Customer[Name(Cleaned)])</f>
        <v>George Rosario</v>
      </c>
      <c r="D1102" s="22" t="str">
        <f>VLOOKUP(B1102,Customer[#ALL],6)</f>
        <v>Female</v>
      </c>
      <c r="E1102" s="23">
        <f>Sales[Order_Date]</f>
        <v>45730</v>
      </c>
      <c r="F1102" s="21" t="str">
        <f>Sales[Store_ID]</f>
        <v>STORE0</v>
      </c>
      <c r="G1102" s="21" t="str">
        <f t="array" ref="G1102">INDEX(Store[Store_Name],MATCH(F1102,Store[Store_ID],0))</f>
        <v>Rivera-Warner</v>
      </c>
      <c r="H1102" s="21" t="str">
        <f>Sales[Product_ID]</f>
        <v>PROD64</v>
      </c>
      <c r="I1102" s="21" t="str">
        <f>VLOOKUP(H1102,Products[],2)</f>
        <v>Matte Lipstick Set</v>
      </c>
      <c r="J1102" s="24">
        <f>Sales[Total_Amount]</f>
        <v>545.4824</v>
      </c>
      <c r="K1102" s="21" t="str">
        <f t="shared" si="1"/>
        <v>Mar</v>
      </c>
      <c r="L1102" s="21">
        <f t="shared" si="2"/>
        <v>2025</v>
      </c>
      <c r="N1102" s="33"/>
      <c r="O1102" s="34"/>
    </row>
    <row r="1103" ht="22.5" customHeight="1">
      <c r="A1103" s="21" t="s">
        <v>3068</v>
      </c>
      <c r="B1103" s="21" t="s">
        <v>158</v>
      </c>
      <c r="C1103" s="21" t="str">
        <f t="array" ref="C1103">XLOOKUP(B1103,Customer[Customer_ID],Customer[Name(Cleaned)])</f>
        <v>Deanna Simpson</v>
      </c>
      <c r="D1103" s="22" t="str">
        <f>VLOOKUP(B1103,Customer[#ALL],6)</f>
        <v>Male</v>
      </c>
      <c r="E1103" s="23">
        <f>Sales[Order_Date]</f>
        <v>45646</v>
      </c>
      <c r="F1103" s="21" t="str">
        <f>Sales[Store_ID]</f>
        <v>STORE5</v>
      </c>
      <c r="G1103" s="21" t="str">
        <f t="array" ref="G1103">INDEX(Store[Store_Name],MATCH(F1103,Store[Store_ID],0))</f>
        <v>Gray Ltd</v>
      </c>
      <c r="H1103" s="21" t="str">
        <f>Sales[Product_ID]</f>
        <v>PROD66</v>
      </c>
      <c r="I1103" s="21" t="str">
        <f>VLOOKUP(H1103,Products[],2)</f>
        <v>Women's Hair Dryer Brush</v>
      </c>
      <c r="J1103" s="24">
        <f>Sales[Total_Amount]</f>
        <v>588.4924</v>
      </c>
      <c r="K1103" s="21" t="str">
        <f t="shared" si="1"/>
        <v>Dec</v>
      </c>
      <c r="L1103" s="21">
        <f t="shared" si="2"/>
        <v>2024</v>
      </c>
      <c r="N1103" s="33"/>
      <c r="O1103" s="34"/>
    </row>
    <row r="1104" ht="22.5" customHeight="1">
      <c r="A1104" s="21" t="s">
        <v>3069</v>
      </c>
      <c r="B1104" s="21" t="s">
        <v>788</v>
      </c>
      <c r="C1104" s="21" t="str">
        <f t="array" ref="C1104">XLOOKUP(B1104,Customer[Customer_ID],Customer[Name(Cleaned)])</f>
        <v>Mr. William Horton</v>
      </c>
      <c r="D1104" s="22" t="str">
        <f>VLOOKUP(B1104,Customer[#ALL],6)</f>
        <v>Female</v>
      </c>
      <c r="E1104" s="23">
        <f>Sales[Order_Date]</f>
        <v>45456</v>
      </c>
      <c r="F1104" s="21" t="str">
        <f>Sales[Store_ID]</f>
        <v>STORE3</v>
      </c>
      <c r="G1104" s="21" t="str">
        <f t="array" ref="G1104">INDEX(Store[Store_Name],MATCH(F1104,Store[Store_ID],0))</f>
        <v>Johnson-Wright</v>
      </c>
      <c r="H1104" s="21" t="str">
        <f>Sales[Product_ID]</f>
        <v>PROD52</v>
      </c>
      <c r="I1104" s="21" t="str">
        <f>VLOOKUP(H1104,Products[],2)</f>
        <v>Rugby Ball</v>
      </c>
      <c r="J1104" s="24">
        <f>Sales[Total_Amount]</f>
        <v>757.39</v>
      </c>
      <c r="K1104" s="21" t="str">
        <f t="shared" si="1"/>
        <v>Jun</v>
      </c>
      <c r="L1104" s="21">
        <f t="shared" si="2"/>
        <v>2024</v>
      </c>
      <c r="N1104" s="33"/>
      <c r="O1104" s="34"/>
    </row>
    <row r="1105" ht="22.5" customHeight="1">
      <c r="A1105" s="21" t="s">
        <v>3070</v>
      </c>
      <c r="B1105" s="21" t="s">
        <v>1044</v>
      </c>
      <c r="C1105" s="21" t="str">
        <f t="array" ref="C1105">XLOOKUP(B1105,Customer[Customer_ID],Customer[Name(Cleaned)])</f>
        <v>Reginald Willis</v>
      </c>
      <c r="D1105" s="22" t="str">
        <f>VLOOKUP(B1105,Customer[#ALL],6)</f>
        <v>Male</v>
      </c>
      <c r="E1105" s="23">
        <f>Sales[Order_Date]</f>
        <v>45450</v>
      </c>
      <c r="F1105" s="21" t="str">
        <f>Sales[Store_ID]</f>
        <v>STORE11</v>
      </c>
      <c r="G1105" s="21" t="str">
        <f t="array" ref="G1105">INDEX(Store[Store_Name],MATCH(F1105,Store[Store_ID],0))</f>
        <v>Aguirre-Keller</v>
      </c>
      <c r="H1105" s="21" t="str">
        <f>Sales[Product_ID]</f>
        <v>PROD45</v>
      </c>
      <c r="I1105" s="21" t="str">
        <f>VLOOKUP(H1105,Products[],2)</f>
        <v>High-Grip Football</v>
      </c>
      <c r="J1105" s="24">
        <f>Sales[Total_Amount]</f>
        <v>152.2801</v>
      </c>
      <c r="K1105" s="21" t="str">
        <f t="shared" si="1"/>
        <v>Jun</v>
      </c>
      <c r="L1105" s="21">
        <f t="shared" si="2"/>
        <v>2024</v>
      </c>
      <c r="N1105" s="33"/>
      <c r="O1105" s="34"/>
    </row>
    <row r="1106" ht="22.5" customHeight="1">
      <c r="A1106" s="21" t="s">
        <v>3071</v>
      </c>
      <c r="B1106" s="21" t="s">
        <v>259</v>
      </c>
      <c r="C1106" s="21" t="str">
        <f t="array" ref="C1106">XLOOKUP(B1106,Customer[Customer_ID],Customer[Name(Cleaned)])</f>
        <v>Mr. Mark Beasley</v>
      </c>
      <c r="D1106" s="22" t="str">
        <f>VLOOKUP(B1106,Customer[#ALL],6)</f>
        <v>Male</v>
      </c>
      <c r="E1106" s="23">
        <f>Sales[Order_Date]</f>
        <v>45493</v>
      </c>
      <c r="F1106" s="21" t="str">
        <f>Sales[Store_ID]</f>
        <v>STORE15</v>
      </c>
      <c r="G1106" s="21" t="str">
        <f t="array" ref="G1106">INDEX(Store[Store_Name],MATCH(F1106,Store[Store_ID],0))</f>
        <v>Shelton PLC</v>
      </c>
      <c r="H1106" s="21" t="str">
        <f>Sales[Product_ID]</f>
        <v>PROD89</v>
      </c>
      <c r="I1106" s="21" t="str">
        <f>VLOOKUP(H1106,Products[],2)</f>
        <v>Face Foundation Kit</v>
      </c>
      <c r="J1106" s="24">
        <f>Sales[Total_Amount]</f>
        <v>1755.5384</v>
      </c>
      <c r="K1106" s="21" t="str">
        <f t="shared" si="1"/>
        <v>Jul</v>
      </c>
      <c r="L1106" s="21">
        <f t="shared" si="2"/>
        <v>2024</v>
      </c>
      <c r="N1106" s="33"/>
      <c r="O1106" s="34"/>
    </row>
    <row r="1107" ht="22.5" customHeight="1">
      <c r="A1107" s="21" t="s">
        <v>3072</v>
      </c>
      <c r="B1107" s="21" t="s">
        <v>1471</v>
      </c>
      <c r="C1107" s="21" t="str">
        <f t="array" ref="C1107">XLOOKUP(B1107,Customer[Customer_ID],Customer[Name(Cleaned)])</f>
        <v>Philip Mendoza</v>
      </c>
      <c r="D1107" s="22" t="str">
        <f>VLOOKUP(B1107,Customer[#ALL],6)</f>
        <v>Female</v>
      </c>
      <c r="E1107" s="23">
        <f>Sales[Order_Date]</f>
        <v>45274</v>
      </c>
      <c r="F1107" s="21" t="str">
        <f>Sales[Store_ID]</f>
        <v>STORE12</v>
      </c>
      <c r="G1107" s="21" t="str">
        <f t="array" ref="G1107">INDEX(Store[Store_Name],MATCH(F1107,Store[Store_ID],0))</f>
        <v>Thomas, Bridges and Harris</v>
      </c>
      <c r="H1107" s="21" t="str">
        <f>Sales[Product_ID]</f>
        <v>PROD21</v>
      </c>
      <c r="I1107" s="21" t="str">
        <f>VLOOKUP(H1107,Products[],2)</f>
        <v>Multi-Purpose Storage Box</v>
      </c>
      <c r="J1107" s="24">
        <f>Sales[Total_Amount]</f>
        <v>2155.2228</v>
      </c>
      <c r="K1107" s="21" t="str">
        <f t="shared" si="1"/>
        <v>Dec</v>
      </c>
      <c r="L1107" s="21">
        <f t="shared" si="2"/>
        <v>2023</v>
      </c>
      <c r="N1107" s="33"/>
      <c r="O1107" s="34"/>
    </row>
    <row r="1108" ht="22.5" customHeight="1">
      <c r="A1108" s="21" t="s">
        <v>3073</v>
      </c>
      <c r="B1108" s="21" t="s">
        <v>1474</v>
      </c>
      <c r="C1108" s="21" t="str">
        <f t="array" ref="C1108">XLOOKUP(B1108,Customer[Customer_ID],Customer[Name(Cleaned)])</f>
        <v>Laura Mathews</v>
      </c>
      <c r="D1108" s="22" t="str">
        <f>VLOOKUP(B1108,Customer[#ALL],6)</f>
        <v>Female</v>
      </c>
      <c r="E1108" s="23">
        <f>Sales[Order_Date]</f>
        <v>45844</v>
      </c>
      <c r="F1108" s="21" t="str">
        <f>Sales[Store_ID]</f>
        <v>STORE8</v>
      </c>
      <c r="G1108" s="21" t="str">
        <f t="array" ref="G1108">INDEX(Store[Store_Name],MATCH(F1108,Store[Store_ID],0))</f>
        <v>Bean, Jones and Park</v>
      </c>
      <c r="H1108" s="21" t="str">
        <f>Sales[Product_ID]</f>
        <v>PROD84</v>
      </c>
      <c r="I1108" s="21" t="str">
        <f>VLOOKUP(H1108,Products[],2)</f>
        <v>Wooden Bookshelf</v>
      </c>
      <c r="J1108" s="24">
        <f>Sales[Total_Amount]</f>
        <v>905.23</v>
      </c>
      <c r="K1108" s="21" t="str">
        <f t="shared" si="1"/>
        <v>Jul</v>
      </c>
      <c r="L1108" s="21">
        <f t="shared" si="2"/>
        <v>2025</v>
      </c>
      <c r="N1108" s="33"/>
      <c r="O1108" s="34"/>
    </row>
    <row r="1109" ht="22.5" customHeight="1">
      <c r="A1109" s="21" t="s">
        <v>3074</v>
      </c>
      <c r="B1109" s="21" t="s">
        <v>625</v>
      </c>
      <c r="C1109" s="21" t="str">
        <f t="array" ref="C1109">XLOOKUP(B1109,Customer[Customer_ID],Customer[Name(Cleaned)])</f>
        <v>Jennifer Pruitt</v>
      </c>
      <c r="D1109" s="22" t="str">
        <f>VLOOKUP(B1109,Customer[#ALL],6)</f>
        <v>Female</v>
      </c>
      <c r="E1109" s="23">
        <f>Sales[Order_Date]</f>
        <v>45264</v>
      </c>
      <c r="F1109" s="21" t="str">
        <f>Sales[Store_ID]</f>
        <v>STORE19</v>
      </c>
      <c r="G1109" s="21" t="str">
        <f t="array" ref="G1109">INDEX(Store[Store_Name],MATCH(F1109,Store[Store_ID],0))</f>
        <v>Mann-Austin</v>
      </c>
      <c r="H1109" s="21" t="str">
        <f>Sales[Product_ID]</f>
        <v>PROD99</v>
      </c>
      <c r="I1109" s="21" t="str">
        <f>VLOOKUP(H1109,Products[],2)</f>
        <v>Stainless Steel Cookware Set</v>
      </c>
      <c r="J1109" s="24">
        <f>Sales[Total_Amount]</f>
        <v>274.0311</v>
      </c>
      <c r="K1109" s="21" t="str">
        <f t="shared" si="1"/>
        <v>Dec</v>
      </c>
      <c r="L1109" s="21">
        <f t="shared" si="2"/>
        <v>2023</v>
      </c>
      <c r="N1109" s="33"/>
      <c r="O1109" s="34"/>
    </row>
    <row r="1110" ht="22.5" customHeight="1">
      <c r="A1110" s="21" t="s">
        <v>3075</v>
      </c>
      <c r="B1110" s="21" t="s">
        <v>549</v>
      </c>
      <c r="C1110" s="21" t="str">
        <f t="array" ref="C1110">XLOOKUP(B1110,Customer[Customer_ID],Customer[Name(Cleaned)])</f>
        <v>Cynthia Morris</v>
      </c>
      <c r="D1110" s="22" t="str">
        <f>VLOOKUP(B1110,Customer[#ALL],6)</f>
        <v>Male</v>
      </c>
      <c r="E1110" s="23">
        <f>Sales[Order_Date]</f>
        <v>45773</v>
      </c>
      <c r="F1110" s="21" t="str">
        <f>Sales[Store_ID]</f>
        <v>STORE8</v>
      </c>
      <c r="G1110" s="21" t="str">
        <f t="array" ref="G1110">INDEX(Store[Store_Name],MATCH(F1110,Store[Store_ID],0))</f>
        <v>Bean, Jones and Park</v>
      </c>
      <c r="H1110" s="21" t="str">
        <f>Sales[Product_ID]</f>
        <v>PROD35</v>
      </c>
      <c r="I1110" s="21" t="str">
        <f>VLOOKUP(H1110,Products[],2)</f>
        <v>Bedroom Table Lamp</v>
      </c>
      <c r="J1110" s="24">
        <f>Sales[Total_Amount]</f>
        <v>2391.4527</v>
      </c>
      <c r="K1110" s="21" t="str">
        <f t="shared" si="1"/>
        <v>Apr</v>
      </c>
      <c r="L1110" s="21">
        <f t="shared" si="2"/>
        <v>2025</v>
      </c>
      <c r="N1110" s="33"/>
      <c r="O1110" s="34"/>
    </row>
    <row r="1111" ht="22.5" customHeight="1">
      <c r="A1111" s="21" t="s">
        <v>3076</v>
      </c>
      <c r="B1111" s="21" t="s">
        <v>450</v>
      </c>
      <c r="C1111" s="21" t="str">
        <f t="array" ref="C1111">XLOOKUP(B1111,Customer[Customer_ID],Customer[Name(Cleaned)])</f>
        <v>Susan Mcdonald</v>
      </c>
      <c r="D1111" s="22" t="str">
        <f>VLOOKUP(B1111,Customer[#ALL],6)</f>
        <v>Female</v>
      </c>
      <c r="E1111" s="23">
        <f>Sales[Order_Date]</f>
        <v>45460</v>
      </c>
      <c r="F1111" s="21" t="str">
        <f>Sales[Store_ID]</f>
        <v>STORE10</v>
      </c>
      <c r="G1111" s="21" t="str">
        <f t="array" ref="G1111">INDEX(Store[Store_Name],MATCH(F1111,Store[Store_ID],0))</f>
        <v>Hill, Wagner and Ballard</v>
      </c>
      <c r="H1111" s="21" t="str">
        <f>Sales[Product_ID]</f>
        <v>PROD89</v>
      </c>
      <c r="I1111" s="21" t="str">
        <f>VLOOKUP(H1111,Products[],2)</f>
        <v>Face Foundation Kit</v>
      </c>
      <c r="J1111" s="24">
        <f>Sales[Total_Amount]</f>
        <v>1014.2588</v>
      </c>
      <c r="K1111" s="21" t="str">
        <f t="shared" si="1"/>
        <v>Jun</v>
      </c>
      <c r="L1111" s="21">
        <f t="shared" si="2"/>
        <v>2024</v>
      </c>
      <c r="N1111" s="33"/>
      <c r="O1111" s="34"/>
    </row>
    <row r="1112" ht="22.5" customHeight="1">
      <c r="A1112" s="21" t="s">
        <v>3077</v>
      </c>
      <c r="B1112" s="21" t="s">
        <v>206</v>
      </c>
      <c r="C1112" s="21" t="str">
        <f t="array" ref="C1112">XLOOKUP(B1112,Customer[Customer_ID],Customer[Name(Cleaned)])</f>
        <v>Debra Liu</v>
      </c>
      <c r="D1112" s="22" t="str">
        <f>VLOOKUP(B1112,Customer[#ALL],6)</f>
        <v>Female</v>
      </c>
      <c r="E1112" s="23">
        <f>Sales[Order_Date]</f>
        <v>45607</v>
      </c>
      <c r="F1112" s="21" t="str">
        <f>Sales[Store_ID]</f>
        <v>STORE11</v>
      </c>
      <c r="G1112" s="21" t="str">
        <f t="array" ref="G1112">INDEX(Store[Store_Name],MATCH(F1112,Store[Store_ID],0))</f>
        <v>Aguirre-Keller</v>
      </c>
      <c r="H1112" s="21" t="str">
        <f>Sales[Product_ID]</f>
        <v>PROD61</v>
      </c>
      <c r="I1112" s="21" t="str">
        <f>VLOOKUP(H1112,Products[],2)</f>
        <v>Tennis Ball 3-Pack</v>
      </c>
      <c r="J1112" s="24">
        <f>Sales[Total_Amount]</f>
        <v>2694.3045</v>
      </c>
      <c r="K1112" s="21" t="str">
        <f t="shared" si="1"/>
        <v>Nov</v>
      </c>
      <c r="L1112" s="21">
        <f t="shared" si="2"/>
        <v>2024</v>
      </c>
      <c r="N1112" s="33"/>
      <c r="O1112" s="34"/>
    </row>
    <row r="1113" ht="22.5" customHeight="1">
      <c r="A1113" s="21" t="s">
        <v>3078</v>
      </c>
      <c r="B1113" s="21" t="s">
        <v>108</v>
      </c>
      <c r="C1113" s="21" t="str">
        <f t="array" ref="C1113">XLOOKUP(B1113,Customer[Customer_ID],Customer[Name(Cleaned)])</f>
        <v>Jonathan Steele</v>
      </c>
      <c r="D1113" s="22" t="str">
        <f>VLOOKUP(B1113,Customer[#ALL],6)</f>
        <v>Male</v>
      </c>
      <c r="E1113" s="23">
        <f>Sales[Order_Date]</f>
        <v>45267</v>
      </c>
      <c r="F1113" s="21" t="str">
        <f>Sales[Store_ID]</f>
        <v>STORE19</v>
      </c>
      <c r="G1113" s="21" t="str">
        <f t="array" ref="G1113">INDEX(Store[Store_Name],MATCH(F1113,Store[Store_ID],0))</f>
        <v>Mann-Austin</v>
      </c>
      <c r="H1113" s="21" t="str">
        <f>Sales[Product_ID]</f>
        <v>PROD76</v>
      </c>
      <c r="I1113" s="21" t="str">
        <f>VLOOKUP(H1113,Products[],2)</f>
        <v>Wireless Mouse</v>
      </c>
      <c r="J1113" s="24">
        <f>Sales[Total_Amount]</f>
        <v>170.4405</v>
      </c>
      <c r="K1113" s="21" t="str">
        <f t="shared" si="1"/>
        <v>Dec</v>
      </c>
      <c r="L1113" s="21">
        <f t="shared" si="2"/>
        <v>2023</v>
      </c>
      <c r="N1113" s="33"/>
      <c r="O1113" s="34"/>
    </row>
    <row r="1114" ht="22.5" customHeight="1">
      <c r="A1114" s="21" t="s">
        <v>3079</v>
      </c>
      <c r="B1114" s="21" t="s">
        <v>219</v>
      </c>
      <c r="C1114" s="21" t="str">
        <f t="array" ref="C1114">XLOOKUP(B1114,Customer[Customer_ID],Customer[Name(Cleaned)])</f>
        <v>Christopher Sutton</v>
      </c>
      <c r="D1114" s="22" t="str">
        <f>VLOOKUP(B1114,Customer[#ALL],6)</f>
        <v>Male</v>
      </c>
      <c r="E1114" s="23">
        <f>Sales[Order_Date]</f>
        <v>45446</v>
      </c>
      <c r="F1114" s="21" t="str">
        <f>Sales[Store_ID]</f>
        <v>STORE8</v>
      </c>
      <c r="G1114" s="21" t="str">
        <f t="array" ref="G1114">INDEX(Store[Store_Name],MATCH(F1114,Store[Store_ID],0))</f>
        <v>Bean, Jones and Park</v>
      </c>
      <c r="H1114" s="21" t="str">
        <f>Sales[Product_ID]</f>
        <v>PROD49</v>
      </c>
      <c r="I1114" s="21" t="str">
        <f>VLOOKUP(H1114,Products[],2)</f>
        <v>Men's Roll-On Perfume</v>
      </c>
      <c r="J1114" s="24">
        <f>Sales[Total_Amount]</f>
        <v>2742.15</v>
      </c>
      <c r="K1114" s="21" t="str">
        <f t="shared" si="1"/>
        <v>Jun</v>
      </c>
      <c r="L1114" s="21">
        <f t="shared" si="2"/>
        <v>2024</v>
      </c>
      <c r="N1114" s="33"/>
      <c r="O1114" s="34"/>
    </row>
    <row r="1115" ht="22.5" customHeight="1">
      <c r="A1115" s="21" t="s">
        <v>3080</v>
      </c>
      <c r="B1115" s="21" t="s">
        <v>498</v>
      </c>
      <c r="C1115" s="21" t="str">
        <f t="array" ref="C1115">XLOOKUP(B1115,Customer[Customer_ID],Customer[Name(Cleaned)])</f>
        <v>Justin Cross</v>
      </c>
      <c r="D1115" s="22" t="str">
        <f>VLOOKUP(B1115,Customer[#ALL],6)</f>
        <v>Male</v>
      </c>
      <c r="E1115" s="23">
        <f>Sales[Order_Date]</f>
        <v>45843</v>
      </c>
      <c r="F1115" s="21" t="str">
        <f>Sales[Store_ID]</f>
        <v>STORE17</v>
      </c>
      <c r="G1115" s="21" t="str">
        <f t="array" ref="G1115">INDEX(Store[Store_Name],MATCH(F1115,Store[Store_ID],0))</f>
        <v>Holloway Ltd</v>
      </c>
      <c r="H1115" s="21" t="str">
        <f>Sales[Product_ID]</f>
        <v>PROD72</v>
      </c>
      <c r="I1115" s="21" t="str">
        <f>VLOOKUP(H1115,Products[],2)</f>
        <v>Professional Jump Rope</v>
      </c>
      <c r="J1115" s="24">
        <f>Sales[Total_Amount]</f>
        <v>2159.4276</v>
      </c>
      <c r="K1115" s="21" t="str">
        <f t="shared" si="1"/>
        <v>Jul</v>
      </c>
      <c r="L1115" s="21">
        <f t="shared" si="2"/>
        <v>2025</v>
      </c>
      <c r="N1115" s="33"/>
      <c r="O1115" s="34"/>
    </row>
    <row r="1116" ht="22.5" customHeight="1">
      <c r="A1116" s="21" t="s">
        <v>3081</v>
      </c>
      <c r="B1116" s="21" t="s">
        <v>576</v>
      </c>
      <c r="C1116" s="21" t="str">
        <f t="array" ref="C1116">XLOOKUP(B1116,Customer[Customer_ID],Customer[Name(Cleaned)])</f>
        <v>Christopher Garcia Dds</v>
      </c>
      <c r="D1116" s="22" t="str">
        <f>VLOOKUP(B1116,Customer[#ALL],6)</f>
        <v>Female</v>
      </c>
      <c r="E1116" s="23">
        <f>Sales[Order_Date]</f>
        <v>45725</v>
      </c>
      <c r="F1116" s="21" t="str">
        <f>Sales[Store_ID]</f>
        <v>STORE6</v>
      </c>
      <c r="G1116" s="21" t="str">
        <f t="array" ref="G1116">INDEX(Store[Store_Name],MATCH(F1116,Store[Store_ID],0))</f>
        <v>Benson-Elliott</v>
      </c>
      <c r="H1116" s="21" t="str">
        <f>Sales[Product_ID]</f>
        <v>PROD83</v>
      </c>
      <c r="I1116" s="21" t="str">
        <f>VLOOKUP(H1116,Products[],2)</f>
        <v>Hydrating Face Cleanser</v>
      </c>
      <c r="J1116" s="24">
        <f>Sales[Total_Amount]</f>
        <v>1661.8032</v>
      </c>
      <c r="K1116" s="21" t="str">
        <f t="shared" si="1"/>
        <v>Mar</v>
      </c>
      <c r="L1116" s="21">
        <f t="shared" si="2"/>
        <v>2025</v>
      </c>
      <c r="N1116" s="33"/>
      <c r="O1116" s="34"/>
    </row>
    <row r="1117" ht="22.5" customHeight="1">
      <c r="A1117" s="21" t="s">
        <v>3082</v>
      </c>
      <c r="B1117" s="21" t="s">
        <v>498</v>
      </c>
      <c r="C1117" s="21" t="str">
        <f t="array" ref="C1117">XLOOKUP(B1117,Customer[Customer_ID],Customer[Name(Cleaned)])</f>
        <v>Justin Cross</v>
      </c>
      <c r="D1117" s="22" t="str">
        <f>VLOOKUP(B1117,Customer[#ALL],6)</f>
        <v>Male</v>
      </c>
      <c r="E1117" s="23">
        <f>Sales[Order_Date]</f>
        <v>45742</v>
      </c>
      <c r="F1117" s="21" t="str">
        <f>Sales[Store_ID]</f>
        <v>STORE4</v>
      </c>
      <c r="G1117" s="21" t="str">
        <f t="array" ref="G1117">INDEX(Store[Store_Name],MATCH(F1117,Store[Store_ID],0))</f>
        <v>Alexander Group</v>
      </c>
      <c r="H1117" s="21" t="str">
        <f>Sales[Product_ID]</f>
        <v>PROD33</v>
      </c>
      <c r="I1117" s="21" t="str">
        <f>VLOOKUP(H1117,Products[],2)</f>
        <v>Modern Wall Clock</v>
      </c>
      <c r="J1117" s="24">
        <f>Sales[Total_Amount]</f>
        <v>752.862</v>
      </c>
      <c r="K1117" s="21" t="str">
        <f t="shared" si="1"/>
        <v>Mar</v>
      </c>
      <c r="L1117" s="21">
        <f t="shared" si="2"/>
        <v>2025</v>
      </c>
      <c r="N1117" s="33"/>
      <c r="O1117" s="34"/>
    </row>
    <row r="1118" ht="22.5" customHeight="1">
      <c r="A1118" s="21" t="s">
        <v>3083</v>
      </c>
      <c r="B1118" s="21" t="s">
        <v>389</v>
      </c>
      <c r="C1118" s="21" t="str">
        <f t="array" ref="C1118">XLOOKUP(B1118,Customer[Customer_ID],Customer[Name(Cleaned)])</f>
        <v>Travis Holland</v>
      </c>
      <c r="D1118" s="22" t="str">
        <f>VLOOKUP(B1118,Customer[#ALL],6)</f>
        <v>Female</v>
      </c>
      <c r="E1118" s="23">
        <f>Sales[Order_Date]</f>
        <v>45750</v>
      </c>
      <c r="F1118" s="21" t="str">
        <f>Sales[Store_ID]</f>
        <v>STORE1</v>
      </c>
      <c r="G1118" s="21" t="str">
        <f t="array" ref="G1118">INDEX(Store[Store_Name],MATCH(F1118,Store[Store_ID],0))</f>
        <v>Martinez, Adkins and Johnson</v>
      </c>
      <c r="H1118" s="21" t="str">
        <f>Sales[Product_ID]</f>
        <v>PROD62</v>
      </c>
      <c r="I1118" s="21" t="str">
        <f>VLOOKUP(H1118,Products[],2)</f>
        <v>Laptop Cooling Pad</v>
      </c>
      <c r="J1118" s="24">
        <f>Sales[Total_Amount]</f>
        <v>1175.2416</v>
      </c>
      <c r="K1118" s="21" t="str">
        <f t="shared" si="1"/>
        <v>Apr</v>
      </c>
      <c r="L1118" s="21">
        <f t="shared" si="2"/>
        <v>2025</v>
      </c>
      <c r="N1118" s="33"/>
      <c r="O1118" s="34"/>
    </row>
    <row r="1119" ht="22.5" customHeight="1">
      <c r="A1119" s="21" t="s">
        <v>3084</v>
      </c>
      <c r="B1119" s="21" t="s">
        <v>1471</v>
      </c>
      <c r="C1119" s="21" t="str">
        <f t="array" ref="C1119">XLOOKUP(B1119,Customer[Customer_ID],Customer[Name(Cleaned)])</f>
        <v>Philip Mendoza</v>
      </c>
      <c r="D1119" s="22" t="str">
        <f>VLOOKUP(B1119,Customer[#ALL],6)</f>
        <v>Female</v>
      </c>
      <c r="E1119" s="23">
        <f>Sales[Order_Date]</f>
        <v>45327</v>
      </c>
      <c r="F1119" s="21" t="str">
        <f>Sales[Store_ID]</f>
        <v>STORE9</v>
      </c>
      <c r="G1119" s="21" t="str">
        <f t="array" ref="G1119">INDEX(Store[Store_Name],MATCH(F1119,Store[Store_ID],0))</f>
        <v>Moore, Padilla and Butler</v>
      </c>
      <c r="H1119" s="21" t="str">
        <f>Sales[Product_ID]</f>
        <v>PROD34</v>
      </c>
      <c r="I1119" s="21" t="str">
        <f>VLOOKUP(H1119,Products[],2)</f>
        <v>Gaming Mechanical Keyboard</v>
      </c>
      <c r="J1119" s="24">
        <f>Sales[Total_Amount]</f>
        <v>859.7808</v>
      </c>
      <c r="K1119" s="21" t="str">
        <f t="shared" si="1"/>
        <v>Feb</v>
      </c>
      <c r="L1119" s="21">
        <f t="shared" si="2"/>
        <v>2024</v>
      </c>
      <c r="N1119" s="33"/>
      <c r="O1119" s="34"/>
    </row>
    <row r="1120" ht="22.5" customHeight="1">
      <c r="A1120" s="21" t="s">
        <v>3085</v>
      </c>
      <c r="B1120" s="21" t="s">
        <v>104</v>
      </c>
      <c r="C1120" s="21" t="str">
        <f t="array" ref="C1120">XLOOKUP(B1120,Customer[Customer_ID],Customer[Name(Cleaned)])</f>
        <v>Paul Fox</v>
      </c>
      <c r="D1120" s="22" t="str">
        <f>VLOOKUP(B1120,Customer[#ALL],6)</f>
        <v>Male</v>
      </c>
      <c r="E1120" s="23">
        <f>Sales[Order_Date]</f>
        <v>45465</v>
      </c>
      <c r="F1120" s="21" t="str">
        <f>Sales[Store_ID]</f>
        <v>STORE9</v>
      </c>
      <c r="G1120" s="21" t="str">
        <f t="array" ref="G1120">INDEX(Store[Store_Name],MATCH(F1120,Store[Store_ID],0))</f>
        <v>Moore, Padilla and Butler</v>
      </c>
      <c r="H1120" s="21" t="str">
        <f>Sales[Product_ID]</f>
        <v>PROD67</v>
      </c>
      <c r="I1120" s="21" t="str">
        <f>VLOOKUP(H1120,Products[],2)</f>
        <v>Smart LED Light Strip</v>
      </c>
      <c r="J1120" s="24">
        <f>Sales[Total_Amount]</f>
        <v>1909.9608</v>
      </c>
      <c r="K1120" s="21" t="str">
        <f t="shared" si="1"/>
        <v>Jun</v>
      </c>
      <c r="L1120" s="21">
        <f t="shared" si="2"/>
        <v>2024</v>
      </c>
      <c r="N1120" s="33"/>
      <c r="O1120" s="34"/>
    </row>
    <row r="1121" ht="22.5" customHeight="1">
      <c r="A1121" s="21" t="s">
        <v>3086</v>
      </c>
      <c r="B1121" s="21" t="s">
        <v>1371</v>
      </c>
      <c r="C1121" s="21" t="str">
        <f t="array" ref="C1121">XLOOKUP(B1121,Customer[Customer_ID],Customer[Name(Cleaned)])</f>
        <v>Melinda Rivera</v>
      </c>
      <c r="D1121" s="22" t="str">
        <f>VLOOKUP(B1121,Customer[#ALL],6)</f>
        <v>Male</v>
      </c>
      <c r="E1121" s="23">
        <f>Sales[Order_Date]</f>
        <v>45883</v>
      </c>
      <c r="F1121" s="21" t="str">
        <f>Sales[Store_ID]</f>
        <v>STORE5</v>
      </c>
      <c r="G1121" s="21" t="str">
        <f t="array" ref="G1121">INDEX(Store[Store_Name],MATCH(F1121,Store[Store_ID],0))</f>
        <v>Gray Ltd</v>
      </c>
      <c r="H1121" s="21" t="str">
        <f>Sales[Product_ID]</f>
        <v>PROD88</v>
      </c>
      <c r="I1121" s="21" t="str">
        <f>VLOOKUP(H1121,Products[],2)</f>
        <v>Sports Wrist Sweatbands</v>
      </c>
      <c r="J1121" s="24">
        <f>Sales[Total_Amount]</f>
        <v>374.3454</v>
      </c>
      <c r="K1121" s="21" t="str">
        <f t="shared" si="1"/>
        <v>Aug</v>
      </c>
      <c r="L1121" s="21">
        <f t="shared" si="2"/>
        <v>2025</v>
      </c>
      <c r="N1121" s="33"/>
      <c r="O1121" s="34"/>
    </row>
    <row r="1122" ht="22.5" customHeight="1">
      <c r="A1122" s="21" t="s">
        <v>3087</v>
      </c>
      <c r="B1122" s="21" t="s">
        <v>794</v>
      </c>
      <c r="C1122" s="21" t="str">
        <f t="array" ref="C1122">XLOOKUP(B1122,Customer[Customer_ID],Customer[Name(Cleaned)])</f>
        <v>Brian Hammond</v>
      </c>
      <c r="D1122" s="22" t="str">
        <f>VLOOKUP(B1122,Customer[#ALL],6)</f>
        <v>Male</v>
      </c>
      <c r="E1122" s="23">
        <f>Sales[Order_Date]</f>
        <v>45445</v>
      </c>
      <c r="F1122" s="21" t="str">
        <f>Sales[Store_ID]</f>
        <v>STORE16</v>
      </c>
      <c r="G1122" s="21" t="str">
        <f t="array" ref="G1122">INDEX(Store[Store_Name],MATCH(F1122,Store[Store_ID],0))</f>
        <v>Frederick-Wright</v>
      </c>
      <c r="H1122" s="21" t="str">
        <f>Sales[Product_ID]</f>
        <v>PROD34</v>
      </c>
      <c r="I1122" s="21" t="str">
        <f>VLOOKUP(H1122,Products[],2)</f>
        <v>Gaming Mechanical Keyboard</v>
      </c>
      <c r="J1122" s="24">
        <f>Sales[Total_Amount]</f>
        <v>1146.4796</v>
      </c>
      <c r="K1122" s="21" t="str">
        <f t="shared" si="1"/>
        <v>Jun</v>
      </c>
      <c r="L1122" s="21">
        <f t="shared" si="2"/>
        <v>2024</v>
      </c>
      <c r="N1122" s="33"/>
      <c r="O1122" s="34"/>
    </row>
    <row r="1123" ht="22.5" customHeight="1">
      <c r="A1123" s="21" t="s">
        <v>3088</v>
      </c>
      <c r="B1123" s="21" t="s">
        <v>622</v>
      </c>
      <c r="C1123" s="21" t="str">
        <f t="array" ref="C1123">XLOOKUP(B1123,Customer[Customer_ID],Customer[Name(Cleaned)])</f>
        <v>Brent Rivas</v>
      </c>
      <c r="D1123" s="22" t="str">
        <f>VLOOKUP(B1123,Customer[#ALL],6)</f>
        <v>Male</v>
      </c>
      <c r="E1123" s="23">
        <f>Sales[Order_Date]</f>
        <v>45640</v>
      </c>
      <c r="F1123" s="21" t="str">
        <f>Sales[Store_ID]</f>
        <v>STORE3</v>
      </c>
      <c r="G1123" s="21" t="str">
        <f t="array" ref="G1123">INDEX(Store[Store_Name],MATCH(F1123,Store[Store_ID],0))</f>
        <v>Johnson-Wright</v>
      </c>
      <c r="H1123" s="21" t="str">
        <f>Sales[Product_ID]</f>
        <v>PROD79</v>
      </c>
      <c r="I1123" s="21" t="str">
        <f>VLOOKUP(H1123,Products[],2)</f>
        <v>Decorative Lamp Shade</v>
      </c>
      <c r="J1123" s="24">
        <f>Sales[Total_Amount]</f>
        <v>125.8389</v>
      </c>
      <c r="K1123" s="21" t="str">
        <f t="shared" si="1"/>
        <v>Dec</v>
      </c>
      <c r="L1123" s="21">
        <f t="shared" si="2"/>
        <v>2024</v>
      </c>
      <c r="N1123" s="33"/>
      <c r="O1123" s="34"/>
    </row>
    <row r="1124" ht="22.5" customHeight="1">
      <c r="A1124" s="21" t="s">
        <v>3089</v>
      </c>
      <c r="B1124" s="21" t="s">
        <v>619</v>
      </c>
      <c r="C1124" s="21" t="str">
        <f t="array" ref="C1124">XLOOKUP(B1124,Customer[Customer_ID],Customer[Name(Cleaned)])</f>
        <v>Leonard Cochran</v>
      </c>
      <c r="D1124" s="22" t="str">
        <f>VLOOKUP(B1124,Customer[#ALL],6)</f>
        <v>Male</v>
      </c>
      <c r="E1124" s="23">
        <f>Sales[Order_Date]</f>
        <v>45411</v>
      </c>
      <c r="F1124" s="21" t="str">
        <f>Sales[Store_ID]</f>
        <v>STORE17</v>
      </c>
      <c r="G1124" s="21" t="str">
        <f t="array" ref="G1124">INDEX(Store[Store_Name],MATCH(F1124,Store[Store_ID],0))</f>
        <v>Holloway Ltd</v>
      </c>
      <c r="H1124" s="21" t="str">
        <f>Sales[Product_ID]</f>
        <v>PROD34</v>
      </c>
      <c r="I1124" s="21" t="str">
        <f>VLOOKUP(H1124,Products[],2)</f>
        <v>Gaming Mechanical Keyboard</v>
      </c>
      <c r="J1124" s="24">
        <f>Sales[Total_Amount]</f>
        <v>3576.0384</v>
      </c>
      <c r="K1124" s="21" t="str">
        <f t="shared" si="1"/>
        <v>Apr</v>
      </c>
      <c r="L1124" s="21">
        <f t="shared" si="2"/>
        <v>2024</v>
      </c>
      <c r="N1124" s="33"/>
      <c r="O1124" s="34"/>
    </row>
    <row r="1125" ht="22.5" customHeight="1">
      <c r="A1125" s="21" t="s">
        <v>3090</v>
      </c>
      <c r="B1125" s="21" t="s">
        <v>1176</v>
      </c>
      <c r="C1125" s="21" t="str">
        <f t="array" ref="C1125">XLOOKUP(B1125,Customer[Customer_ID],Customer[Name(Cleaned)])</f>
        <v>Michael Garner</v>
      </c>
      <c r="D1125" s="22" t="str">
        <f>VLOOKUP(B1125,Customer[#ALL],6)</f>
        <v>Male</v>
      </c>
      <c r="E1125" s="23">
        <f>Sales[Order_Date]</f>
        <v>45224</v>
      </c>
      <c r="F1125" s="21" t="str">
        <f>Sales[Store_ID]</f>
        <v>STORE8</v>
      </c>
      <c r="G1125" s="21" t="str">
        <f t="array" ref="G1125">INDEX(Store[Store_Name],MATCH(F1125,Store[Store_ID],0))</f>
        <v>Bean, Jones and Park</v>
      </c>
      <c r="H1125" s="21" t="str">
        <f>Sales[Product_ID]</f>
        <v>PROD67</v>
      </c>
      <c r="I1125" s="21" t="str">
        <f>VLOOKUP(H1125,Products[],2)</f>
        <v>Smart LED Light Strip</v>
      </c>
      <c r="J1125" s="24">
        <f>Sales[Total_Amount]</f>
        <v>595.9776</v>
      </c>
      <c r="K1125" s="21" t="str">
        <f t="shared" si="1"/>
        <v>Oct</v>
      </c>
      <c r="L1125" s="21">
        <f t="shared" si="2"/>
        <v>2023</v>
      </c>
      <c r="N1125" s="33"/>
      <c r="O1125" s="34"/>
    </row>
    <row r="1126" ht="22.5" customHeight="1">
      <c r="A1126" s="21" t="s">
        <v>3091</v>
      </c>
      <c r="B1126" s="21" t="s">
        <v>1251</v>
      </c>
      <c r="C1126" s="21" t="str">
        <f t="array" ref="C1126">XLOOKUP(B1126,Customer[Customer_ID],Customer[Name(Cleaned)])</f>
        <v>Alexander Byrd</v>
      </c>
      <c r="D1126" s="22" t="str">
        <f>VLOOKUP(B1126,Customer[#ALL],6)</f>
        <v>Male</v>
      </c>
      <c r="E1126" s="23">
        <f>Sales[Order_Date]</f>
        <v>45447</v>
      </c>
      <c r="F1126" s="21" t="str">
        <f>Sales[Store_ID]</f>
        <v>STORE18</v>
      </c>
      <c r="G1126" s="21" t="str">
        <f t="array" ref="G1126">INDEX(Store[Store_Name],MATCH(F1126,Store[Store_ID],0))</f>
        <v>Guerrero-Schmitt</v>
      </c>
      <c r="H1126" s="21" t="str">
        <f>Sales[Product_ID]</f>
        <v>PROD43</v>
      </c>
      <c r="I1126" s="21" t="str">
        <f>VLOOKUP(H1126,Products[],2)</f>
        <v>USB External Hard Drive</v>
      </c>
      <c r="J1126" s="24">
        <f>Sales[Total_Amount]</f>
        <v>459.8568</v>
      </c>
      <c r="K1126" s="21" t="str">
        <f t="shared" si="1"/>
        <v>Jun</v>
      </c>
      <c r="L1126" s="21">
        <f t="shared" si="2"/>
        <v>2024</v>
      </c>
      <c r="N1126" s="33"/>
      <c r="O1126" s="34"/>
    </row>
    <row r="1127" ht="22.5" customHeight="1">
      <c r="A1127" s="21" t="s">
        <v>3092</v>
      </c>
      <c r="B1127" s="21" t="s">
        <v>346</v>
      </c>
      <c r="C1127" s="21" t="str">
        <f t="array" ref="C1127">XLOOKUP(B1127,Customer[Customer_ID],Customer[Name(Cleaned)])</f>
        <v>David Patterson</v>
      </c>
      <c r="D1127" s="22" t="str">
        <f>VLOOKUP(B1127,Customer[#ALL],6)</f>
        <v>Male</v>
      </c>
      <c r="E1127" s="23">
        <f>Sales[Order_Date]</f>
        <v>45497</v>
      </c>
      <c r="F1127" s="21" t="str">
        <f>Sales[Store_ID]</f>
        <v>STORE2</v>
      </c>
      <c r="G1127" s="21" t="str">
        <f t="array" ref="G1127">INDEX(Store[Store_Name],MATCH(F1127,Store[Store_ID],0))</f>
        <v>Black-Horn</v>
      </c>
      <c r="H1127" s="21" t="str">
        <f>Sales[Product_ID]</f>
        <v>PROD50</v>
      </c>
      <c r="I1127" s="21" t="str">
        <f>VLOOKUP(H1127,Products[],2)</f>
        <v>Boxing Hand Wraps</v>
      </c>
      <c r="J1127" s="24">
        <f>Sales[Total_Amount]</f>
        <v>600.9798</v>
      </c>
      <c r="K1127" s="21" t="str">
        <f t="shared" si="1"/>
        <v>Jul</v>
      </c>
      <c r="L1127" s="21">
        <f t="shared" si="2"/>
        <v>2024</v>
      </c>
      <c r="N1127" s="33"/>
      <c r="O1127" s="34"/>
    </row>
    <row r="1128" ht="22.5" customHeight="1">
      <c r="A1128" s="21" t="s">
        <v>3093</v>
      </c>
      <c r="B1128" s="21" t="s">
        <v>66</v>
      </c>
      <c r="C1128" s="21" t="str">
        <f t="array" ref="C1128">XLOOKUP(B1128,Customer[Customer_ID],Customer[Name(Cleaned)])</f>
        <v>Kenneth Lambert</v>
      </c>
      <c r="D1128" s="22" t="str">
        <f>VLOOKUP(B1128,Customer[#ALL],6)</f>
        <v>Male</v>
      </c>
      <c r="E1128" s="23">
        <f>Sales[Order_Date]</f>
        <v>45807</v>
      </c>
      <c r="F1128" s="21" t="str">
        <f>Sales[Store_ID]</f>
        <v>STORE8</v>
      </c>
      <c r="G1128" s="21" t="str">
        <f t="array" ref="G1128">INDEX(Store[Store_Name],MATCH(F1128,Store[Store_ID],0))</f>
        <v>Bean, Jones and Park</v>
      </c>
      <c r="H1128" s="21" t="str">
        <f>Sales[Product_ID]</f>
        <v>PROD27</v>
      </c>
      <c r="I1128" s="21" t="str">
        <f>VLOOKUP(H1128,Products[],2)</f>
        <v>Decorative Floor Vase</v>
      </c>
      <c r="J1128" s="24">
        <f>Sales[Total_Amount]</f>
        <v>1491.4119</v>
      </c>
      <c r="K1128" s="21" t="str">
        <f t="shared" si="1"/>
        <v>May</v>
      </c>
      <c r="L1128" s="21">
        <f t="shared" si="2"/>
        <v>2025</v>
      </c>
      <c r="N1128" s="33"/>
      <c r="O1128" s="34"/>
    </row>
    <row r="1129" ht="22.5" customHeight="1">
      <c r="A1129" s="21" t="s">
        <v>3094</v>
      </c>
      <c r="B1129" s="21" t="s">
        <v>1384</v>
      </c>
      <c r="C1129" s="21" t="str">
        <f t="array" ref="C1129">XLOOKUP(B1129,Customer[Customer_ID],Customer[Name(Cleaned)])</f>
        <v>Kelli Smith</v>
      </c>
      <c r="D1129" s="22" t="str">
        <f>VLOOKUP(B1129,Customer[#ALL],6)</f>
        <v>Male</v>
      </c>
      <c r="E1129" s="23">
        <f>Sales[Order_Date]</f>
        <v>45942</v>
      </c>
      <c r="F1129" s="21" t="str">
        <f>Sales[Store_ID]</f>
        <v>STORE19</v>
      </c>
      <c r="G1129" s="21" t="str">
        <f t="array" ref="G1129">INDEX(Store[Store_Name],MATCH(F1129,Store[Store_ID],0))</f>
        <v>Mann-Austin</v>
      </c>
      <c r="H1129" s="21" t="str">
        <f>Sales[Product_ID]</f>
        <v>PROD56</v>
      </c>
      <c r="I1129" s="21" t="str">
        <f>VLOOKUP(H1129,Products[],2)</f>
        <v>Premium Blanket Throw</v>
      </c>
      <c r="J1129" s="24">
        <f>Sales[Total_Amount]</f>
        <v>417.0084</v>
      </c>
      <c r="K1129" s="21" t="str">
        <f t="shared" si="1"/>
        <v>Oct</v>
      </c>
      <c r="L1129" s="21">
        <f t="shared" si="2"/>
        <v>2025</v>
      </c>
      <c r="N1129" s="33"/>
      <c r="O1129" s="34"/>
    </row>
    <row r="1130" ht="22.5" customHeight="1">
      <c r="A1130" s="21" t="s">
        <v>3095</v>
      </c>
      <c r="B1130" s="21" t="s">
        <v>984</v>
      </c>
      <c r="C1130" s="21" t="str">
        <f t="array" ref="C1130">XLOOKUP(B1130,Customer[Customer_ID],Customer[Name(Cleaned)])</f>
        <v>Brandy Thompson</v>
      </c>
      <c r="D1130" s="22" t="str">
        <f>VLOOKUP(B1130,Customer[#ALL],6)</f>
        <v>Male</v>
      </c>
      <c r="E1130" s="23">
        <f>Sales[Order_Date]</f>
        <v>45314</v>
      </c>
      <c r="F1130" s="21" t="str">
        <f>Sales[Store_ID]</f>
        <v>STORE2</v>
      </c>
      <c r="G1130" s="21" t="str">
        <f t="array" ref="G1130">INDEX(Store[Store_Name],MATCH(F1130,Store[Store_ID],0))</f>
        <v>Black-Horn</v>
      </c>
      <c r="H1130" s="21" t="str">
        <f>Sales[Product_ID]</f>
        <v>PROD78</v>
      </c>
      <c r="I1130" s="21" t="str">
        <f>VLOOKUP(H1130,Products[],2)</f>
        <v>Essential Oil Diffuser</v>
      </c>
      <c r="J1130" s="24">
        <f>Sales[Total_Amount]</f>
        <v>558.3902</v>
      </c>
      <c r="K1130" s="21" t="str">
        <f t="shared" si="1"/>
        <v>Jan</v>
      </c>
      <c r="L1130" s="21">
        <f t="shared" si="2"/>
        <v>2024</v>
      </c>
      <c r="N1130" s="33"/>
      <c r="O1130" s="34"/>
    </row>
    <row r="1131" ht="22.5" customHeight="1">
      <c r="A1131" s="21" t="s">
        <v>3096</v>
      </c>
      <c r="B1131" s="21" t="s">
        <v>663</v>
      </c>
      <c r="C1131" s="21" t="str">
        <f t="array" ref="C1131">XLOOKUP(B1131,Customer[Customer_ID],Customer[Name(Cleaned)])</f>
        <v>Carmen Price</v>
      </c>
      <c r="D1131" s="22" t="str">
        <f>VLOOKUP(B1131,Customer[#ALL],6)</f>
        <v>Female</v>
      </c>
      <c r="E1131" s="23">
        <f>Sales[Order_Date]</f>
        <v>45943</v>
      </c>
      <c r="F1131" s="21" t="str">
        <f>Sales[Store_ID]</f>
        <v>STORE16</v>
      </c>
      <c r="G1131" s="21" t="str">
        <f t="array" ref="G1131">INDEX(Store[Store_Name],MATCH(F1131,Store[Store_ID],0))</f>
        <v>Frederick-Wright</v>
      </c>
      <c r="H1131" s="21" t="str">
        <f>Sales[Product_ID]</f>
        <v>PROD48</v>
      </c>
      <c r="I1131" s="21" t="str">
        <f>VLOOKUP(H1131,Products[],2)</f>
        <v>Car Dashboard Phone Holder</v>
      </c>
      <c r="J1131" s="24">
        <f>Sales[Total_Amount]</f>
        <v>574.1216</v>
      </c>
      <c r="K1131" s="21" t="str">
        <f t="shared" si="1"/>
        <v>Oct</v>
      </c>
      <c r="L1131" s="21">
        <f t="shared" si="2"/>
        <v>2025</v>
      </c>
      <c r="N1131" s="33"/>
      <c r="O1131" s="34"/>
    </row>
    <row r="1132" ht="22.5" customHeight="1">
      <c r="A1132" s="21" t="s">
        <v>3097</v>
      </c>
      <c r="B1132" s="21" t="s">
        <v>1387</v>
      </c>
      <c r="C1132" s="21" t="str">
        <f t="array" ref="C1132">XLOOKUP(B1132,Customer[Customer_ID],Customer[Name(Cleaned)])</f>
        <v>Adam Castro</v>
      </c>
      <c r="D1132" s="22" t="str">
        <f>VLOOKUP(B1132,Customer[#ALL],6)</f>
        <v>Female</v>
      </c>
      <c r="E1132" s="23">
        <f>Sales[Order_Date]</f>
        <v>45356</v>
      </c>
      <c r="F1132" s="21" t="str">
        <f>Sales[Store_ID]</f>
        <v>STORE9</v>
      </c>
      <c r="G1132" s="21" t="str">
        <f t="array" ref="G1132">INDEX(Store[Store_Name],MATCH(F1132,Store[Store_ID],0))</f>
        <v>Moore, Padilla and Butler</v>
      </c>
      <c r="H1132" s="21" t="str">
        <f>Sales[Product_ID]</f>
        <v>PROD14</v>
      </c>
      <c r="I1132" s="21" t="str">
        <f>VLOOKUP(H1132,Products[],2)</f>
        <v>Decorative Wall Mirror</v>
      </c>
      <c r="J1132" s="24">
        <f>Sales[Total_Amount]</f>
        <v>907.5255</v>
      </c>
      <c r="K1132" s="21" t="str">
        <f t="shared" si="1"/>
        <v>Mar</v>
      </c>
      <c r="L1132" s="21">
        <f t="shared" si="2"/>
        <v>2024</v>
      </c>
      <c r="N1132" s="33"/>
      <c r="O1132" s="34"/>
    </row>
    <row r="1133" ht="22.5" customHeight="1">
      <c r="A1133" s="21" t="s">
        <v>3098</v>
      </c>
      <c r="B1133" s="21" t="s">
        <v>525</v>
      </c>
      <c r="C1133" s="21" t="str">
        <f t="array" ref="C1133">XLOOKUP(B1133,Customer[Customer_ID],Customer[Name(Cleaned)])</f>
        <v>Joseph Faulkner</v>
      </c>
      <c r="D1133" s="22" t="str">
        <f>VLOOKUP(B1133,Customer[#ALL],6)</f>
        <v>Female</v>
      </c>
      <c r="E1133" s="23">
        <f>Sales[Order_Date]</f>
        <v>45854</v>
      </c>
      <c r="F1133" s="21" t="str">
        <f>Sales[Store_ID]</f>
        <v>STORE8</v>
      </c>
      <c r="G1133" s="21" t="str">
        <f t="array" ref="G1133">INDEX(Store[Store_Name],MATCH(F1133,Store[Store_ID],0))</f>
        <v>Bean, Jones and Park</v>
      </c>
      <c r="H1133" s="21" t="str">
        <f>Sales[Product_ID]</f>
        <v>PROD72</v>
      </c>
      <c r="I1133" s="21" t="str">
        <f>VLOOKUP(H1133,Products[],2)</f>
        <v>Professional Jump Rope</v>
      </c>
      <c r="J1133" s="24">
        <f>Sales[Total_Amount]</f>
        <v>390.816</v>
      </c>
      <c r="K1133" s="21" t="str">
        <f t="shared" si="1"/>
        <v>Jul</v>
      </c>
      <c r="L1133" s="21">
        <f t="shared" si="2"/>
        <v>2025</v>
      </c>
      <c r="N1133" s="33"/>
      <c r="O1133" s="34"/>
    </row>
    <row r="1134" ht="22.5" customHeight="1">
      <c r="A1134" s="21" t="s">
        <v>3099</v>
      </c>
      <c r="B1134" s="21" t="s">
        <v>864</v>
      </c>
      <c r="C1134" s="21" t="str">
        <f t="array" ref="C1134">XLOOKUP(B1134,Customer[Customer_ID],Customer[Name(Cleaned)])</f>
        <v>Cynthia Payne</v>
      </c>
      <c r="D1134" s="22" t="str">
        <f>VLOOKUP(B1134,Customer[#ALL],6)</f>
        <v>Male</v>
      </c>
      <c r="E1134" s="23">
        <f>Sales[Order_Date]</f>
        <v>45219</v>
      </c>
      <c r="F1134" s="21" t="str">
        <f>Sales[Store_ID]</f>
        <v>STORE19</v>
      </c>
      <c r="G1134" s="21" t="str">
        <f t="array" ref="G1134">INDEX(Store[Store_Name],MATCH(F1134,Store[Store_ID],0))</f>
        <v>Mann-Austin</v>
      </c>
      <c r="H1134" s="21" t="str">
        <f>Sales[Product_ID]</f>
        <v>PROD15</v>
      </c>
      <c r="I1134" s="21" t="str">
        <f>VLOOKUP(H1134,Products[],2)</f>
        <v>4K Home Projector</v>
      </c>
      <c r="J1134" s="24">
        <f>Sales[Total_Amount]</f>
        <v>286.2252</v>
      </c>
      <c r="K1134" s="21" t="str">
        <f t="shared" si="1"/>
        <v>Oct</v>
      </c>
      <c r="L1134" s="21">
        <f t="shared" si="2"/>
        <v>2023</v>
      </c>
      <c r="N1134" s="33"/>
      <c r="O1134" s="34"/>
    </row>
    <row r="1135" ht="22.5" customHeight="1">
      <c r="A1135" s="21" t="s">
        <v>3100</v>
      </c>
      <c r="B1135" s="21" t="s">
        <v>803</v>
      </c>
      <c r="C1135" s="21" t="str">
        <f t="array" ref="C1135">XLOOKUP(B1135,Customer[Customer_ID],Customer[Name(Cleaned)])</f>
        <v>Mary Russell</v>
      </c>
      <c r="D1135" s="22" t="str">
        <f>VLOOKUP(B1135,Customer[#ALL],6)</f>
        <v>Female</v>
      </c>
      <c r="E1135" s="23">
        <f>Sales[Order_Date]</f>
        <v>45447</v>
      </c>
      <c r="F1135" s="21" t="str">
        <f>Sales[Store_ID]</f>
        <v>STORE1</v>
      </c>
      <c r="G1135" s="21" t="str">
        <f t="array" ref="G1135">INDEX(Store[Store_Name],MATCH(F1135,Store[Store_ID],0))</f>
        <v>Martinez, Adkins and Johnson</v>
      </c>
      <c r="H1135" s="21" t="str">
        <f>Sales[Product_ID]</f>
        <v>PROD72</v>
      </c>
      <c r="I1135" s="21" t="str">
        <f>VLOOKUP(H1135,Products[],2)</f>
        <v>Professional Jump Rope</v>
      </c>
      <c r="J1135" s="24">
        <f>Sales[Total_Amount]</f>
        <v>2281.8532</v>
      </c>
      <c r="K1135" s="21" t="str">
        <f t="shared" si="1"/>
        <v>Jun</v>
      </c>
      <c r="L1135" s="21">
        <f t="shared" si="2"/>
        <v>2024</v>
      </c>
      <c r="N1135" s="33"/>
      <c r="O1135" s="34"/>
    </row>
    <row r="1136" ht="22.5" customHeight="1">
      <c r="A1136" s="21" t="s">
        <v>3101</v>
      </c>
      <c r="B1136" s="21" t="s">
        <v>675</v>
      </c>
      <c r="C1136" s="21" t="str">
        <f t="array" ref="C1136">XLOOKUP(B1136,Customer[Customer_ID],Customer[Name(Cleaned)])</f>
        <v>Sarah Brady</v>
      </c>
      <c r="D1136" s="22" t="str">
        <f>VLOOKUP(B1136,Customer[#ALL],6)</f>
        <v>Female</v>
      </c>
      <c r="E1136" s="23">
        <f>Sales[Order_Date]</f>
        <v>45225</v>
      </c>
      <c r="F1136" s="21" t="str">
        <f>Sales[Store_ID]</f>
        <v>STORE15</v>
      </c>
      <c r="G1136" s="21" t="str">
        <f t="array" ref="G1136">INDEX(Store[Store_Name],MATCH(F1136,Store[Store_ID],0))</f>
        <v>Shelton PLC</v>
      </c>
      <c r="H1136" s="21" t="str">
        <f>Sales[Product_ID]</f>
        <v>PROD90</v>
      </c>
      <c r="I1136" s="21" t="str">
        <f>VLOOKUP(H1136,Products[],2)</f>
        <v>Gaming Mouse Pad XL</v>
      </c>
      <c r="J1136" s="24">
        <f>Sales[Total_Amount]</f>
        <v>295.4504</v>
      </c>
      <c r="K1136" s="21" t="str">
        <f t="shared" si="1"/>
        <v>Oct</v>
      </c>
      <c r="L1136" s="21">
        <f t="shared" si="2"/>
        <v>2023</v>
      </c>
      <c r="N1136" s="33"/>
      <c r="O1136" s="34"/>
    </row>
    <row r="1137" ht="22.5" customHeight="1">
      <c r="A1137" s="21" t="s">
        <v>3102</v>
      </c>
      <c r="B1137" s="21" t="s">
        <v>1482</v>
      </c>
      <c r="C1137" s="21" t="str">
        <f t="array" ref="C1137">XLOOKUP(B1137,Customer[Customer_ID],Customer[Name(Cleaned)])</f>
        <v>Elizabeth Foster</v>
      </c>
      <c r="D1137" s="22" t="str">
        <f>VLOOKUP(B1137,Customer[#ALL],6)</f>
        <v>Male</v>
      </c>
      <c r="E1137" s="23">
        <f>Sales[Order_Date]</f>
        <v>45394</v>
      </c>
      <c r="F1137" s="21" t="str">
        <f>Sales[Store_ID]</f>
        <v>STORE10</v>
      </c>
      <c r="G1137" s="21" t="str">
        <f t="array" ref="G1137">INDEX(Store[Store_Name],MATCH(F1137,Store[Store_ID],0))</f>
        <v>Hill, Wagner and Ballard</v>
      </c>
      <c r="H1137" s="21" t="str">
        <f>Sales[Product_ID]</f>
        <v>PROD69</v>
      </c>
      <c r="I1137" s="21" t="str">
        <f>VLOOKUP(H1137,Products[],2)</f>
        <v>Men's Sports Shorts</v>
      </c>
      <c r="J1137" s="24">
        <f>Sales[Total_Amount]</f>
        <v>2850.1122</v>
      </c>
      <c r="K1137" s="21" t="str">
        <f t="shared" si="1"/>
        <v>Apr</v>
      </c>
      <c r="L1137" s="21">
        <f t="shared" si="2"/>
        <v>2024</v>
      </c>
      <c r="N1137" s="33"/>
      <c r="O1137" s="34"/>
    </row>
    <row r="1138" ht="22.5" customHeight="1">
      <c r="A1138" s="21" t="s">
        <v>3103</v>
      </c>
      <c r="B1138" s="21" t="s">
        <v>283</v>
      </c>
      <c r="C1138" s="21" t="str">
        <f t="array" ref="C1138">XLOOKUP(B1138,Customer[Customer_ID],Customer[Name(Cleaned)])</f>
        <v>Rhonda Morales</v>
      </c>
      <c r="D1138" s="22" t="str">
        <f>VLOOKUP(B1138,Customer[#ALL],6)</f>
        <v>Male</v>
      </c>
      <c r="E1138" s="23">
        <f>Sales[Order_Date]</f>
        <v>45754</v>
      </c>
      <c r="F1138" s="21" t="str">
        <f>Sales[Store_ID]</f>
        <v>STORE18</v>
      </c>
      <c r="G1138" s="21" t="str">
        <f t="array" ref="G1138">INDEX(Store[Store_Name],MATCH(F1138,Store[Store_ID],0))</f>
        <v>Guerrero-Schmitt</v>
      </c>
      <c r="H1138" s="21" t="str">
        <f>Sales[Product_ID]</f>
        <v>PROD16</v>
      </c>
      <c r="I1138" s="21" t="str">
        <f>VLOOKUP(H1138,Products[],2)</f>
        <v>Beard Grooming Kit</v>
      </c>
      <c r="J1138" s="24">
        <f>Sales[Total_Amount]</f>
        <v>1199.358</v>
      </c>
      <c r="K1138" s="21" t="str">
        <f t="shared" si="1"/>
        <v>Apr</v>
      </c>
      <c r="L1138" s="21">
        <f t="shared" si="2"/>
        <v>2025</v>
      </c>
      <c r="N1138" s="33"/>
      <c r="O1138" s="34"/>
    </row>
    <row r="1139" ht="22.5" customHeight="1">
      <c r="A1139" s="21" t="s">
        <v>3104</v>
      </c>
      <c r="B1139" s="21" t="s">
        <v>361</v>
      </c>
      <c r="C1139" s="21" t="str">
        <f t="array" ref="C1139">XLOOKUP(B1139,Customer[Customer_ID],Customer[Name(Cleaned)])</f>
        <v>Sheila Wilson</v>
      </c>
      <c r="D1139" s="22" t="str">
        <f>VLOOKUP(B1139,Customer[#ALL],6)</f>
        <v>Female</v>
      </c>
      <c r="E1139" s="23">
        <f>Sales[Order_Date]</f>
        <v>45729</v>
      </c>
      <c r="F1139" s="21" t="str">
        <f>Sales[Store_ID]</f>
        <v>STORE14</v>
      </c>
      <c r="G1139" s="21" t="str">
        <f t="array" ref="G1139">INDEX(Store[Store_Name],MATCH(F1139,Store[Store_ID],0))</f>
        <v>Mcdonald Inc</v>
      </c>
      <c r="H1139" s="21" t="str">
        <f>Sales[Product_ID]</f>
        <v>PROD26</v>
      </c>
      <c r="I1139" s="21" t="str">
        <f>VLOOKUP(H1139,Products[],2)</f>
        <v>Wireless Bluetooth Speaker</v>
      </c>
      <c r="J1139" s="24">
        <f>Sales[Total_Amount]</f>
        <v>2217.752</v>
      </c>
      <c r="K1139" s="21" t="str">
        <f t="shared" si="1"/>
        <v>Mar</v>
      </c>
      <c r="L1139" s="21">
        <f t="shared" si="2"/>
        <v>2025</v>
      </c>
      <c r="N1139" s="33"/>
      <c r="O1139" s="34"/>
    </row>
    <row r="1140" ht="22.5" customHeight="1">
      <c r="A1140" s="21" t="s">
        <v>3105</v>
      </c>
      <c r="B1140" s="21" t="s">
        <v>872</v>
      </c>
      <c r="C1140" s="21" t="str">
        <f t="array" ref="C1140">XLOOKUP(B1140,Customer[Customer_ID],Customer[Name(Cleaned)])</f>
        <v>Tyrone Olson</v>
      </c>
      <c r="D1140" s="22" t="str">
        <f>VLOOKUP(B1140,Customer[#ALL],6)</f>
        <v>Male</v>
      </c>
      <c r="E1140" s="23">
        <f>Sales[Order_Date]</f>
        <v>45480</v>
      </c>
      <c r="F1140" s="21" t="str">
        <f>Sales[Store_ID]</f>
        <v>STORE17</v>
      </c>
      <c r="G1140" s="21" t="str">
        <f t="array" ref="G1140">INDEX(Store[Store_Name],MATCH(F1140,Store[Store_ID],0))</f>
        <v>Holloway Ltd</v>
      </c>
      <c r="H1140" s="21" t="str">
        <f>Sales[Product_ID]</f>
        <v>PROD76</v>
      </c>
      <c r="I1140" s="21" t="str">
        <f>VLOOKUP(H1140,Products[],2)</f>
        <v>Wireless Mouse</v>
      </c>
      <c r="J1140" s="24">
        <f>Sales[Total_Amount]</f>
        <v>529.89</v>
      </c>
      <c r="K1140" s="21" t="str">
        <f t="shared" si="1"/>
        <v>Jul</v>
      </c>
      <c r="L1140" s="21">
        <f t="shared" si="2"/>
        <v>2024</v>
      </c>
      <c r="N1140" s="33"/>
      <c r="O1140" s="34"/>
    </row>
    <row r="1141" ht="22.5" customHeight="1">
      <c r="A1141" s="21" t="s">
        <v>3106</v>
      </c>
      <c r="B1141" s="21" t="s">
        <v>1537</v>
      </c>
      <c r="C1141" s="21" t="str">
        <f t="array" ref="C1141">XLOOKUP(B1141,Customer[Customer_ID],Customer[Name(Cleaned)])</f>
        <v>James Berger</v>
      </c>
      <c r="D1141" s="22" t="str">
        <f>VLOOKUP(B1141,Customer[#ALL],6)</f>
        <v>Male</v>
      </c>
      <c r="E1141" s="23">
        <f>Sales[Order_Date]</f>
        <v>45361</v>
      </c>
      <c r="F1141" s="21" t="str">
        <f>Sales[Store_ID]</f>
        <v>STORE15</v>
      </c>
      <c r="G1141" s="21" t="str">
        <f t="array" ref="G1141">INDEX(Store[Store_Name],MATCH(F1141,Store[Store_ID],0))</f>
        <v>Shelton PLC</v>
      </c>
      <c r="H1141" s="21" t="str">
        <f>Sales[Product_ID]</f>
        <v>PROD61</v>
      </c>
      <c r="I1141" s="21" t="str">
        <f>VLOOKUP(H1141,Products[],2)</f>
        <v>Tennis Ball 3-Pack</v>
      </c>
      <c r="J1141" s="24">
        <f>Sales[Total_Amount]</f>
        <v>1495.74</v>
      </c>
      <c r="K1141" s="21" t="str">
        <f t="shared" si="1"/>
        <v>Mar</v>
      </c>
      <c r="L1141" s="21">
        <f t="shared" si="2"/>
        <v>2024</v>
      </c>
      <c r="N1141" s="33"/>
      <c r="O1141" s="34"/>
    </row>
    <row r="1142" ht="22.5" customHeight="1">
      <c r="A1142" s="21" t="s">
        <v>3107</v>
      </c>
      <c r="B1142" s="21" t="s">
        <v>352</v>
      </c>
      <c r="C1142" s="21" t="str">
        <f t="array" ref="C1142">XLOOKUP(B1142,Customer[Customer_ID],Customer[Name(Cleaned)])</f>
        <v>Samantha Walker</v>
      </c>
      <c r="D1142" s="22" t="str">
        <f>VLOOKUP(B1142,Customer[#ALL],6)</f>
        <v>Male</v>
      </c>
      <c r="E1142" s="23">
        <f>Sales[Order_Date]</f>
        <v>45915</v>
      </c>
      <c r="F1142" s="21" t="str">
        <f>Sales[Store_ID]</f>
        <v>STORE6</v>
      </c>
      <c r="G1142" s="21" t="str">
        <f t="array" ref="G1142">INDEX(Store[Store_Name],MATCH(F1142,Store[Store_ID],0))</f>
        <v>Benson-Elliott</v>
      </c>
      <c r="H1142" s="21" t="str">
        <f>Sales[Product_ID]</f>
        <v>PROD65</v>
      </c>
      <c r="I1142" s="21" t="str">
        <f>VLOOKUP(H1142,Products[],2)</f>
        <v>Adjustable Dumbbells 20kg</v>
      </c>
      <c r="J1142" s="24">
        <f>Sales[Total_Amount]</f>
        <v>1447.2216</v>
      </c>
      <c r="K1142" s="21" t="str">
        <f t="shared" si="1"/>
        <v>Sep</v>
      </c>
      <c r="L1142" s="21">
        <f t="shared" si="2"/>
        <v>2025</v>
      </c>
      <c r="N1142" s="33"/>
      <c r="O1142" s="34"/>
    </row>
    <row r="1143" ht="22.5" customHeight="1">
      <c r="A1143" s="21" t="s">
        <v>3108</v>
      </c>
      <c r="B1143" s="21" t="s">
        <v>263</v>
      </c>
      <c r="C1143" s="21" t="str">
        <f t="array" ref="C1143">XLOOKUP(B1143,Customer[Customer_ID],Customer[Name(Cleaned)])</f>
        <v>Roy Cole</v>
      </c>
      <c r="D1143" s="22" t="str">
        <f>VLOOKUP(B1143,Customer[#ALL],6)</f>
        <v>Male</v>
      </c>
      <c r="E1143" s="23">
        <f>Sales[Order_Date]</f>
        <v>45607</v>
      </c>
      <c r="F1143" s="21" t="str">
        <f>Sales[Store_ID]</f>
        <v>STORE9</v>
      </c>
      <c r="G1143" s="21" t="str">
        <f t="array" ref="G1143">INDEX(Store[Store_Name],MATCH(F1143,Store[Store_ID],0))</f>
        <v>Moore, Padilla and Butler</v>
      </c>
      <c r="H1143" s="21" t="str">
        <f>Sales[Product_ID]</f>
        <v>PROD73</v>
      </c>
      <c r="I1143" s="21" t="str">
        <f>VLOOKUP(H1143,Products[],2)</f>
        <v>Shin Guards – Adult</v>
      </c>
      <c r="J1143" s="24">
        <f>Sales[Total_Amount]</f>
        <v>2532.348</v>
      </c>
      <c r="K1143" s="21" t="str">
        <f t="shared" si="1"/>
        <v>Nov</v>
      </c>
      <c r="L1143" s="21">
        <f t="shared" si="2"/>
        <v>2024</v>
      </c>
      <c r="N1143" s="33"/>
      <c r="O1143" s="34"/>
    </row>
    <row r="1144" ht="22.5" customHeight="1">
      <c r="A1144" s="21" t="s">
        <v>3109</v>
      </c>
      <c r="B1144" s="21" t="s">
        <v>864</v>
      </c>
      <c r="C1144" s="21" t="str">
        <f t="array" ref="C1144">XLOOKUP(B1144,Customer[Customer_ID],Customer[Name(Cleaned)])</f>
        <v>Cynthia Payne</v>
      </c>
      <c r="D1144" s="22" t="str">
        <f>VLOOKUP(B1144,Customer[#ALL],6)</f>
        <v>Male</v>
      </c>
      <c r="E1144" s="23">
        <f>Sales[Order_Date]</f>
        <v>45666</v>
      </c>
      <c r="F1144" s="21" t="str">
        <f>Sales[Store_ID]</f>
        <v>STORE3</v>
      </c>
      <c r="G1144" s="21" t="str">
        <f t="array" ref="G1144">INDEX(Store[Store_Name],MATCH(F1144,Store[Store_ID],0))</f>
        <v>Johnson-Wright</v>
      </c>
      <c r="H1144" s="21" t="str">
        <f>Sales[Product_ID]</f>
        <v>PROD61</v>
      </c>
      <c r="I1144" s="21" t="str">
        <f>VLOOKUP(H1144,Products[],2)</f>
        <v>Tennis Ball 3-Pack</v>
      </c>
      <c r="J1144" s="24">
        <f>Sales[Total_Amount]</f>
        <v>1825.3248</v>
      </c>
      <c r="K1144" s="21" t="str">
        <f t="shared" si="1"/>
        <v>Jan</v>
      </c>
      <c r="L1144" s="21">
        <f t="shared" si="2"/>
        <v>2025</v>
      </c>
      <c r="N1144" s="33"/>
      <c r="O1144" s="34"/>
    </row>
    <row r="1145" ht="22.5" customHeight="1">
      <c r="A1145" s="21" t="s">
        <v>3110</v>
      </c>
      <c r="B1145" s="21" t="s">
        <v>1549</v>
      </c>
      <c r="C1145" s="21" t="str">
        <f t="array" ref="C1145">XLOOKUP(B1145,Customer[Customer_ID],Customer[Name(Cleaned)])</f>
        <v>Philip Pennington</v>
      </c>
      <c r="D1145" s="22" t="str">
        <f>VLOOKUP(B1145,Customer[#ALL],6)</f>
        <v>Male</v>
      </c>
      <c r="E1145" s="23">
        <f>Sales[Order_Date]</f>
        <v>45406</v>
      </c>
      <c r="F1145" s="21" t="str">
        <f>Sales[Store_ID]</f>
        <v>STORE2</v>
      </c>
      <c r="G1145" s="21" t="str">
        <f t="array" ref="G1145">INDEX(Store[Store_Name],MATCH(F1145,Store[Store_ID],0))</f>
        <v>Black-Horn</v>
      </c>
      <c r="H1145" s="21" t="str">
        <f>Sales[Product_ID]</f>
        <v>PROD39</v>
      </c>
      <c r="I1145" s="21" t="str">
        <f>VLOOKUP(H1145,Products[],2)</f>
        <v>Portable Power Bank</v>
      </c>
      <c r="J1145" s="24">
        <f>Sales[Total_Amount]</f>
        <v>1819.7998</v>
      </c>
      <c r="K1145" s="21" t="str">
        <f t="shared" si="1"/>
        <v>Apr</v>
      </c>
      <c r="L1145" s="21">
        <f t="shared" si="2"/>
        <v>2024</v>
      </c>
      <c r="N1145" s="33"/>
      <c r="O1145" s="34"/>
    </row>
    <row r="1146" ht="22.5" customHeight="1">
      <c r="A1146" s="21" t="s">
        <v>3111</v>
      </c>
      <c r="B1146" s="21" t="s">
        <v>386</v>
      </c>
      <c r="C1146" s="21" t="str">
        <f t="array" ref="C1146">XLOOKUP(B1146,Customer[Customer_ID],Customer[Name(Cleaned)])</f>
        <v>Erica Carney</v>
      </c>
      <c r="D1146" s="22" t="str">
        <f>VLOOKUP(B1146,Customer[#ALL],6)</f>
        <v>Male</v>
      </c>
      <c r="E1146" s="23">
        <f>Sales[Order_Date]</f>
        <v>45284</v>
      </c>
      <c r="F1146" s="21" t="str">
        <f>Sales[Store_ID]</f>
        <v>STORE3</v>
      </c>
      <c r="G1146" s="21" t="str">
        <f t="array" ref="G1146">INDEX(Store[Store_Name],MATCH(F1146,Store[Store_ID],0))</f>
        <v>Johnson-Wright</v>
      </c>
      <c r="H1146" s="21" t="str">
        <f>Sales[Product_ID]</f>
        <v>PROD75</v>
      </c>
      <c r="I1146" s="21" t="str">
        <f>VLOOKUP(H1146,Products[],2)</f>
        <v>Women's Ankle Boots</v>
      </c>
      <c r="J1146" s="24">
        <f>Sales[Total_Amount]</f>
        <v>1630.0416</v>
      </c>
      <c r="K1146" s="21" t="str">
        <f t="shared" si="1"/>
        <v>Dec</v>
      </c>
      <c r="L1146" s="21">
        <f t="shared" si="2"/>
        <v>2023</v>
      </c>
      <c r="N1146" s="33"/>
      <c r="O1146" s="34"/>
    </row>
    <row r="1147" ht="22.5" customHeight="1">
      <c r="A1147" s="21" t="s">
        <v>3112</v>
      </c>
      <c r="B1147" s="21" t="s">
        <v>492</v>
      </c>
      <c r="C1147" s="21" t="str">
        <f t="array" ref="C1147">XLOOKUP(B1147,Customer[Customer_ID],Customer[Name(Cleaned)])</f>
        <v>Maria Ramirez</v>
      </c>
      <c r="D1147" s="22" t="str">
        <f>VLOOKUP(B1147,Customer[#ALL],6)</f>
        <v>Female</v>
      </c>
      <c r="E1147" s="23">
        <f>Sales[Order_Date]</f>
        <v>45348</v>
      </c>
      <c r="F1147" s="21" t="str">
        <f>Sales[Store_ID]</f>
        <v>STORE14</v>
      </c>
      <c r="G1147" s="21" t="str">
        <f t="array" ref="G1147">INDEX(Store[Store_Name],MATCH(F1147,Store[Store_ID],0))</f>
        <v>Mcdonald Inc</v>
      </c>
      <c r="H1147" s="21" t="str">
        <f>Sales[Product_ID]</f>
        <v>PROD60</v>
      </c>
      <c r="I1147" s="21" t="str">
        <f>VLOOKUP(H1147,Products[],2)</f>
        <v>Luxury Perfume Spray</v>
      </c>
      <c r="J1147" s="24">
        <f>Sales[Total_Amount]</f>
        <v>2123.9856</v>
      </c>
      <c r="K1147" s="21" t="str">
        <f t="shared" si="1"/>
        <v>Feb</v>
      </c>
      <c r="L1147" s="21">
        <f t="shared" si="2"/>
        <v>2024</v>
      </c>
      <c r="N1147" s="33"/>
      <c r="O1147" s="34"/>
    </row>
    <row r="1148" ht="22.5" customHeight="1">
      <c r="A1148" s="21" t="s">
        <v>3113</v>
      </c>
      <c r="B1148" s="21" t="s">
        <v>1167</v>
      </c>
      <c r="C1148" s="21" t="str">
        <f t="array" ref="C1148">XLOOKUP(B1148,Customer[Customer_ID],Customer[Name(Cleaned)])</f>
        <v>Miranda King</v>
      </c>
      <c r="D1148" s="22" t="str">
        <f>VLOOKUP(B1148,Customer[#ALL],6)</f>
        <v>Male</v>
      </c>
      <c r="E1148" s="23">
        <f>Sales[Order_Date]</f>
        <v>45466</v>
      </c>
      <c r="F1148" s="21" t="str">
        <f>Sales[Store_ID]</f>
        <v>STORE8</v>
      </c>
      <c r="G1148" s="21" t="str">
        <f t="array" ref="G1148">INDEX(Store[Store_Name],MATCH(F1148,Store[Store_ID],0))</f>
        <v>Bean, Jones and Park</v>
      </c>
      <c r="H1148" s="21" t="str">
        <f>Sales[Product_ID]</f>
        <v>PROD12</v>
      </c>
      <c r="I1148" s="21" t="str">
        <f>VLOOKUP(H1148,Products[],2)</f>
        <v>Hair Strengthening Shampoo</v>
      </c>
      <c r="J1148" s="24">
        <f>Sales[Total_Amount]</f>
        <v>661.7376</v>
      </c>
      <c r="K1148" s="21" t="str">
        <f t="shared" si="1"/>
        <v>Jun</v>
      </c>
      <c r="L1148" s="21">
        <f t="shared" si="2"/>
        <v>2024</v>
      </c>
      <c r="N1148" s="33"/>
      <c r="O1148" s="34"/>
    </row>
    <row r="1149" ht="22.5" customHeight="1">
      <c r="A1149" s="21" t="s">
        <v>3114</v>
      </c>
      <c r="B1149" s="21" t="s">
        <v>196</v>
      </c>
      <c r="C1149" s="21" t="str">
        <f t="array" ref="C1149">XLOOKUP(B1149,Customer[Customer_ID],Customer[Name(Cleaned)])</f>
        <v>Timothy Weaver</v>
      </c>
      <c r="D1149" s="22" t="str">
        <f>VLOOKUP(B1149,Customer[#ALL],6)</f>
        <v>Male</v>
      </c>
      <c r="E1149" s="23">
        <f>Sales[Order_Date]</f>
        <v>45676</v>
      </c>
      <c r="F1149" s="21" t="str">
        <f>Sales[Store_ID]</f>
        <v>STORE13</v>
      </c>
      <c r="G1149" s="21" t="str">
        <f t="array" ref="G1149">INDEX(Store[Store_Name],MATCH(F1149,Store[Store_ID],0))</f>
        <v>Gardner, Humphrey and Contreras</v>
      </c>
      <c r="H1149" s="21" t="str">
        <f>Sales[Product_ID]</f>
        <v>PROD48</v>
      </c>
      <c r="I1149" s="21" t="str">
        <f>VLOOKUP(H1149,Products[],2)</f>
        <v>Car Dashboard Phone Holder</v>
      </c>
      <c r="J1149" s="24">
        <f>Sales[Total_Amount]</f>
        <v>1214.676</v>
      </c>
      <c r="K1149" s="21" t="str">
        <f t="shared" si="1"/>
        <v>Jan</v>
      </c>
      <c r="L1149" s="21">
        <f t="shared" si="2"/>
        <v>2025</v>
      </c>
      <c r="N1149" s="33"/>
      <c r="O1149" s="34"/>
    </row>
    <row r="1150" ht="22.5" customHeight="1">
      <c r="A1150" s="21" t="s">
        <v>3115</v>
      </c>
      <c r="B1150" s="21" t="s">
        <v>890</v>
      </c>
      <c r="C1150" s="21" t="str">
        <f t="array" ref="C1150">XLOOKUP(B1150,Customer[Customer_ID],Customer[Name(Cleaned)])</f>
        <v>Shannon Miller</v>
      </c>
      <c r="D1150" s="22" t="str">
        <f>VLOOKUP(B1150,Customer[#ALL],6)</f>
        <v>Female</v>
      </c>
      <c r="E1150" s="23">
        <f>Sales[Order_Date]</f>
        <v>45863</v>
      </c>
      <c r="F1150" s="21" t="str">
        <f>Sales[Store_ID]</f>
        <v>STORE12</v>
      </c>
      <c r="G1150" s="21" t="str">
        <f t="array" ref="G1150">INDEX(Store[Store_Name],MATCH(F1150,Store[Store_ID],0))</f>
        <v>Thomas, Bridges and Harris</v>
      </c>
      <c r="H1150" s="21" t="str">
        <f>Sales[Product_ID]</f>
        <v>PROD69</v>
      </c>
      <c r="I1150" s="21" t="str">
        <f>VLOOKUP(H1150,Products[],2)</f>
        <v>Men's Sports Shorts</v>
      </c>
      <c r="J1150" s="24">
        <f>Sales[Total_Amount]</f>
        <v>1519.6104</v>
      </c>
      <c r="K1150" s="21" t="str">
        <f t="shared" si="1"/>
        <v>Jul</v>
      </c>
      <c r="L1150" s="21">
        <f t="shared" si="2"/>
        <v>2025</v>
      </c>
      <c r="N1150" s="33"/>
      <c r="O1150" s="34"/>
    </row>
    <row r="1151" ht="22.5" customHeight="1">
      <c r="A1151" s="21" t="s">
        <v>3116</v>
      </c>
      <c r="B1151" s="21" t="s">
        <v>510</v>
      </c>
      <c r="C1151" s="21" t="str">
        <f t="array" ref="C1151">XLOOKUP(B1151,Customer[Customer_ID],Customer[Name(Cleaned)])</f>
        <v>Theresa Campbell</v>
      </c>
      <c r="D1151" s="22" t="str">
        <f>VLOOKUP(B1151,Customer[#ALL],6)</f>
        <v>Male</v>
      </c>
      <c r="E1151" s="23">
        <f>Sales[Order_Date]</f>
        <v>45409</v>
      </c>
      <c r="F1151" s="21" t="str">
        <f>Sales[Store_ID]</f>
        <v>STORE10</v>
      </c>
      <c r="G1151" s="21" t="str">
        <f t="array" ref="G1151">INDEX(Store[Store_Name],MATCH(F1151,Store[Store_ID],0))</f>
        <v>Hill, Wagner and Ballard</v>
      </c>
      <c r="H1151" s="21" t="str">
        <f>Sales[Product_ID]</f>
        <v>PROD58</v>
      </c>
      <c r="I1151" s="21" t="str">
        <f>VLOOKUP(H1151,Products[],2)</f>
        <v>Womens Cotton Scarf</v>
      </c>
      <c r="J1151" s="24">
        <f>Sales[Total_Amount]</f>
        <v>2416.7088</v>
      </c>
      <c r="K1151" s="21" t="str">
        <f t="shared" si="1"/>
        <v>Apr</v>
      </c>
      <c r="L1151" s="21">
        <f t="shared" si="2"/>
        <v>2024</v>
      </c>
      <c r="N1151" s="33"/>
      <c r="O1151" s="34"/>
    </row>
    <row r="1152" ht="22.5" customHeight="1">
      <c r="A1152" s="21" t="s">
        <v>3117</v>
      </c>
      <c r="B1152" s="21" t="s">
        <v>59</v>
      </c>
      <c r="C1152" s="21" t="str">
        <f t="array" ref="C1152">XLOOKUP(B1152,Customer[Customer_ID],Customer[Name(Cleaned)])</f>
        <v>Dominic Page</v>
      </c>
      <c r="D1152" s="22" t="str">
        <f>VLOOKUP(B1152,Customer[#ALL],6)</f>
        <v>Female</v>
      </c>
      <c r="E1152" s="23">
        <f>Sales[Order_Date]</f>
        <v>45880</v>
      </c>
      <c r="F1152" s="21" t="str">
        <f>Sales[Store_ID]</f>
        <v>STORE5</v>
      </c>
      <c r="G1152" s="21" t="str">
        <f t="array" ref="G1152">INDEX(Store[Store_Name],MATCH(F1152,Store[Store_ID],0))</f>
        <v>Gray Ltd</v>
      </c>
      <c r="H1152" s="21" t="str">
        <f>Sales[Product_ID]</f>
        <v>PROD79</v>
      </c>
      <c r="I1152" s="21" t="str">
        <f>VLOOKUP(H1152,Products[],2)</f>
        <v>Decorative Lamp Shade</v>
      </c>
      <c r="J1152" s="24">
        <f>Sales[Total_Amount]</f>
        <v>940.1485</v>
      </c>
      <c r="K1152" s="21" t="str">
        <f t="shared" si="1"/>
        <v>Aug</v>
      </c>
      <c r="L1152" s="21">
        <f t="shared" si="2"/>
        <v>2025</v>
      </c>
      <c r="N1152" s="33"/>
      <c r="O1152" s="34"/>
    </row>
    <row r="1153" ht="22.5" customHeight="1">
      <c r="A1153" s="21" t="s">
        <v>3118</v>
      </c>
      <c r="B1153" s="21" t="s">
        <v>1068</v>
      </c>
      <c r="C1153" s="21" t="str">
        <f t="array" ref="C1153">XLOOKUP(B1153,Customer[Customer_ID],Customer[Name(Cleaned)])</f>
        <v>Jennifer Woods</v>
      </c>
      <c r="D1153" s="22" t="str">
        <f>VLOOKUP(B1153,Customer[#ALL],6)</f>
        <v>Female</v>
      </c>
      <c r="E1153" s="23">
        <f>Sales[Order_Date]</f>
        <v>45731</v>
      </c>
      <c r="F1153" s="21" t="str">
        <f>Sales[Store_ID]</f>
        <v>STORE0</v>
      </c>
      <c r="G1153" s="21" t="str">
        <f t="array" ref="G1153">INDEX(Store[Store_Name],MATCH(F1153,Store[Store_ID],0))</f>
        <v>Rivera-Warner</v>
      </c>
      <c r="H1153" s="21" t="str">
        <f>Sales[Product_ID]</f>
        <v>PROD54</v>
      </c>
      <c r="I1153" s="21" t="str">
        <f>VLOOKUP(H1153,Products[],2)</f>
        <v>Sports Stopwatch Pro</v>
      </c>
      <c r="J1153" s="24">
        <f>Sales[Total_Amount]</f>
        <v>348.7848</v>
      </c>
      <c r="K1153" s="21" t="str">
        <f t="shared" si="1"/>
        <v>Mar</v>
      </c>
      <c r="L1153" s="21">
        <f t="shared" si="2"/>
        <v>2025</v>
      </c>
      <c r="N1153" s="33"/>
      <c r="O1153" s="34"/>
    </row>
    <row r="1154" ht="22.5" customHeight="1">
      <c r="A1154" s="21" t="s">
        <v>3119</v>
      </c>
      <c r="B1154" s="21" t="s">
        <v>51</v>
      </c>
      <c r="C1154" s="21" t="str">
        <f t="array" ref="C1154">XLOOKUP(B1154,Customer[Customer_ID],Customer[Name(Cleaned)])</f>
        <v>Melissa Howard</v>
      </c>
      <c r="D1154" s="22" t="str">
        <f>VLOOKUP(B1154,Customer[#ALL],6)</f>
        <v>Male</v>
      </c>
      <c r="E1154" s="23">
        <f>Sales[Order_Date]</f>
        <v>45671</v>
      </c>
      <c r="F1154" s="21" t="str">
        <f>Sales[Store_ID]</f>
        <v>STORE6</v>
      </c>
      <c r="G1154" s="21" t="str">
        <f t="array" ref="G1154">INDEX(Store[Store_Name],MATCH(F1154,Store[Store_ID],0))</f>
        <v>Benson-Elliott</v>
      </c>
      <c r="H1154" s="21" t="str">
        <f>Sales[Product_ID]</f>
        <v>PROD94</v>
      </c>
      <c r="I1154" s="21" t="str">
        <f>VLOOKUP(H1154,Products[],2)</f>
        <v>Vitamin E Body Lotion</v>
      </c>
      <c r="J1154" s="24">
        <f>Sales[Total_Amount]</f>
        <v>672.299</v>
      </c>
      <c r="K1154" s="21" t="str">
        <f t="shared" si="1"/>
        <v>Jan</v>
      </c>
      <c r="L1154" s="21">
        <f t="shared" si="2"/>
        <v>2025</v>
      </c>
      <c r="N1154" s="33"/>
      <c r="O1154" s="34"/>
    </row>
    <row r="1155" ht="22.5" customHeight="1">
      <c r="A1155" s="21" t="s">
        <v>3120</v>
      </c>
      <c r="B1155" s="21" t="s">
        <v>573</v>
      </c>
      <c r="C1155" s="21" t="str">
        <f t="array" ref="C1155">XLOOKUP(B1155,Customer[Customer_ID],Customer[Name(Cleaned)])</f>
        <v>Steve Mclaughlin</v>
      </c>
      <c r="D1155" s="22" t="str">
        <f>VLOOKUP(B1155,Customer[#ALL],6)</f>
        <v>Female</v>
      </c>
      <c r="E1155" s="23">
        <f>Sales[Order_Date]</f>
        <v>45809</v>
      </c>
      <c r="F1155" s="21" t="str">
        <f>Sales[Store_ID]</f>
        <v>STORE0</v>
      </c>
      <c r="G1155" s="21" t="str">
        <f t="array" ref="G1155">INDEX(Store[Store_Name],MATCH(F1155,Store[Store_ID],0))</f>
        <v>Rivera-Warner</v>
      </c>
      <c r="H1155" s="21" t="str">
        <f>Sales[Product_ID]</f>
        <v>PROD17</v>
      </c>
      <c r="I1155" s="21" t="str">
        <f>VLOOKUP(H1155,Products[],2)</f>
        <v>Soccer Training Cone Set</v>
      </c>
      <c r="J1155" s="24">
        <f>Sales[Total_Amount]</f>
        <v>1521.7632</v>
      </c>
      <c r="K1155" s="21" t="str">
        <f t="shared" si="1"/>
        <v>Jun</v>
      </c>
      <c r="L1155" s="21">
        <f t="shared" si="2"/>
        <v>2025</v>
      </c>
      <c r="N1155" s="33"/>
      <c r="O1155" s="34"/>
    </row>
    <row r="1156" ht="22.5" customHeight="1">
      <c r="A1156" s="21" t="s">
        <v>3121</v>
      </c>
      <c r="B1156" s="21" t="s">
        <v>1534</v>
      </c>
      <c r="C1156" s="21" t="str">
        <f t="array" ref="C1156">XLOOKUP(B1156,Customer[Customer_ID],Customer[Name(Cleaned)])</f>
        <v>Justin Lopez</v>
      </c>
      <c r="D1156" s="22" t="str">
        <f>VLOOKUP(B1156,Customer[#ALL],6)</f>
        <v>Female</v>
      </c>
      <c r="E1156" s="23">
        <f>Sales[Order_Date]</f>
        <v>45559</v>
      </c>
      <c r="F1156" s="21" t="str">
        <f>Sales[Store_ID]</f>
        <v>STORE17</v>
      </c>
      <c r="G1156" s="21" t="str">
        <f t="array" ref="G1156">INDEX(Store[Store_Name],MATCH(F1156,Store[Store_ID],0))</f>
        <v>Holloway Ltd</v>
      </c>
      <c r="H1156" s="21" t="str">
        <f>Sales[Product_ID]</f>
        <v>PROD28</v>
      </c>
      <c r="I1156" s="21" t="str">
        <f>VLOOKUP(H1156,Products[],2)</f>
        <v>Sports Stopwatch Timer</v>
      </c>
      <c r="J1156" s="24">
        <f>Sales[Total_Amount]</f>
        <v>1026.048</v>
      </c>
      <c r="K1156" s="21" t="str">
        <f t="shared" si="1"/>
        <v>Sep</v>
      </c>
      <c r="L1156" s="21">
        <f t="shared" si="2"/>
        <v>2024</v>
      </c>
      <c r="N1156" s="33"/>
      <c r="O1156" s="34"/>
    </row>
    <row r="1157" ht="22.5" customHeight="1">
      <c r="A1157" s="21" t="s">
        <v>3122</v>
      </c>
      <c r="B1157" s="21" t="s">
        <v>472</v>
      </c>
      <c r="C1157" s="21" t="str">
        <f t="array" ref="C1157">XLOOKUP(B1157,Customer[Customer_ID],Customer[Name(Cleaned)])</f>
        <v>Matthew Hanna</v>
      </c>
      <c r="D1157" s="22" t="str">
        <f>VLOOKUP(B1157,Customer[#ALL],6)</f>
        <v>Male</v>
      </c>
      <c r="E1157" s="23">
        <f>Sales[Order_Date]</f>
        <v>45253</v>
      </c>
      <c r="F1157" s="21" t="str">
        <f>Sales[Store_ID]</f>
        <v>STORE5</v>
      </c>
      <c r="G1157" s="21" t="str">
        <f t="array" ref="G1157">INDEX(Store[Store_Name],MATCH(F1157,Store[Store_ID],0))</f>
        <v>Gray Ltd</v>
      </c>
      <c r="H1157" s="21" t="str">
        <f>Sales[Product_ID]</f>
        <v>PROD15</v>
      </c>
      <c r="I1157" s="21" t="str">
        <f>VLOOKUP(H1157,Products[],2)</f>
        <v>4K Home Projector</v>
      </c>
      <c r="J1157" s="24">
        <f>Sales[Total_Amount]</f>
        <v>469.6076</v>
      </c>
      <c r="K1157" s="21" t="str">
        <f t="shared" si="1"/>
        <v>Nov</v>
      </c>
      <c r="L1157" s="21">
        <f t="shared" si="2"/>
        <v>2023</v>
      </c>
      <c r="N1157" s="33"/>
      <c r="O1157" s="34"/>
    </row>
    <row r="1158" ht="22.5" customHeight="1">
      <c r="A1158" s="21" t="s">
        <v>3123</v>
      </c>
      <c r="B1158" s="21" t="s">
        <v>714</v>
      </c>
      <c r="C1158" s="21" t="str">
        <f t="array" ref="C1158">XLOOKUP(B1158,Customer[Customer_ID],Customer[Name(Cleaned)])</f>
        <v>Kathryn Garcia</v>
      </c>
      <c r="D1158" s="22" t="str">
        <f>VLOOKUP(B1158,Customer[#ALL],6)</f>
        <v>Female</v>
      </c>
      <c r="E1158" s="23">
        <f>Sales[Order_Date]</f>
        <v>45861</v>
      </c>
      <c r="F1158" s="21" t="str">
        <f>Sales[Store_ID]</f>
        <v>STORE8</v>
      </c>
      <c r="G1158" s="21" t="str">
        <f t="array" ref="G1158">INDEX(Store[Store_Name],MATCH(F1158,Store[Store_ID],0))</f>
        <v>Bean, Jones and Park</v>
      </c>
      <c r="H1158" s="21" t="str">
        <f>Sales[Product_ID]</f>
        <v>PROD86</v>
      </c>
      <c r="I1158" s="21" t="str">
        <f>VLOOKUP(H1158,Products[],2)</f>
        <v>Kitchen Cutting Board</v>
      </c>
      <c r="J1158" s="24">
        <f>Sales[Total_Amount]</f>
        <v>253.092</v>
      </c>
      <c r="K1158" s="21" t="str">
        <f t="shared" si="1"/>
        <v>Jul</v>
      </c>
      <c r="L1158" s="21">
        <f t="shared" si="2"/>
        <v>2025</v>
      </c>
      <c r="N1158" s="33"/>
      <c r="O1158" s="34"/>
    </row>
    <row r="1159" ht="22.5" customHeight="1">
      <c r="A1159" s="21" t="s">
        <v>3124</v>
      </c>
      <c r="B1159" s="21" t="s">
        <v>625</v>
      </c>
      <c r="C1159" s="21" t="str">
        <f t="array" ref="C1159">XLOOKUP(B1159,Customer[Customer_ID],Customer[Name(Cleaned)])</f>
        <v>Jennifer Pruitt</v>
      </c>
      <c r="D1159" s="22" t="str">
        <f>VLOOKUP(B1159,Customer[#ALL],6)</f>
        <v>Female</v>
      </c>
      <c r="E1159" s="23">
        <f>Sales[Order_Date]</f>
        <v>45908</v>
      </c>
      <c r="F1159" s="21" t="str">
        <f>Sales[Store_ID]</f>
        <v>STORE6</v>
      </c>
      <c r="G1159" s="21" t="str">
        <f t="array" ref="G1159">INDEX(Store[Store_Name],MATCH(F1159,Store[Store_ID],0))</f>
        <v>Benson-Elliott</v>
      </c>
      <c r="H1159" s="21" t="str">
        <f>Sales[Product_ID]</f>
        <v>PROD67</v>
      </c>
      <c r="I1159" s="21" t="str">
        <f>VLOOKUP(H1159,Products[],2)</f>
        <v>Smart LED Light Strip</v>
      </c>
      <c r="J1159" s="24">
        <f>Sales[Total_Amount]</f>
        <v>216.504</v>
      </c>
      <c r="K1159" s="21" t="str">
        <f t="shared" si="1"/>
        <v>Sep</v>
      </c>
      <c r="L1159" s="21">
        <f t="shared" si="2"/>
        <v>2025</v>
      </c>
      <c r="N1159" s="33"/>
      <c r="O1159" s="34"/>
    </row>
    <row r="1160" ht="22.5" customHeight="1">
      <c r="A1160" s="21" t="s">
        <v>3125</v>
      </c>
      <c r="B1160" s="21" t="s">
        <v>135</v>
      </c>
      <c r="C1160" s="21" t="str">
        <f t="array" ref="C1160">XLOOKUP(B1160,Customer[Customer_ID],Customer[Name(Cleaned)])</f>
        <v>Sarah Vance</v>
      </c>
      <c r="D1160" s="22" t="str">
        <f>VLOOKUP(B1160,Customer[#ALL],6)</f>
        <v>Female</v>
      </c>
      <c r="E1160" s="23">
        <f>Sales[Order_Date]</f>
        <v>45917</v>
      </c>
      <c r="F1160" s="21" t="str">
        <f>Sales[Store_ID]</f>
        <v>STORE12</v>
      </c>
      <c r="G1160" s="21" t="str">
        <f t="array" ref="G1160">INDEX(Store[Store_Name],MATCH(F1160,Store[Store_ID],0))</f>
        <v>Thomas, Bridges and Harris</v>
      </c>
      <c r="H1160" s="21" t="str">
        <f>Sales[Product_ID]</f>
        <v>PROD62</v>
      </c>
      <c r="I1160" s="21" t="str">
        <f>VLOOKUP(H1160,Products[],2)</f>
        <v>Laptop Cooling Pad</v>
      </c>
      <c r="J1160" s="24">
        <f>Sales[Total_Amount]</f>
        <v>2157.2703</v>
      </c>
      <c r="K1160" s="21" t="str">
        <f t="shared" si="1"/>
        <v>Sep</v>
      </c>
      <c r="L1160" s="21">
        <f t="shared" si="2"/>
        <v>2025</v>
      </c>
      <c r="N1160" s="33"/>
      <c r="O1160" s="34"/>
    </row>
    <row r="1161" ht="22.5" customHeight="1">
      <c r="A1161" s="21" t="s">
        <v>3126</v>
      </c>
      <c r="B1161" s="21" t="s">
        <v>1482</v>
      </c>
      <c r="C1161" s="21" t="str">
        <f t="array" ref="C1161">XLOOKUP(B1161,Customer[Customer_ID],Customer[Name(Cleaned)])</f>
        <v>Elizabeth Foster</v>
      </c>
      <c r="D1161" s="22" t="str">
        <f>VLOOKUP(B1161,Customer[#ALL],6)</f>
        <v>Male</v>
      </c>
      <c r="E1161" s="23">
        <f>Sales[Order_Date]</f>
        <v>45754</v>
      </c>
      <c r="F1161" s="21" t="str">
        <f>Sales[Store_ID]</f>
        <v>STORE19</v>
      </c>
      <c r="G1161" s="21" t="str">
        <f t="array" ref="G1161">INDEX(Store[Store_Name],MATCH(F1161,Store[Store_ID],0))</f>
        <v>Mann-Austin</v>
      </c>
      <c r="H1161" s="21" t="str">
        <f>Sales[Product_ID]</f>
        <v>PROD16</v>
      </c>
      <c r="I1161" s="21" t="str">
        <f>VLOOKUP(H1161,Products[],2)</f>
        <v>Beard Grooming Kit</v>
      </c>
      <c r="J1161" s="24">
        <f>Sales[Total_Amount]</f>
        <v>655.1738</v>
      </c>
      <c r="K1161" s="21" t="str">
        <f t="shared" si="1"/>
        <v>Apr</v>
      </c>
      <c r="L1161" s="21">
        <f t="shared" si="2"/>
        <v>2025</v>
      </c>
      <c r="N1161" s="33"/>
      <c r="O1161" s="34"/>
    </row>
    <row r="1162" ht="22.5" customHeight="1">
      <c r="A1162" s="21" t="s">
        <v>3127</v>
      </c>
      <c r="B1162" s="21" t="s">
        <v>1038</v>
      </c>
      <c r="C1162" s="21" t="str">
        <f t="array" ref="C1162">XLOOKUP(B1162,Customer[Customer_ID],Customer[Name(Cleaned)])</f>
        <v>Andrew Smith</v>
      </c>
      <c r="D1162" s="22" t="str">
        <f>VLOOKUP(B1162,Customer[#ALL],6)</f>
        <v>Female</v>
      </c>
      <c r="E1162" s="23">
        <f>Sales[Order_Date]</f>
        <v>45312</v>
      </c>
      <c r="F1162" s="21" t="str">
        <f>Sales[Store_ID]</f>
        <v>STORE16</v>
      </c>
      <c r="G1162" s="21" t="str">
        <f t="array" ref="G1162">INDEX(Store[Store_Name],MATCH(F1162,Store[Store_ID],0))</f>
        <v>Frederick-Wright</v>
      </c>
      <c r="H1162" s="21" t="str">
        <f>Sales[Product_ID]</f>
        <v>PROD8</v>
      </c>
      <c r="I1162" s="21" t="str">
        <f>VLOOKUP(H1162,Products[],2)</f>
        <v>Decorative Lamp Shade</v>
      </c>
      <c r="J1162" s="24">
        <f>Sales[Total_Amount]</f>
        <v>358.8585</v>
      </c>
      <c r="K1162" s="21" t="str">
        <f t="shared" si="1"/>
        <v>Jan</v>
      </c>
      <c r="L1162" s="21">
        <f t="shared" si="2"/>
        <v>2024</v>
      </c>
      <c r="N1162" s="33"/>
      <c r="O1162" s="34"/>
    </row>
    <row r="1163" ht="22.5" customHeight="1">
      <c r="A1163" s="21" t="s">
        <v>3128</v>
      </c>
      <c r="B1163" s="21" t="s">
        <v>1155</v>
      </c>
      <c r="C1163" s="21" t="str">
        <f t="array" ref="C1163">XLOOKUP(B1163,Customer[Customer_ID],Customer[Name(Cleaned)])</f>
        <v>Chloe Aguilar</v>
      </c>
      <c r="D1163" s="22" t="str">
        <f>VLOOKUP(B1163,Customer[#ALL],6)</f>
        <v>Female</v>
      </c>
      <c r="E1163" s="23">
        <f>Sales[Order_Date]</f>
        <v>45480</v>
      </c>
      <c r="F1163" s="21" t="str">
        <f>Sales[Store_ID]</f>
        <v>STORE11</v>
      </c>
      <c r="G1163" s="21" t="str">
        <f t="array" ref="G1163">INDEX(Store[Store_Name],MATCH(F1163,Store[Store_ID],0))</f>
        <v>Aguirre-Keller</v>
      </c>
      <c r="H1163" s="21" t="str">
        <f>Sales[Product_ID]</f>
        <v>PROD65</v>
      </c>
      <c r="I1163" s="21" t="str">
        <f>VLOOKUP(H1163,Products[],2)</f>
        <v>Adjustable Dumbbells 20kg</v>
      </c>
      <c r="J1163" s="24">
        <f>Sales[Total_Amount]</f>
        <v>1365.663</v>
      </c>
      <c r="K1163" s="21" t="str">
        <f t="shared" si="1"/>
        <v>Jul</v>
      </c>
      <c r="L1163" s="21">
        <f t="shared" si="2"/>
        <v>2024</v>
      </c>
      <c r="N1163" s="33"/>
      <c r="O1163" s="34"/>
    </row>
    <row r="1164" ht="22.5" customHeight="1">
      <c r="A1164" s="21" t="s">
        <v>3129</v>
      </c>
      <c r="B1164" s="21" t="s">
        <v>666</v>
      </c>
      <c r="C1164" s="21" t="str">
        <f t="array" ref="C1164">XLOOKUP(B1164,Customer[Customer_ID],Customer[Name(Cleaned)])</f>
        <v>Anna Perez</v>
      </c>
      <c r="D1164" s="22" t="str">
        <f>VLOOKUP(B1164,Customer[#ALL],6)</f>
        <v>Female</v>
      </c>
      <c r="E1164" s="23">
        <f>Sales[Order_Date]</f>
        <v>45780</v>
      </c>
      <c r="F1164" s="21" t="str">
        <f>Sales[Store_ID]</f>
        <v>STORE0</v>
      </c>
      <c r="G1164" s="21" t="str">
        <f t="array" ref="G1164">INDEX(Store[Store_Name],MATCH(F1164,Store[Store_ID],0))</f>
        <v>Rivera-Warner</v>
      </c>
      <c r="H1164" s="21" t="str">
        <f>Sales[Product_ID]</f>
        <v>PROD14</v>
      </c>
      <c r="I1164" s="21" t="str">
        <f>VLOOKUP(H1164,Products[],2)</f>
        <v>Decorative Wall Mirror</v>
      </c>
      <c r="J1164" s="24">
        <f>Sales[Total_Amount]</f>
        <v>1303.6896</v>
      </c>
      <c r="K1164" s="21" t="str">
        <f t="shared" si="1"/>
        <v>May</v>
      </c>
      <c r="L1164" s="21">
        <f t="shared" si="2"/>
        <v>2025</v>
      </c>
      <c r="N1164" s="33"/>
      <c r="O1164" s="34"/>
    </row>
    <row r="1165" ht="22.5" customHeight="1">
      <c r="A1165" s="21" t="s">
        <v>3130</v>
      </c>
      <c r="B1165" s="21" t="s">
        <v>1444</v>
      </c>
      <c r="C1165" s="21" t="str">
        <f t="array" ref="C1165">XLOOKUP(B1165,Customer[Customer_ID],Customer[Name(Cleaned)])</f>
        <v>Samantha Lee</v>
      </c>
      <c r="D1165" s="22" t="str">
        <f>VLOOKUP(B1165,Customer[#ALL],6)</f>
        <v>Male</v>
      </c>
      <c r="E1165" s="23">
        <f>Sales[Order_Date]</f>
        <v>45349</v>
      </c>
      <c r="F1165" s="21" t="str">
        <f>Sales[Store_ID]</f>
        <v>STORE7</v>
      </c>
      <c r="G1165" s="21" t="str">
        <f t="array" ref="G1165">INDEX(Store[Store_Name],MATCH(F1165,Store[Store_ID],0))</f>
        <v>Martinez-Mullins</v>
      </c>
      <c r="H1165" s="21" t="str">
        <f>Sales[Product_ID]</f>
        <v>PROD8</v>
      </c>
      <c r="I1165" s="21" t="str">
        <f>VLOOKUP(H1165,Products[],2)</f>
        <v>Decorative Lamp Shade</v>
      </c>
      <c r="J1165" s="24">
        <f>Sales[Total_Amount]</f>
        <v>641.41</v>
      </c>
      <c r="K1165" s="21" t="str">
        <f t="shared" si="1"/>
        <v>Feb</v>
      </c>
      <c r="L1165" s="21">
        <f t="shared" si="2"/>
        <v>2024</v>
      </c>
      <c r="N1165" s="33"/>
      <c r="O1165" s="34"/>
    </row>
    <row r="1166" ht="22.5" customHeight="1">
      <c r="A1166" s="21" t="s">
        <v>3131</v>
      </c>
      <c r="B1166" s="21" t="s">
        <v>1095</v>
      </c>
      <c r="C1166" s="21" t="str">
        <f t="array" ref="C1166">XLOOKUP(B1166,Customer[Customer_ID],Customer[Name(Cleaned)])</f>
        <v>Evelyn Brown</v>
      </c>
      <c r="D1166" s="22" t="str">
        <f>VLOOKUP(B1166,Customer[#ALL],6)</f>
        <v>Female</v>
      </c>
      <c r="E1166" s="23">
        <f>Sales[Order_Date]</f>
        <v>45846</v>
      </c>
      <c r="F1166" s="21" t="str">
        <f>Sales[Store_ID]</f>
        <v>STORE7</v>
      </c>
      <c r="G1166" s="21" t="str">
        <f t="array" ref="G1166">INDEX(Store[Store_Name],MATCH(F1166,Store[Store_ID],0))</f>
        <v>Martinez-Mullins</v>
      </c>
      <c r="H1166" s="21" t="str">
        <f>Sales[Product_ID]</f>
        <v>PROD74</v>
      </c>
      <c r="I1166" s="21" t="str">
        <f>VLOOKUP(H1166,Products[],2)</f>
        <v>Bluetooth Car Audio System</v>
      </c>
      <c r="J1166" s="24">
        <f>Sales[Total_Amount]</f>
        <v>200.9392</v>
      </c>
      <c r="K1166" s="21" t="str">
        <f t="shared" si="1"/>
        <v>Jul</v>
      </c>
      <c r="L1166" s="21">
        <f t="shared" si="2"/>
        <v>2025</v>
      </c>
      <c r="N1166" s="33"/>
      <c r="O1166" s="34"/>
    </row>
    <row r="1167" ht="22.5" customHeight="1">
      <c r="A1167" s="21" t="s">
        <v>3132</v>
      </c>
      <c r="B1167" s="21" t="s">
        <v>1365</v>
      </c>
      <c r="C1167" s="21" t="str">
        <f t="array" ref="C1167">XLOOKUP(B1167,Customer[Customer_ID],Customer[Name(Cleaned)])</f>
        <v>Lindsay Beasley</v>
      </c>
      <c r="D1167" s="22" t="str">
        <f>VLOOKUP(B1167,Customer[#ALL],6)</f>
        <v>Male</v>
      </c>
      <c r="E1167" s="23">
        <f>Sales[Order_Date]</f>
        <v>45729</v>
      </c>
      <c r="F1167" s="21" t="str">
        <f>Sales[Store_ID]</f>
        <v>STORE12</v>
      </c>
      <c r="G1167" s="21" t="str">
        <f t="array" ref="G1167">INDEX(Store[Store_Name],MATCH(F1167,Store[Store_ID],0))</f>
        <v>Thomas, Bridges and Harris</v>
      </c>
      <c r="H1167" s="21" t="str">
        <f>Sales[Product_ID]</f>
        <v>PROD94</v>
      </c>
      <c r="I1167" s="21" t="str">
        <f>VLOOKUP(H1167,Products[],2)</f>
        <v>Vitamin E Body Lotion</v>
      </c>
      <c r="J1167" s="24">
        <f>Sales[Total_Amount]</f>
        <v>736.5995</v>
      </c>
      <c r="K1167" s="21" t="str">
        <f t="shared" si="1"/>
        <v>Mar</v>
      </c>
      <c r="L1167" s="21">
        <f t="shared" si="2"/>
        <v>2025</v>
      </c>
      <c r="N1167" s="33"/>
      <c r="O1167" s="34"/>
    </row>
    <row r="1168" ht="22.5" customHeight="1">
      <c r="A1168" s="21" t="s">
        <v>3133</v>
      </c>
      <c r="B1168" s="21" t="s">
        <v>309</v>
      </c>
      <c r="C1168" s="21" t="str">
        <f t="array" ref="C1168">XLOOKUP(B1168,Customer[Customer_ID],Customer[Name(Cleaned)])</f>
        <v>Thomas Robinson</v>
      </c>
      <c r="D1168" s="22" t="str">
        <f>VLOOKUP(B1168,Customer[#ALL],6)</f>
        <v>Male</v>
      </c>
      <c r="E1168" s="23">
        <f>Sales[Order_Date]</f>
        <v>45768</v>
      </c>
      <c r="F1168" s="21" t="str">
        <f>Sales[Store_ID]</f>
        <v>STORE9</v>
      </c>
      <c r="G1168" s="21" t="str">
        <f t="array" ref="G1168">INDEX(Store[Store_Name],MATCH(F1168,Store[Store_ID],0))</f>
        <v>Moore, Padilla and Butler</v>
      </c>
      <c r="H1168" s="21" t="str">
        <f>Sales[Product_ID]</f>
        <v>PROD45</v>
      </c>
      <c r="I1168" s="21" t="str">
        <f>VLOOKUP(H1168,Products[],2)</f>
        <v>High-Grip Football</v>
      </c>
      <c r="J1168" s="24">
        <f>Sales[Total_Amount]</f>
        <v>1422.492</v>
      </c>
      <c r="K1168" s="21" t="str">
        <f t="shared" si="1"/>
        <v>Apr</v>
      </c>
      <c r="L1168" s="21">
        <f t="shared" si="2"/>
        <v>2025</v>
      </c>
      <c r="N1168" s="33"/>
      <c r="O1168" s="34"/>
    </row>
    <row r="1169" ht="22.5" customHeight="1">
      <c r="A1169" s="21" t="s">
        <v>3134</v>
      </c>
      <c r="B1169" s="21" t="s">
        <v>108</v>
      </c>
      <c r="C1169" s="21" t="str">
        <f t="array" ref="C1169">XLOOKUP(B1169,Customer[Customer_ID],Customer[Name(Cleaned)])</f>
        <v>Jonathan Steele</v>
      </c>
      <c r="D1169" s="22" t="str">
        <f>VLOOKUP(B1169,Customer[#ALL],6)</f>
        <v>Male</v>
      </c>
      <c r="E1169" s="23">
        <f>Sales[Order_Date]</f>
        <v>45606</v>
      </c>
      <c r="F1169" s="21" t="str">
        <f>Sales[Store_ID]</f>
        <v>STORE3</v>
      </c>
      <c r="G1169" s="21" t="str">
        <f t="array" ref="G1169">INDEX(Store[Store_Name],MATCH(F1169,Store[Store_ID],0))</f>
        <v>Johnson-Wright</v>
      </c>
      <c r="H1169" s="21" t="str">
        <f>Sales[Product_ID]</f>
        <v>PROD68</v>
      </c>
      <c r="I1169" s="21" t="str">
        <f>VLOOKUP(H1169,Products[],2)</f>
        <v>Wooden Nightstand</v>
      </c>
      <c r="J1169" s="24">
        <f>Sales[Total_Amount]</f>
        <v>1341.87</v>
      </c>
      <c r="K1169" s="21" t="str">
        <f t="shared" si="1"/>
        <v>Nov</v>
      </c>
      <c r="L1169" s="21">
        <f t="shared" si="2"/>
        <v>2024</v>
      </c>
      <c r="N1169" s="33"/>
      <c r="O1169" s="34"/>
    </row>
    <row r="1170" ht="22.5" customHeight="1">
      <c r="A1170" s="21" t="s">
        <v>3135</v>
      </c>
      <c r="B1170" s="21" t="s">
        <v>1206</v>
      </c>
      <c r="C1170" s="21" t="str">
        <f t="array" ref="C1170">XLOOKUP(B1170,Customer[Customer_ID],Customer[Name(Cleaned)])</f>
        <v>Erika Padilla</v>
      </c>
      <c r="D1170" s="22" t="str">
        <f>VLOOKUP(B1170,Customer[#ALL],6)</f>
        <v>Female</v>
      </c>
      <c r="E1170" s="23">
        <f>Sales[Order_Date]</f>
        <v>45552</v>
      </c>
      <c r="F1170" s="21" t="str">
        <f>Sales[Store_ID]</f>
        <v>STORE3</v>
      </c>
      <c r="G1170" s="21" t="str">
        <f t="array" ref="G1170">INDEX(Store[Store_Name],MATCH(F1170,Store[Store_ID],0))</f>
        <v>Johnson-Wright</v>
      </c>
      <c r="H1170" s="21" t="str">
        <f>Sales[Product_ID]</f>
        <v>PROD5</v>
      </c>
      <c r="I1170" s="21" t="str">
        <f>VLOOKUP(H1170,Products[],2)</f>
        <v>Men's Roll-On Perfume</v>
      </c>
      <c r="J1170" s="24">
        <f>Sales[Total_Amount]</f>
        <v>2933.3224</v>
      </c>
      <c r="K1170" s="21" t="str">
        <f t="shared" si="1"/>
        <v>Sep</v>
      </c>
      <c r="L1170" s="21">
        <f t="shared" si="2"/>
        <v>2024</v>
      </c>
      <c r="N1170" s="33"/>
      <c r="O1170" s="34"/>
    </row>
    <row r="1171" ht="22.5" customHeight="1">
      <c r="A1171" s="21" t="s">
        <v>3136</v>
      </c>
      <c r="B1171" s="21" t="s">
        <v>460</v>
      </c>
      <c r="C1171" s="21" t="str">
        <f t="array" ref="C1171">XLOOKUP(B1171,Customer[Customer_ID],Customer[Name(Cleaned)])</f>
        <v>Joseph Richards</v>
      </c>
      <c r="D1171" s="22" t="str">
        <f>VLOOKUP(B1171,Customer[#ALL],6)</f>
        <v>Male</v>
      </c>
      <c r="E1171" s="23">
        <f>Sales[Order_Date]</f>
        <v>45513</v>
      </c>
      <c r="F1171" s="21" t="str">
        <f>Sales[Store_ID]</f>
        <v>STORE9</v>
      </c>
      <c r="G1171" s="21" t="str">
        <f t="array" ref="G1171">INDEX(Store[Store_Name],MATCH(F1171,Store[Store_ID],0))</f>
        <v>Moore, Padilla and Butler</v>
      </c>
      <c r="H1171" s="21" t="str">
        <f>Sales[Product_ID]</f>
        <v>PROD75</v>
      </c>
      <c r="I1171" s="21" t="str">
        <f>VLOOKUP(H1171,Products[],2)</f>
        <v>Women's Ankle Boots</v>
      </c>
      <c r="J1171" s="24">
        <f>Sales[Total_Amount]</f>
        <v>2290.4244</v>
      </c>
      <c r="K1171" s="21" t="str">
        <f t="shared" si="1"/>
        <v>Aug</v>
      </c>
      <c r="L1171" s="21">
        <f t="shared" si="2"/>
        <v>2024</v>
      </c>
      <c r="N1171" s="33"/>
      <c r="O1171" s="34"/>
    </row>
    <row r="1172" ht="22.5" customHeight="1">
      <c r="A1172" s="21" t="s">
        <v>3137</v>
      </c>
      <c r="B1172" s="21" t="s">
        <v>1508</v>
      </c>
      <c r="C1172" s="21" t="str">
        <f t="array" ref="C1172">XLOOKUP(B1172,Customer[Customer_ID],Customer[Name(Cleaned)])</f>
        <v>Sara Ingram</v>
      </c>
      <c r="D1172" s="22" t="str">
        <f>VLOOKUP(B1172,Customer[#ALL],6)</f>
        <v>Male</v>
      </c>
      <c r="E1172" s="23">
        <f>Sales[Order_Date]</f>
        <v>45356</v>
      </c>
      <c r="F1172" s="21" t="str">
        <f>Sales[Store_ID]</f>
        <v>STORE17</v>
      </c>
      <c r="G1172" s="21" t="str">
        <f t="array" ref="G1172">INDEX(Store[Store_Name],MATCH(F1172,Store[Store_ID],0))</f>
        <v>Holloway Ltd</v>
      </c>
      <c r="H1172" s="21" t="str">
        <f>Sales[Product_ID]</f>
        <v>PROD41</v>
      </c>
      <c r="I1172" s="21" t="str">
        <f>VLOOKUP(H1172,Products[],2)</f>
        <v>Yoga Exercise Mat</v>
      </c>
      <c r="J1172" s="24">
        <f>Sales[Total_Amount]</f>
        <v>3143.84</v>
      </c>
      <c r="K1172" s="21" t="str">
        <f t="shared" si="1"/>
        <v>Mar</v>
      </c>
      <c r="L1172" s="21">
        <f t="shared" si="2"/>
        <v>2024</v>
      </c>
      <c r="N1172" s="33"/>
      <c r="O1172" s="34"/>
    </row>
    <row r="1173" ht="22.5" customHeight="1">
      <c r="A1173" s="21" t="s">
        <v>3138</v>
      </c>
      <c r="B1173" s="21" t="s">
        <v>1405</v>
      </c>
      <c r="C1173" s="21" t="str">
        <f t="array" ref="C1173">XLOOKUP(B1173,Customer[Customer_ID],Customer[Name(Cleaned)])</f>
        <v>William Cortez</v>
      </c>
      <c r="D1173" s="22" t="str">
        <f>VLOOKUP(B1173,Customer[#ALL],6)</f>
        <v>Female</v>
      </c>
      <c r="E1173" s="23">
        <f>Sales[Order_Date]</f>
        <v>45925</v>
      </c>
      <c r="F1173" s="21" t="str">
        <f>Sales[Store_ID]</f>
        <v>STORE19</v>
      </c>
      <c r="G1173" s="21" t="str">
        <f t="array" ref="G1173">INDEX(Store[Store_Name],MATCH(F1173,Store[Store_ID],0))</f>
        <v>Mann-Austin</v>
      </c>
      <c r="H1173" s="21" t="str">
        <f>Sales[Product_ID]</f>
        <v>PROD98</v>
      </c>
      <c r="I1173" s="21" t="str">
        <f>VLOOKUP(H1173,Products[],2)</f>
        <v>Portable Bluetooth Speaker</v>
      </c>
      <c r="J1173" s="24">
        <f>Sales[Total_Amount]</f>
        <v>494.568</v>
      </c>
      <c r="K1173" s="21" t="str">
        <f t="shared" si="1"/>
        <v>Sep</v>
      </c>
      <c r="L1173" s="21">
        <f t="shared" si="2"/>
        <v>2025</v>
      </c>
      <c r="N1173" s="33"/>
      <c r="O1173" s="34"/>
    </row>
    <row r="1174" ht="22.5" customHeight="1">
      <c r="A1174" s="21" t="s">
        <v>3139</v>
      </c>
      <c r="B1174" s="21" t="s">
        <v>785</v>
      </c>
      <c r="C1174" s="21" t="str">
        <f t="array" ref="C1174">XLOOKUP(B1174,Customer[Customer_ID],Customer[Name(Cleaned)])</f>
        <v>William Hull</v>
      </c>
      <c r="D1174" s="22" t="str">
        <f>VLOOKUP(B1174,Customer[#ALL],6)</f>
        <v>Male</v>
      </c>
      <c r="E1174" s="23">
        <f>Sales[Order_Date]</f>
        <v>45876</v>
      </c>
      <c r="F1174" s="21" t="str">
        <f>Sales[Store_ID]</f>
        <v>STORE18</v>
      </c>
      <c r="G1174" s="21" t="str">
        <f t="array" ref="G1174">INDEX(Store[Store_Name],MATCH(F1174,Store[Store_ID],0))</f>
        <v>Guerrero-Schmitt</v>
      </c>
      <c r="H1174" s="21" t="str">
        <f>Sales[Product_ID]</f>
        <v>PROD92</v>
      </c>
      <c r="I1174" s="21" t="str">
        <f>VLOOKUP(H1174,Products[],2)</f>
        <v>Microwave Oven</v>
      </c>
      <c r="J1174" s="24">
        <f>Sales[Total_Amount]</f>
        <v>403.0656</v>
      </c>
      <c r="K1174" s="21" t="str">
        <f t="shared" si="1"/>
        <v>Aug</v>
      </c>
      <c r="L1174" s="21">
        <f t="shared" si="2"/>
        <v>2025</v>
      </c>
      <c r="N1174" s="33"/>
      <c r="O1174" s="34"/>
    </row>
    <row r="1175" ht="22.5" customHeight="1">
      <c r="A1175" s="21" t="s">
        <v>3140</v>
      </c>
      <c r="B1175" s="21" t="s">
        <v>306</v>
      </c>
      <c r="C1175" s="21" t="str">
        <f t="array" ref="C1175">XLOOKUP(B1175,Customer[Customer_ID],Customer[Name(Cleaned)])</f>
        <v>George Rosario</v>
      </c>
      <c r="D1175" s="22" t="str">
        <f>VLOOKUP(B1175,Customer[#ALL],6)</f>
        <v>Female</v>
      </c>
      <c r="E1175" s="23">
        <f>Sales[Order_Date]</f>
        <v>45338</v>
      </c>
      <c r="F1175" s="21" t="str">
        <f>Sales[Store_ID]</f>
        <v>STORE6</v>
      </c>
      <c r="G1175" s="21" t="str">
        <f t="array" ref="G1175">INDEX(Store[Store_Name],MATCH(F1175,Store[Store_ID],0))</f>
        <v>Benson-Elliott</v>
      </c>
      <c r="H1175" s="21" t="str">
        <f>Sales[Product_ID]</f>
        <v>PROD92</v>
      </c>
      <c r="I1175" s="21" t="str">
        <f>VLOOKUP(H1175,Products[],2)</f>
        <v>Microwave Oven</v>
      </c>
      <c r="J1175" s="24">
        <f>Sales[Total_Amount]</f>
        <v>1562.929</v>
      </c>
      <c r="K1175" s="21" t="str">
        <f t="shared" si="1"/>
        <v>Feb</v>
      </c>
      <c r="L1175" s="21">
        <f t="shared" si="2"/>
        <v>2024</v>
      </c>
      <c r="N1175" s="33"/>
      <c r="O1175" s="34"/>
    </row>
    <row r="1176" ht="22.5" customHeight="1">
      <c r="A1176" s="21" t="s">
        <v>3141</v>
      </c>
      <c r="B1176" s="21" t="s">
        <v>180</v>
      </c>
      <c r="C1176" s="21" t="str">
        <f t="array" ref="C1176">XLOOKUP(B1176,Customer[Customer_ID],Customer[Name(Cleaned)])</f>
        <v>Denise Williams</v>
      </c>
      <c r="D1176" s="22" t="str">
        <f>VLOOKUP(B1176,Customer[#ALL],6)</f>
        <v>Female</v>
      </c>
      <c r="E1176" s="23">
        <f>Sales[Order_Date]</f>
        <v>45746</v>
      </c>
      <c r="F1176" s="21" t="str">
        <f>Sales[Store_ID]</f>
        <v>STORE9</v>
      </c>
      <c r="G1176" s="21" t="str">
        <f t="array" ref="G1176">INDEX(Store[Store_Name],MATCH(F1176,Store[Store_ID],0))</f>
        <v>Moore, Padilla and Butler</v>
      </c>
      <c r="H1176" s="21" t="str">
        <f>Sales[Product_ID]</f>
        <v>PROD1</v>
      </c>
      <c r="I1176" s="21" t="str">
        <f>VLOOKUP(H1176,Products[],2)</f>
        <v>Men's Graphic T-Shirt</v>
      </c>
      <c r="J1176" s="24">
        <f>Sales[Total_Amount]</f>
        <v>1329.1128</v>
      </c>
      <c r="K1176" s="21" t="str">
        <f t="shared" si="1"/>
        <v>Mar</v>
      </c>
      <c r="L1176" s="21">
        <f t="shared" si="2"/>
        <v>2025</v>
      </c>
      <c r="N1176" s="33"/>
      <c r="O1176" s="34"/>
    </row>
    <row r="1177" ht="22.5" customHeight="1">
      <c r="A1177" s="21" t="s">
        <v>3142</v>
      </c>
      <c r="B1177" s="21" t="s">
        <v>1468</v>
      </c>
      <c r="C1177" s="21" t="str">
        <f t="array" ref="C1177">XLOOKUP(B1177,Customer[Customer_ID],Customer[Name(Cleaned)])</f>
        <v>Debra Mccullough</v>
      </c>
      <c r="D1177" s="22" t="str">
        <f>VLOOKUP(B1177,Customer[#ALL],6)</f>
        <v>Female</v>
      </c>
      <c r="E1177" s="23">
        <f>Sales[Order_Date]</f>
        <v>45706</v>
      </c>
      <c r="F1177" s="21" t="str">
        <f>Sales[Store_ID]</f>
        <v>STORE10</v>
      </c>
      <c r="G1177" s="21" t="str">
        <f t="array" ref="G1177">INDEX(Store[Store_Name],MATCH(F1177,Store[Store_ID],0))</f>
        <v>Hill, Wagner and Ballard</v>
      </c>
      <c r="H1177" s="21" t="str">
        <f>Sales[Product_ID]</f>
        <v>PROD17</v>
      </c>
      <c r="I1177" s="21" t="str">
        <f>VLOOKUP(H1177,Products[],2)</f>
        <v>Soccer Training Cone Set</v>
      </c>
      <c r="J1177" s="24">
        <f>Sales[Total_Amount]</f>
        <v>111.9612</v>
      </c>
      <c r="K1177" s="21" t="str">
        <f t="shared" si="1"/>
        <v>Feb</v>
      </c>
      <c r="L1177" s="21">
        <f t="shared" si="2"/>
        <v>2025</v>
      </c>
      <c r="N1177" s="33"/>
      <c r="O1177" s="34"/>
    </row>
    <row r="1178" ht="22.5" customHeight="1">
      <c r="A1178" s="21" t="s">
        <v>3143</v>
      </c>
      <c r="B1178" s="21" t="s">
        <v>70</v>
      </c>
      <c r="C1178" s="21" t="str">
        <f t="array" ref="C1178">XLOOKUP(B1178,Customer[Customer_ID],Customer[Name(Cleaned)])</f>
        <v>Nathan Hernandez</v>
      </c>
      <c r="D1178" s="22" t="str">
        <f>VLOOKUP(B1178,Customer[#ALL],6)</f>
        <v>Male</v>
      </c>
      <c r="E1178" s="23">
        <f>Sales[Order_Date]</f>
        <v>45717</v>
      </c>
      <c r="F1178" s="21" t="str">
        <f>Sales[Store_ID]</f>
        <v>STORE1</v>
      </c>
      <c r="G1178" s="21" t="str">
        <f t="array" ref="G1178">INDEX(Store[Store_Name],MATCH(F1178,Store[Store_ID],0))</f>
        <v>Martinez, Adkins and Johnson</v>
      </c>
      <c r="H1178" s="21" t="str">
        <f>Sales[Product_ID]</f>
        <v>PROD24</v>
      </c>
      <c r="I1178" s="21" t="str">
        <f>VLOOKUP(H1178,Products[],2)</f>
        <v>Foldable Camping Chair</v>
      </c>
      <c r="J1178" s="24">
        <f>Sales[Total_Amount]</f>
        <v>1060.5816</v>
      </c>
      <c r="K1178" s="21" t="str">
        <f t="shared" si="1"/>
        <v>Mar</v>
      </c>
      <c r="L1178" s="21">
        <f t="shared" si="2"/>
        <v>2025</v>
      </c>
      <c r="N1178" s="33"/>
      <c r="O1178" s="34"/>
    </row>
    <row r="1179" ht="22.5" customHeight="1">
      <c r="A1179" s="21" t="s">
        <v>3144</v>
      </c>
      <c r="B1179" s="21" t="s">
        <v>475</v>
      </c>
      <c r="C1179" s="21" t="str">
        <f t="array" ref="C1179">XLOOKUP(B1179,Customer[Customer_ID],Customer[Name(Cleaned)])</f>
        <v>Patrick Coleman</v>
      </c>
      <c r="D1179" s="22" t="str">
        <f>VLOOKUP(B1179,Customer[#ALL],6)</f>
        <v>Female</v>
      </c>
      <c r="E1179" s="23">
        <f>Sales[Order_Date]</f>
        <v>45300</v>
      </c>
      <c r="F1179" s="21" t="str">
        <f>Sales[Store_ID]</f>
        <v>STORE17</v>
      </c>
      <c r="G1179" s="21" t="str">
        <f t="array" ref="G1179">INDEX(Store[Store_Name],MATCH(F1179,Store[Store_ID],0))</f>
        <v>Holloway Ltd</v>
      </c>
      <c r="H1179" s="21" t="str">
        <f>Sales[Product_ID]</f>
        <v>PROD35</v>
      </c>
      <c r="I1179" s="21" t="str">
        <f>VLOOKUP(H1179,Products[],2)</f>
        <v>Bedroom Table Lamp</v>
      </c>
      <c r="J1179" s="24">
        <f>Sales[Total_Amount]</f>
        <v>180.5814</v>
      </c>
      <c r="K1179" s="21" t="str">
        <f t="shared" si="1"/>
        <v>Jan</v>
      </c>
      <c r="L1179" s="21">
        <f t="shared" si="2"/>
        <v>2024</v>
      </c>
      <c r="N1179" s="33"/>
      <c r="O1179" s="34"/>
    </row>
    <row r="1180" ht="22.5" customHeight="1">
      <c r="A1180" s="21" t="s">
        <v>3145</v>
      </c>
      <c r="B1180" s="21" t="s">
        <v>809</v>
      </c>
      <c r="C1180" s="21" t="str">
        <f t="array" ref="C1180">XLOOKUP(B1180,Customer[Customer_ID],Customer[Name(Cleaned)])</f>
        <v>Nicholas Webb</v>
      </c>
      <c r="D1180" s="22" t="str">
        <f>VLOOKUP(B1180,Customer[#ALL],6)</f>
        <v>Female</v>
      </c>
      <c r="E1180" s="23">
        <f>Sales[Order_Date]</f>
        <v>45773</v>
      </c>
      <c r="F1180" s="21" t="str">
        <f>Sales[Store_ID]</f>
        <v>STORE2</v>
      </c>
      <c r="G1180" s="21" t="str">
        <f t="array" ref="G1180">INDEX(Store[Store_Name],MATCH(F1180,Store[Store_ID],0))</f>
        <v>Black-Horn</v>
      </c>
      <c r="H1180" s="21" t="str">
        <f>Sales[Product_ID]</f>
        <v>PROD35</v>
      </c>
      <c r="I1180" s="21" t="str">
        <f>VLOOKUP(H1180,Products[],2)</f>
        <v>Bedroom Table Lamp</v>
      </c>
      <c r="J1180" s="24">
        <f>Sales[Total_Amount]</f>
        <v>589.798</v>
      </c>
      <c r="K1180" s="21" t="str">
        <f t="shared" si="1"/>
        <v>Apr</v>
      </c>
      <c r="L1180" s="21">
        <f t="shared" si="2"/>
        <v>2025</v>
      </c>
      <c r="N1180" s="33"/>
      <c r="O1180" s="34"/>
    </row>
    <row r="1181" ht="22.5" customHeight="1">
      <c r="A1181" s="21" t="s">
        <v>3146</v>
      </c>
      <c r="B1181" s="21" t="s">
        <v>705</v>
      </c>
      <c r="C1181" s="21" t="str">
        <f t="array" ref="C1181">XLOOKUP(B1181,Customer[Customer_ID],Customer[Name(Cleaned)])</f>
        <v>Stuart Johnson</v>
      </c>
      <c r="D1181" s="22" t="str">
        <f>VLOOKUP(B1181,Customer[#ALL],6)</f>
        <v>Male</v>
      </c>
      <c r="E1181" s="23">
        <f>Sales[Order_Date]</f>
        <v>45294</v>
      </c>
      <c r="F1181" s="21" t="str">
        <f>Sales[Store_ID]</f>
        <v>STORE8</v>
      </c>
      <c r="G1181" s="21" t="str">
        <f t="array" ref="G1181">INDEX(Store[Store_Name],MATCH(F1181,Store[Store_ID],0))</f>
        <v>Bean, Jones and Park</v>
      </c>
      <c r="H1181" s="21" t="str">
        <f>Sales[Product_ID]</f>
        <v>PROD98</v>
      </c>
      <c r="I1181" s="21" t="str">
        <f>VLOOKUP(H1181,Products[],2)</f>
        <v>Portable Bluetooth Speaker</v>
      </c>
      <c r="J1181" s="24">
        <f>Sales[Total_Amount]</f>
        <v>599.6544</v>
      </c>
      <c r="K1181" s="21" t="str">
        <f t="shared" si="1"/>
        <v>Jan</v>
      </c>
      <c r="L1181" s="21">
        <f t="shared" si="2"/>
        <v>2024</v>
      </c>
      <c r="N1181" s="33"/>
      <c r="O1181" s="34"/>
    </row>
    <row r="1182" ht="22.5" customHeight="1">
      <c r="A1182" s="21" t="s">
        <v>3147</v>
      </c>
      <c r="B1182" s="21" t="s">
        <v>374</v>
      </c>
      <c r="C1182" s="21" t="str">
        <f t="array" ref="C1182">XLOOKUP(B1182,Customer[Customer_ID],Customer[Name(Cleaned)])</f>
        <v>Steven Stein</v>
      </c>
      <c r="D1182" s="22" t="str">
        <f>VLOOKUP(B1182,Customer[#ALL],6)</f>
        <v>Female</v>
      </c>
      <c r="E1182" s="23">
        <f>Sales[Order_Date]</f>
        <v>45497</v>
      </c>
      <c r="F1182" s="21" t="str">
        <f>Sales[Store_ID]</f>
        <v>STORE19</v>
      </c>
      <c r="G1182" s="21" t="str">
        <f t="array" ref="G1182">INDEX(Store[Store_Name],MATCH(F1182,Store[Store_ID],0))</f>
        <v>Mann-Austin</v>
      </c>
      <c r="H1182" s="21" t="str">
        <f>Sales[Product_ID]</f>
        <v>PROD89</v>
      </c>
      <c r="I1182" s="21" t="str">
        <f>VLOOKUP(H1182,Products[],2)</f>
        <v>Face Foundation Kit</v>
      </c>
      <c r="J1182" s="24">
        <f>Sales[Total_Amount]</f>
        <v>2176.228</v>
      </c>
      <c r="K1182" s="21" t="str">
        <f t="shared" si="1"/>
        <v>Jul</v>
      </c>
      <c r="L1182" s="21">
        <f t="shared" si="2"/>
        <v>2024</v>
      </c>
      <c r="N1182" s="33"/>
      <c r="O1182" s="34"/>
    </row>
    <row r="1183" ht="22.5" customHeight="1">
      <c r="A1183" s="21" t="s">
        <v>3148</v>
      </c>
      <c r="B1183" s="21" t="s">
        <v>1062</v>
      </c>
      <c r="C1183" s="21" t="str">
        <f t="array" ref="C1183">XLOOKUP(B1183,Customer[Customer_ID],Customer[Name(Cleaned)])</f>
        <v>Teresa Johnson</v>
      </c>
      <c r="D1183" s="22" t="str">
        <f>VLOOKUP(B1183,Customer[#ALL],6)</f>
        <v>Male</v>
      </c>
      <c r="E1183" s="23">
        <f>Sales[Order_Date]</f>
        <v>45742</v>
      </c>
      <c r="F1183" s="21" t="str">
        <f>Sales[Store_ID]</f>
        <v>STORE8</v>
      </c>
      <c r="G1183" s="21" t="str">
        <f t="array" ref="G1183">INDEX(Store[Store_Name],MATCH(F1183,Store[Store_ID],0))</f>
        <v>Bean, Jones and Park</v>
      </c>
      <c r="H1183" s="21" t="str">
        <f>Sales[Product_ID]</f>
        <v>PROD0</v>
      </c>
      <c r="I1183" s="21" t="str">
        <f>VLOOKUP(H1183,Products[],2)</f>
        <v>Brother Laser Printer</v>
      </c>
      <c r="J1183" s="24">
        <f>Sales[Total_Amount]</f>
        <v>3159.0612</v>
      </c>
      <c r="K1183" s="21" t="str">
        <f t="shared" si="1"/>
        <v>Mar</v>
      </c>
      <c r="L1183" s="21">
        <f t="shared" si="2"/>
        <v>2025</v>
      </c>
      <c r="N1183" s="33"/>
      <c r="O1183" s="34"/>
    </row>
    <row r="1184" ht="22.5" customHeight="1">
      <c r="A1184" s="21" t="s">
        <v>3149</v>
      </c>
      <c r="B1184" s="21" t="s">
        <v>693</v>
      </c>
      <c r="C1184" s="21" t="str">
        <f t="array" ref="C1184">XLOOKUP(B1184,Customer[Customer_ID],Customer[Name(Cleaned)])</f>
        <v>Joan Johnson</v>
      </c>
      <c r="D1184" s="22" t="str">
        <f>VLOOKUP(B1184,Customer[#ALL],6)</f>
        <v>Male</v>
      </c>
      <c r="E1184" s="23">
        <f>Sales[Order_Date]</f>
        <v>45713</v>
      </c>
      <c r="F1184" s="21" t="str">
        <f>Sales[Store_ID]</f>
        <v>STORE7</v>
      </c>
      <c r="G1184" s="21" t="str">
        <f t="array" ref="G1184">INDEX(Store[Store_Name],MATCH(F1184,Store[Store_ID],0))</f>
        <v>Martinez-Mullins</v>
      </c>
      <c r="H1184" s="21" t="str">
        <f>Sales[Product_ID]</f>
        <v>PROD42</v>
      </c>
      <c r="I1184" s="21" t="str">
        <f>VLOOKUP(H1184,Products[],2)</f>
        <v>Smart Home WiFi Camera</v>
      </c>
      <c r="J1184" s="24">
        <f>Sales[Total_Amount]</f>
        <v>1194.7392</v>
      </c>
      <c r="K1184" s="21" t="str">
        <f t="shared" si="1"/>
        <v>Feb</v>
      </c>
      <c r="L1184" s="21">
        <f t="shared" si="2"/>
        <v>2025</v>
      </c>
      <c r="N1184" s="33"/>
      <c r="O1184" s="34"/>
    </row>
    <row r="1185" ht="22.5" customHeight="1">
      <c r="A1185" s="21" t="s">
        <v>3150</v>
      </c>
      <c r="B1185" s="21" t="s">
        <v>911</v>
      </c>
      <c r="C1185" s="21" t="str">
        <f t="array" ref="C1185">XLOOKUP(B1185,Customer[Customer_ID],Customer[Name(Cleaned)])</f>
        <v>Kristi Lopez</v>
      </c>
      <c r="D1185" s="22" t="str">
        <f>VLOOKUP(B1185,Customer[#ALL],6)</f>
        <v>Male</v>
      </c>
      <c r="E1185" s="23">
        <f>Sales[Order_Date]</f>
        <v>45826</v>
      </c>
      <c r="F1185" s="21" t="str">
        <f>Sales[Store_ID]</f>
        <v>STORE9</v>
      </c>
      <c r="G1185" s="21" t="str">
        <f t="array" ref="G1185">INDEX(Store[Store_Name],MATCH(F1185,Store[Store_ID],0))</f>
        <v>Moore, Padilla and Butler</v>
      </c>
      <c r="H1185" s="21" t="str">
        <f>Sales[Product_ID]</f>
        <v>PROD91</v>
      </c>
      <c r="I1185" s="21" t="str">
        <f>VLOOKUP(H1185,Products[],2)</f>
        <v>Women's High Heels</v>
      </c>
      <c r="J1185" s="24">
        <f>Sales[Total_Amount]</f>
        <v>1481.0512</v>
      </c>
      <c r="K1185" s="21" t="str">
        <f t="shared" si="1"/>
        <v>Jun</v>
      </c>
      <c r="L1185" s="21">
        <f t="shared" si="2"/>
        <v>2025</v>
      </c>
      <c r="N1185" s="33"/>
      <c r="O1185" s="34"/>
    </row>
    <row r="1186" ht="22.5" customHeight="1">
      <c r="A1186" s="21" t="s">
        <v>3151</v>
      </c>
      <c r="B1186" s="21" t="s">
        <v>1488</v>
      </c>
      <c r="C1186" s="21" t="str">
        <f t="array" ref="C1186">XLOOKUP(B1186,Customer[Customer_ID],Customer[Name(Cleaned)])</f>
        <v>Earl Smith Dds</v>
      </c>
      <c r="D1186" s="22" t="str">
        <f>VLOOKUP(B1186,Customer[#ALL],6)</f>
        <v>Female</v>
      </c>
      <c r="E1186" s="23">
        <f>Sales[Order_Date]</f>
        <v>45648</v>
      </c>
      <c r="F1186" s="21" t="str">
        <f>Sales[Store_ID]</f>
        <v>STORE11</v>
      </c>
      <c r="G1186" s="21" t="str">
        <f t="array" ref="G1186">INDEX(Store[Store_Name],MATCH(F1186,Store[Store_ID],0))</f>
        <v>Aguirre-Keller</v>
      </c>
      <c r="H1186" s="21" t="str">
        <f>Sales[Product_ID]</f>
        <v>PROD16</v>
      </c>
      <c r="I1186" s="21" t="str">
        <f>VLOOKUP(H1186,Products[],2)</f>
        <v>Beard Grooming Kit</v>
      </c>
      <c r="J1186" s="24">
        <f>Sales[Total_Amount]</f>
        <v>2407.2648</v>
      </c>
      <c r="K1186" s="21" t="str">
        <f t="shared" si="1"/>
        <v>Dec</v>
      </c>
      <c r="L1186" s="21">
        <f t="shared" si="2"/>
        <v>2024</v>
      </c>
      <c r="N1186" s="33"/>
      <c r="O1186" s="34"/>
    </row>
    <row r="1187" ht="22.5" customHeight="1">
      <c r="A1187" s="21" t="s">
        <v>3152</v>
      </c>
      <c r="B1187" s="21" t="s">
        <v>489</v>
      </c>
      <c r="C1187" s="21" t="str">
        <f t="array" ref="C1187">XLOOKUP(B1187,Customer[Customer_ID],Customer[Name(Cleaned)])</f>
        <v>Cristian Wright</v>
      </c>
      <c r="D1187" s="22" t="str">
        <f>VLOOKUP(B1187,Customer[#ALL],6)</f>
        <v>Female</v>
      </c>
      <c r="E1187" s="23">
        <f>Sales[Order_Date]</f>
        <v>45836</v>
      </c>
      <c r="F1187" s="21" t="str">
        <f>Sales[Store_ID]</f>
        <v>STORE6</v>
      </c>
      <c r="G1187" s="21" t="str">
        <f t="array" ref="G1187">INDEX(Store[Store_Name],MATCH(F1187,Store[Store_ID],0))</f>
        <v>Benson-Elliott</v>
      </c>
      <c r="H1187" s="21" t="str">
        <f>Sales[Product_ID]</f>
        <v>PROD21</v>
      </c>
      <c r="I1187" s="21" t="str">
        <f>VLOOKUP(H1187,Products[],2)</f>
        <v>Multi-Purpose Storage Box</v>
      </c>
      <c r="J1187" s="24">
        <f>Sales[Total_Amount]</f>
        <v>388.5</v>
      </c>
      <c r="K1187" s="21" t="str">
        <f t="shared" si="1"/>
        <v>Jun</v>
      </c>
      <c r="L1187" s="21">
        <f t="shared" si="2"/>
        <v>2025</v>
      </c>
      <c r="N1187" s="33"/>
      <c r="O1187" s="34"/>
    </row>
    <row r="1188" ht="22.5" customHeight="1">
      <c r="A1188" s="21" t="s">
        <v>3153</v>
      </c>
      <c r="B1188" s="21" t="s">
        <v>1359</v>
      </c>
      <c r="C1188" s="21" t="str">
        <f t="array" ref="C1188">XLOOKUP(B1188,Customer[Customer_ID],Customer[Name(Cleaned)])</f>
        <v>Thomas Moore</v>
      </c>
      <c r="D1188" s="22" t="str">
        <f>VLOOKUP(B1188,Customer[#ALL],6)</f>
        <v>Male</v>
      </c>
      <c r="E1188" s="23">
        <f>Sales[Order_Date]</f>
        <v>45437</v>
      </c>
      <c r="F1188" s="21" t="str">
        <f>Sales[Store_ID]</f>
        <v>STORE4</v>
      </c>
      <c r="G1188" s="21" t="str">
        <f t="array" ref="G1188">INDEX(Store[Store_Name],MATCH(F1188,Store[Store_ID],0))</f>
        <v>Alexander Group</v>
      </c>
      <c r="H1188" s="21" t="str">
        <f>Sales[Product_ID]</f>
        <v>PROD64</v>
      </c>
      <c r="I1188" s="21" t="str">
        <f>VLOOKUP(H1188,Products[],2)</f>
        <v>Matte Lipstick Set</v>
      </c>
      <c r="J1188" s="24">
        <f>Sales[Total_Amount]</f>
        <v>2337.75</v>
      </c>
      <c r="K1188" s="21" t="str">
        <f t="shared" si="1"/>
        <v>May</v>
      </c>
      <c r="L1188" s="21">
        <f t="shared" si="2"/>
        <v>2024</v>
      </c>
      <c r="N1188" s="33"/>
      <c r="O1188" s="34"/>
    </row>
    <row r="1189" ht="22.5" customHeight="1">
      <c r="A1189" s="21" t="s">
        <v>3154</v>
      </c>
      <c r="B1189" s="21" t="s">
        <v>419</v>
      </c>
      <c r="C1189" s="21" t="str">
        <f t="array" ref="C1189">XLOOKUP(B1189,Customer[Customer_ID],Customer[Name(Cleaned)])</f>
        <v>Earl Allen</v>
      </c>
      <c r="D1189" s="22" t="str">
        <f>VLOOKUP(B1189,Customer[#ALL],6)</f>
        <v>Female</v>
      </c>
      <c r="E1189" s="23">
        <f>Sales[Order_Date]</f>
        <v>45807</v>
      </c>
      <c r="F1189" s="21" t="str">
        <f>Sales[Store_ID]</f>
        <v>STORE7</v>
      </c>
      <c r="G1189" s="21" t="str">
        <f t="array" ref="G1189">INDEX(Store[Store_Name],MATCH(F1189,Store[Store_ID],0))</f>
        <v>Martinez-Mullins</v>
      </c>
      <c r="H1189" s="21" t="str">
        <f>Sales[Product_ID]</f>
        <v>PROD83</v>
      </c>
      <c r="I1189" s="21" t="str">
        <f>VLOOKUP(H1189,Products[],2)</f>
        <v>Hydrating Face Cleanser</v>
      </c>
      <c r="J1189" s="24">
        <f>Sales[Total_Amount]</f>
        <v>692.27</v>
      </c>
      <c r="K1189" s="21" t="str">
        <f t="shared" si="1"/>
        <v>May</v>
      </c>
      <c r="L1189" s="21">
        <f t="shared" si="2"/>
        <v>2025</v>
      </c>
      <c r="N1189" s="33"/>
      <c r="O1189" s="34"/>
    </row>
    <row r="1190" ht="22.5" customHeight="1">
      <c r="A1190" s="21" t="s">
        <v>3155</v>
      </c>
      <c r="B1190" s="21" t="s">
        <v>1279</v>
      </c>
      <c r="C1190" s="21" t="str">
        <f t="array" ref="C1190">XLOOKUP(B1190,Customer[Customer_ID],Customer[Name(Cleaned)])</f>
        <v>David Lozano</v>
      </c>
      <c r="D1190" s="22" t="str">
        <f>VLOOKUP(B1190,Customer[#ALL],6)</f>
        <v>Male</v>
      </c>
      <c r="E1190" s="23">
        <f>Sales[Order_Date]</f>
        <v>45555</v>
      </c>
      <c r="F1190" s="21" t="str">
        <f>Sales[Store_ID]</f>
        <v>STORE18</v>
      </c>
      <c r="G1190" s="21" t="str">
        <f t="array" ref="G1190">INDEX(Store[Store_Name],MATCH(F1190,Store[Store_ID],0))</f>
        <v>Guerrero-Schmitt</v>
      </c>
      <c r="H1190" s="21" t="str">
        <f>Sales[Product_ID]</f>
        <v>PROD90</v>
      </c>
      <c r="I1190" s="21" t="str">
        <f>VLOOKUP(H1190,Products[],2)</f>
        <v>Gaming Mouse Pad XL</v>
      </c>
      <c r="J1190" s="24">
        <f>Sales[Total_Amount]</f>
        <v>315.2478</v>
      </c>
      <c r="K1190" s="21" t="str">
        <f t="shared" si="1"/>
        <v>Sep</v>
      </c>
      <c r="L1190" s="21">
        <f t="shared" si="2"/>
        <v>2024</v>
      </c>
      <c r="N1190" s="33"/>
      <c r="O1190" s="34"/>
    </row>
    <row r="1191" ht="22.5" customHeight="1">
      <c r="A1191" s="21" t="s">
        <v>3156</v>
      </c>
      <c r="B1191" s="21" t="s">
        <v>723</v>
      </c>
      <c r="C1191" s="21" t="str">
        <f t="array" ref="C1191">XLOOKUP(B1191,Customer[Customer_ID],Customer[Name(Cleaned)])</f>
        <v>Jordan Wells</v>
      </c>
      <c r="D1191" s="22" t="str">
        <f>VLOOKUP(B1191,Customer[#ALL],6)</f>
        <v>Male</v>
      </c>
      <c r="E1191" s="23">
        <f>Sales[Order_Date]</f>
        <v>45803</v>
      </c>
      <c r="F1191" s="21" t="str">
        <f>Sales[Store_ID]</f>
        <v>STORE0</v>
      </c>
      <c r="G1191" s="21" t="str">
        <f t="array" ref="G1191">INDEX(Store[Store_Name],MATCH(F1191,Store[Store_ID],0))</f>
        <v>Rivera-Warner</v>
      </c>
      <c r="H1191" s="21" t="str">
        <f>Sales[Product_ID]</f>
        <v>PROD37</v>
      </c>
      <c r="I1191" s="21" t="str">
        <f>VLOOKUP(H1191,Products[],2)</f>
        <v>Men's Casual Sneakers</v>
      </c>
      <c r="J1191" s="24">
        <f>Sales[Total_Amount]</f>
        <v>2599.5948</v>
      </c>
      <c r="K1191" s="21" t="str">
        <f t="shared" si="1"/>
        <v>May</v>
      </c>
      <c r="L1191" s="21">
        <f t="shared" si="2"/>
        <v>2025</v>
      </c>
      <c r="N1191" s="33"/>
      <c r="O1191" s="34"/>
    </row>
    <row r="1192" ht="22.5" customHeight="1">
      <c r="A1192" s="21" t="s">
        <v>3157</v>
      </c>
      <c r="B1192" s="21" t="s">
        <v>666</v>
      </c>
      <c r="C1192" s="21" t="str">
        <f t="array" ref="C1192">XLOOKUP(B1192,Customer[Customer_ID],Customer[Name(Cleaned)])</f>
        <v>Anna Perez</v>
      </c>
      <c r="D1192" s="22" t="str">
        <f>VLOOKUP(B1192,Customer[#ALL],6)</f>
        <v>Female</v>
      </c>
      <c r="E1192" s="23">
        <f>Sales[Order_Date]</f>
        <v>45710</v>
      </c>
      <c r="F1192" s="21" t="str">
        <f>Sales[Store_ID]</f>
        <v>STORE8</v>
      </c>
      <c r="G1192" s="21" t="str">
        <f t="array" ref="G1192">INDEX(Store[Store_Name],MATCH(F1192,Store[Store_ID],0))</f>
        <v>Bean, Jones and Park</v>
      </c>
      <c r="H1192" s="21" t="str">
        <f>Sales[Product_ID]</f>
        <v>PROD77</v>
      </c>
      <c r="I1192" s="21" t="str">
        <f>VLOOKUP(H1192,Products[],2)</f>
        <v>WiFi Mesh Router</v>
      </c>
      <c r="J1192" s="24">
        <f>Sales[Total_Amount]</f>
        <v>2030.5701</v>
      </c>
      <c r="K1192" s="21" t="str">
        <f t="shared" si="1"/>
        <v>Feb</v>
      </c>
      <c r="L1192" s="21">
        <f t="shared" si="2"/>
        <v>2025</v>
      </c>
      <c r="N1192" s="33"/>
      <c r="O1192" s="34"/>
    </row>
    <row r="1193" ht="22.5" customHeight="1">
      <c r="A1193" s="21" t="s">
        <v>3158</v>
      </c>
      <c r="B1193" s="21" t="s">
        <v>368</v>
      </c>
      <c r="C1193" s="21" t="str">
        <f t="array" ref="C1193">XLOOKUP(B1193,Customer[Customer_ID],Customer[Name(Cleaned)])</f>
        <v>Colleen Maynard</v>
      </c>
      <c r="D1193" s="22" t="str">
        <f>VLOOKUP(B1193,Customer[#ALL],6)</f>
        <v>Female</v>
      </c>
      <c r="E1193" s="23">
        <f>Sales[Order_Date]</f>
        <v>45735</v>
      </c>
      <c r="F1193" s="21" t="str">
        <f>Sales[Store_ID]</f>
        <v>STORE12</v>
      </c>
      <c r="G1193" s="21" t="str">
        <f t="array" ref="G1193">INDEX(Store[Store_Name],MATCH(F1193,Store[Store_ID],0))</f>
        <v>Thomas, Bridges and Harris</v>
      </c>
      <c r="H1193" s="21" t="str">
        <f>Sales[Product_ID]</f>
        <v>PROD89</v>
      </c>
      <c r="I1193" s="21" t="str">
        <f>VLOOKUP(H1193,Products[],2)</f>
        <v>Face Foundation Kit</v>
      </c>
      <c r="J1193" s="24">
        <f>Sales[Total_Amount]</f>
        <v>1330.0704</v>
      </c>
      <c r="K1193" s="21" t="str">
        <f t="shared" si="1"/>
        <v>Mar</v>
      </c>
      <c r="L1193" s="21">
        <f t="shared" si="2"/>
        <v>2025</v>
      </c>
      <c r="N1193" s="33"/>
      <c r="O1193" s="34"/>
    </row>
    <row r="1194" ht="22.5" customHeight="1">
      <c r="A1194" s="21" t="s">
        <v>3159</v>
      </c>
      <c r="B1194" s="21" t="s">
        <v>469</v>
      </c>
      <c r="C1194" s="21" t="str">
        <f t="array" ref="C1194">XLOOKUP(B1194,Customer[Customer_ID],Customer[Name(Cleaned)])</f>
        <v>Morgan Bowen</v>
      </c>
      <c r="D1194" s="22" t="str">
        <f>VLOOKUP(B1194,Customer[#ALL],6)</f>
        <v>Female</v>
      </c>
      <c r="E1194" s="23">
        <f>Sales[Order_Date]</f>
        <v>45750</v>
      </c>
      <c r="F1194" s="21" t="str">
        <f>Sales[Store_ID]</f>
        <v>STORE8</v>
      </c>
      <c r="G1194" s="21" t="str">
        <f t="array" ref="G1194">INDEX(Store[Store_Name],MATCH(F1194,Store[Store_ID],0))</f>
        <v>Bean, Jones and Park</v>
      </c>
      <c r="H1194" s="21" t="str">
        <f>Sales[Product_ID]</f>
        <v>PROD70</v>
      </c>
      <c r="I1194" s="21" t="str">
        <f>VLOOKUP(H1194,Products[],2)</f>
        <v>Kitchen Storage Rack</v>
      </c>
      <c r="J1194" s="24">
        <f>Sales[Total_Amount]</f>
        <v>197.682</v>
      </c>
      <c r="K1194" s="21" t="str">
        <f t="shared" si="1"/>
        <v>Apr</v>
      </c>
      <c r="L1194" s="21">
        <f t="shared" si="2"/>
        <v>2025</v>
      </c>
      <c r="N1194" s="33"/>
      <c r="O1194" s="34"/>
    </row>
    <row r="1195" ht="22.5" customHeight="1">
      <c r="A1195" s="21" t="s">
        <v>3160</v>
      </c>
      <c r="B1195" s="21" t="s">
        <v>142</v>
      </c>
      <c r="C1195" s="21" t="str">
        <f t="array" ref="C1195">XLOOKUP(B1195,Customer[Customer_ID],Customer[Name(Cleaned)])</f>
        <v>Robert Jones Dds</v>
      </c>
      <c r="D1195" s="22" t="str">
        <f>VLOOKUP(B1195,Customer[#ALL],6)</f>
        <v>Female</v>
      </c>
      <c r="E1195" s="23">
        <f>Sales[Order_Date]</f>
        <v>45693</v>
      </c>
      <c r="F1195" s="21" t="str">
        <f>Sales[Store_ID]</f>
        <v>STORE3</v>
      </c>
      <c r="G1195" s="21" t="str">
        <f t="array" ref="G1195">INDEX(Store[Store_Name],MATCH(F1195,Store[Store_ID],0))</f>
        <v>Johnson-Wright</v>
      </c>
      <c r="H1195" s="21" t="str">
        <f>Sales[Product_ID]</f>
        <v>PROD23</v>
      </c>
      <c r="I1195" s="21" t="str">
        <f>VLOOKUP(H1195,Products[],2)</f>
        <v>Men's Formal Shirt</v>
      </c>
      <c r="J1195" s="24">
        <f>Sales[Total_Amount]</f>
        <v>1519.4976</v>
      </c>
      <c r="K1195" s="21" t="str">
        <f t="shared" si="1"/>
        <v>Feb</v>
      </c>
      <c r="L1195" s="21">
        <f t="shared" si="2"/>
        <v>2025</v>
      </c>
      <c r="N1195" s="33"/>
      <c r="O1195" s="34"/>
    </row>
    <row r="1196" ht="22.5" customHeight="1">
      <c r="A1196" s="21" t="s">
        <v>3161</v>
      </c>
      <c r="B1196" s="21" t="s">
        <v>999</v>
      </c>
      <c r="C1196" s="21" t="str">
        <f t="array" ref="C1196">XLOOKUP(B1196,Customer[Customer_ID],Customer[Name(Cleaned)])</f>
        <v>Jason Mullins</v>
      </c>
      <c r="D1196" s="22" t="str">
        <f>VLOOKUP(B1196,Customer[#ALL],6)</f>
        <v>Male</v>
      </c>
      <c r="E1196" s="23">
        <f>Sales[Order_Date]</f>
        <v>45667</v>
      </c>
      <c r="F1196" s="21" t="str">
        <f>Sales[Store_ID]</f>
        <v>STORE8</v>
      </c>
      <c r="G1196" s="21" t="str">
        <f t="array" ref="G1196">INDEX(Store[Store_Name],MATCH(F1196,Store[Store_ID],0))</f>
        <v>Bean, Jones and Park</v>
      </c>
      <c r="H1196" s="21" t="str">
        <f>Sales[Product_ID]</f>
        <v>PROD74</v>
      </c>
      <c r="I1196" s="21" t="str">
        <f>VLOOKUP(H1196,Products[],2)</f>
        <v>Bluetooth Car Audio System</v>
      </c>
      <c r="J1196" s="24">
        <f>Sales[Total_Amount]</f>
        <v>811.0716</v>
      </c>
      <c r="K1196" s="21" t="str">
        <f t="shared" si="1"/>
        <v>Jan</v>
      </c>
      <c r="L1196" s="21">
        <f t="shared" si="2"/>
        <v>2025</v>
      </c>
      <c r="N1196" s="33"/>
      <c r="O1196" s="34"/>
    </row>
    <row r="1197" ht="22.5" customHeight="1">
      <c r="A1197" s="21" t="s">
        <v>3162</v>
      </c>
      <c r="B1197" s="21" t="s">
        <v>1359</v>
      </c>
      <c r="C1197" s="21" t="str">
        <f t="array" ref="C1197">XLOOKUP(B1197,Customer[Customer_ID],Customer[Name(Cleaned)])</f>
        <v>Thomas Moore</v>
      </c>
      <c r="D1197" s="22" t="str">
        <f>VLOOKUP(B1197,Customer[#ALL],6)</f>
        <v>Male</v>
      </c>
      <c r="E1197" s="23">
        <f>Sales[Order_Date]</f>
        <v>45316</v>
      </c>
      <c r="F1197" s="21" t="str">
        <f>Sales[Store_ID]</f>
        <v>STORE1</v>
      </c>
      <c r="G1197" s="21" t="str">
        <f t="array" ref="G1197">INDEX(Store[Store_Name],MATCH(F1197,Store[Store_ID],0))</f>
        <v>Martinez, Adkins and Johnson</v>
      </c>
      <c r="H1197" s="21" t="str">
        <f>Sales[Product_ID]</f>
        <v>PROD10</v>
      </c>
      <c r="I1197" s="21" t="str">
        <f>VLOOKUP(H1197,Products[],2)</f>
        <v>Men's Graphic T-Shirt</v>
      </c>
      <c r="J1197" s="24">
        <f>Sales[Total_Amount]</f>
        <v>394.5863</v>
      </c>
      <c r="K1197" s="21" t="str">
        <f t="shared" si="1"/>
        <v>Jan</v>
      </c>
      <c r="L1197" s="21">
        <f t="shared" si="2"/>
        <v>2024</v>
      </c>
      <c r="N1197" s="33"/>
      <c r="O1197" s="34"/>
    </row>
    <row r="1198" ht="22.5" customHeight="1">
      <c r="A1198" s="21" t="s">
        <v>3163</v>
      </c>
      <c r="B1198" s="21" t="s">
        <v>1179</v>
      </c>
      <c r="C1198" s="21" t="str">
        <f t="array" ref="C1198">XLOOKUP(B1198,Customer[Customer_ID],Customer[Name(Cleaned)])</f>
        <v>Jacqueline Anthony</v>
      </c>
      <c r="D1198" s="22" t="str">
        <f>VLOOKUP(B1198,Customer[#ALL],6)</f>
        <v>Female</v>
      </c>
      <c r="E1198" s="23">
        <f>Sales[Order_Date]</f>
        <v>45932</v>
      </c>
      <c r="F1198" s="21" t="str">
        <f>Sales[Store_ID]</f>
        <v>STORE14</v>
      </c>
      <c r="G1198" s="21" t="str">
        <f t="array" ref="G1198">INDEX(Store[Store_Name],MATCH(F1198,Store[Store_ID],0))</f>
        <v>Mcdonald Inc</v>
      </c>
      <c r="H1198" s="21" t="str">
        <f>Sales[Product_ID]</f>
        <v>PROD54</v>
      </c>
      <c r="I1198" s="21" t="str">
        <f>VLOOKUP(H1198,Products[],2)</f>
        <v>Sports Stopwatch Pro</v>
      </c>
      <c r="J1198" s="24">
        <f>Sales[Total_Amount]</f>
        <v>581.7696</v>
      </c>
      <c r="K1198" s="21" t="str">
        <f t="shared" si="1"/>
        <v>Oct</v>
      </c>
      <c r="L1198" s="21">
        <f t="shared" si="2"/>
        <v>2025</v>
      </c>
      <c r="N1198" s="33"/>
      <c r="O1198" s="34"/>
    </row>
    <row r="1199" ht="22.5" customHeight="1">
      <c r="A1199" s="21" t="s">
        <v>3164</v>
      </c>
      <c r="B1199" s="21" t="s">
        <v>1110</v>
      </c>
      <c r="C1199" s="21" t="str">
        <f t="array" ref="C1199">XLOOKUP(B1199,Customer[Customer_ID],Customer[Name(Cleaned)])</f>
        <v>Heather Valenzuela</v>
      </c>
      <c r="D1199" s="22" t="str">
        <f>VLOOKUP(B1199,Customer[#ALL],6)</f>
        <v>Female</v>
      </c>
      <c r="E1199" s="23">
        <f>Sales[Order_Date]</f>
        <v>45483</v>
      </c>
      <c r="F1199" s="21" t="str">
        <f>Sales[Store_ID]</f>
        <v>STORE5</v>
      </c>
      <c r="G1199" s="21" t="str">
        <f t="array" ref="G1199">INDEX(Store[Store_Name],MATCH(F1199,Store[Store_ID],0))</f>
        <v>Gray Ltd</v>
      </c>
      <c r="H1199" s="21" t="str">
        <f>Sales[Product_ID]</f>
        <v>PROD17</v>
      </c>
      <c r="I1199" s="21" t="str">
        <f>VLOOKUP(H1199,Products[],2)</f>
        <v>Soccer Training Cone Set</v>
      </c>
      <c r="J1199" s="24">
        <f>Sales[Total_Amount]</f>
        <v>1212.9008</v>
      </c>
      <c r="K1199" s="21" t="str">
        <f t="shared" si="1"/>
        <v>Jul</v>
      </c>
      <c r="L1199" s="21">
        <f t="shared" si="2"/>
        <v>2024</v>
      </c>
      <c r="N1199" s="33"/>
      <c r="O1199" s="34"/>
    </row>
    <row r="1200" ht="22.5" customHeight="1">
      <c r="A1200" s="21" t="s">
        <v>3165</v>
      </c>
      <c r="B1200" s="21" t="s">
        <v>1505</v>
      </c>
      <c r="C1200" s="21" t="str">
        <f t="array" ref="C1200">XLOOKUP(B1200,Customer[Customer_ID],Customer[Name(Cleaned)])</f>
        <v>Jessica Castro</v>
      </c>
      <c r="D1200" s="22" t="str">
        <f>VLOOKUP(B1200,Customer[#ALL],6)</f>
        <v>Female</v>
      </c>
      <c r="E1200" s="23">
        <f>Sales[Order_Date]</f>
        <v>45661</v>
      </c>
      <c r="F1200" s="21" t="str">
        <f>Sales[Store_ID]</f>
        <v>STORE18</v>
      </c>
      <c r="G1200" s="21" t="str">
        <f t="array" ref="G1200">INDEX(Store[Store_Name],MATCH(F1200,Store[Store_ID],0))</f>
        <v>Guerrero-Schmitt</v>
      </c>
      <c r="H1200" s="21" t="str">
        <f>Sales[Product_ID]</f>
        <v>PROD77</v>
      </c>
      <c r="I1200" s="21" t="str">
        <f>VLOOKUP(H1200,Products[],2)</f>
        <v>WiFi Mesh Router</v>
      </c>
      <c r="J1200" s="24">
        <f>Sales[Total_Amount]</f>
        <v>1741.5192</v>
      </c>
      <c r="K1200" s="21" t="str">
        <f t="shared" si="1"/>
        <v>Jan</v>
      </c>
      <c r="L1200" s="21">
        <f t="shared" si="2"/>
        <v>2025</v>
      </c>
      <c r="N1200" s="33"/>
      <c r="O1200" s="34"/>
    </row>
    <row r="1201" ht="22.5" customHeight="1">
      <c r="A1201" s="21" t="s">
        <v>3166</v>
      </c>
      <c r="B1201" s="21" t="s">
        <v>1011</v>
      </c>
      <c r="C1201" s="21" t="str">
        <f t="array" ref="C1201">XLOOKUP(B1201,Customer[Customer_ID],Customer[Name(Cleaned)])</f>
        <v>Robert House</v>
      </c>
      <c r="D1201" s="22" t="str">
        <f>VLOOKUP(B1201,Customer[#ALL],6)</f>
        <v>Female</v>
      </c>
      <c r="E1201" s="23">
        <f>Sales[Order_Date]</f>
        <v>45798</v>
      </c>
      <c r="F1201" s="21" t="str">
        <f>Sales[Store_ID]</f>
        <v>STORE7</v>
      </c>
      <c r="G1201" s="21" t="str">
        <f t="array" ref="G1201">INDEX(Store[Store_Name],MATCH(F1201,Store[Store_ID],0))</f>
        <v>Martinez-Mullins</v>
      </c>
      <c r="H1201" s="21" t="str">
        <f>Sales[Product_ID]</f>
        <v>PROD25</v>
      </c>
      <c r="I1201" s="21" t="str">
        <f>VLOOKUP(H1201,Products[],2)</f>
        <v>Women's Scarf Set</v>
      </c>
      <c r="J1201" s="24">
        <f>Sales[Total_Amount]</f>
        <v>937.4896</v>
      </c>
      <c r="K1201" s="21" t="str">
        <f t="shared" si="1"/>
        <v>May</v>
      </c>
      <c r="L1201" s="21">
        <f t="shared" si="2"/>
        <v>2025</v>
      </c>
      <c r="N1201" s="33"/>
      <c r="O1201" s="34"/>
    </row>
    <row r="1202" ht="22.5" customHeight="1">
      <c r="A1202" s="21" t="s">
        <v>3167</v>
      </c>
      <c r="B1202" s="21" t="s">
        <v>1041</v>
      </c>
      <c r="C1202" s="21" t="str">
        <f t="array" ref="C1202">XLOOKUP(B1202,Customer[Customer_ID],Customer[Name(Cleaned)])</f>
        <v>Robert King</v>
      </c>
      <c r="D1202" s="22" t="str">
        <f>VLOOKUP(B1202,Customer[#ALL],6)</f>
        <v>Male</v>
      </c>
      <c r="E1202" s="23">
        <f>Sales[Order_Date]</f>
        <v>45868</v>
      </c>
      <c r="F1202" s="21" t="str">
        <f>Sales[Store_ID]</f>
        <v>STORE11</v>
      </c>
      <c r="G1202" s="21" t="str">
        <f t="array" ref="G1202">INDEX(Store[Store_Name],MATCH(F1202,Store[Store_ID],0))</f>
        <v>Aguirre-Keller</v>
      </c>
      <c r="H1202" s="21" t="str">
        <f>Sales[Product_ID]</f>
        <v>PROD37</v>
      </c>
      <c r="I1202" s="21" t="str">
        <f>VLOOKUP(H1202,Products[],2)</f>
        <v>Men's Casual Sneakers</v>
      </c>
      <c r="J1202" s="24">
        <f>Sales[Total_Amount]</f>
        <v>2687.526</v>
      </c>
      <c r="K1202" s="21" t="str">
        <f t="shared" si="1"/>
        <v>Jul</v>
      </c>
      <c r="L1202" s="21">
        <f t="shared" si="2"/>
        <v>2025</v>
      </c>
      <c r="N1202" s="33"/>
      <c r="O1202" s="34"/>
    </row>
    <row r="1203" ht="22.5" customHeight="1">
      <c r="A1203" s="21" t="s">
        <v>3168</v>
      </c>
      <c r="B1203" s="21" t="s">
        <v>510</v>
      </c>
      <c r="C1203" s="21" t="str">
        <f t="array" ref="C1203">XLOOKUP(B1203,Customer[Customer_ID],Customer[Name(Cleaned)])</f>
        <v>Theresa Campbell</v>
      </c>
      <c r="D1203" s="22" t="str">
        <f>VLOOKUP(B1203,Customer[#ALL],6)</f>
        <v>Male</v>
      </c>
      <c r="E1203" s="23">
        <f>Sales[Order_Date]</f>
        <v>45923</v>
      </c>
      <c r="F1203" s="21" t="str">
        <f>Sales[Store_ID]</f>
        <v>STORE2</v>
      </c>
      <c r="G1203" s="21" t="str">
        <f t="array" ref="G1203">INDEX(Store[Store_Name],MATCH(F1203,Store[Store_ID],0))</f>
        <v>Black-Horn</v>
      </c>
      <c r="H1203" s="21" t="str">
        <f>Sales[Product_ID]</f>
        <v>PROD13</v>
      </c>
      <c r="I1203" s="21" t="str">
        <f>VLOOKUP(H1203,Products[],2)</f>
        <v>USB-C Fast Charger</v>
      </c>
      <c r="J1203" s="24">
        <f>Sales[Total_Amount]</f>
        <v>132.0938</v>
      </c>
      <c r="K1203" s="21" t="str">
        <f t="shared" si="1"/>
        <v>Sep</v>
      </c>
      <c r="L1203" s="21">
        <f t="shared" si="2"/>
        <v>2025</v>
      </c>
      <c r="N1203" s="33"/>
      <c r="O1203" s="34"/>
    </row>
    <row r="1204" ht="22.5" customHeight="1">
      <c r="A1204" s="21" t="s">
        <v>3169</v>
      </c>
      <c r="B1204" s="21" t="s">
        <v>422</v>
      </c>
      <c r="C1204" s="21" t="str">
        <f t="array" ref="C1204">XLOOKUP(B1204,Customer[Customer_ID],Customer[Name(Cleaned)])</f>
        <v>Michael Jones</v>
      </c>
      <c r="D1204" s="22" t="str">
        <f>VLOOKUP(B1204,Customer[#ALL],6)</f>
        <v>Female</v>
      </c>
      <c r="E1204" s="23">
        <f>Sales[Order_Date]</f>
        <v>45757</v>
      </c>
      <c r="F1204" s="21" t="str">
        <f>Sales[Store_ID]</f>
        <v>STORE8</v>
      </c>
      <c r="G1204" s="21" t="str">
        <f t="array" ref="G1204">INDEX(Store[Store_Name],MATCH(F1204,Store[Store_ID],0))</f>
        <v>Bean, Jones and Park</v>
      </c>
      <c r="H1204" s="21" t="str">
        <f>Sales[Product_ID]</f>
        <v>PROD62</v>
      </c>
      <c r="I1204" s="21" t="str">
        <f>VLOOKUP(H1204,Products[],2)</f>
        <v>Laptop Cooling Pad</v>
      </c>
      <c r="J1204" s="24">
        <f>Sales[Total_Amount]</f>
        <v>299.6721</v>
      </c>
      <c r="K1204" s="21" t="str">
        <f t="shared" si="1"/>
        <v>Apr</v>
      </c>
      <c r="L1204" s="21">
        <f t="shared" si="2"/>
        <v>2025</v>
      </c>
      <c r="N1204" s="33"/>
      <c r="O1204" s="34"/>
    </row>
    <row r="1205" ht="22.5" customHeight="1">
      <c r="A1205" s="21" t="s">
        <v>3170</v>
      </c>
      <c r="B1205" s="21" t="s">
        <v>1523</v>
      </c>
      <c r="C1205" s="21" t="str">
        <f t="array" ref="C1205">XLOOKUP(B1205,Customer[Customer_ID],Customer[Name(Cleaned)])</f>
        <v>Scott Harris</v>
      </c>
      <c r="D1205" s="22" t="str">
        <f>VLOOKUP(B1205,Customer[#ALL],6)</f>
        <v>Female</v>
      </c>
      <c r="E1205" s="23">
        <f>Sales[Order_Date]</f>
        <v>45475</v>
      </c>
      <c r="F1205" s="21" t="str">
        <f>Sales[Store_ID]</f>
        <v>STORE16</v>
      </c>
      <c r="G1205" s="21" t="str">
        <f t="array" ref="G1205">INDEX(Store[Store_Name],MATCH(F1205,Store[Store_ID],0))</f>
        <v>Frederick-Wright</v>
      </c>
      <c r="H1205" s="21" t="str">
        <f>Sales[Product_ID]</f>
        <v>PROD47</v>
      </c>
      <c r="I1205" s="21" t="str">
        <f>VLOOKUP(H1205,Products[],2)</f>
        <v>Makeup Brush Set</v>
      </c>
      <c r="J1205" s="24">
        <f>Sales[Total_Amount]</f>
        <v>177.192</v>
      </c>
      <c r="K1205" s="21" t="str">
        <f t="shared" si="1"/>
        <v>Jul</v>
      </c>
      <c r="L1205" s="21">
        <f t="shared" si="2"/>
        <v>2024</v>
      </c>
      <c r="N1205" s="33"/>
      <c r="O1205" s="34"/>
    </row>
    <row r="1206" ht="22.5" customHeight="1">
      <c r="A1206" s="21" t="s">
        <v>3171</v>
      </c>
      <c r="B1206" s="21" t="s">
        <v>851</v>
      </c>
      <c r="C1206" s="21" t="str">
        <f t="array" ref="C1206">XLOOKUP(B1206,Customer[Customer_ID],Customer[Name(Cleaned)])</f>
        <v>Katherine Cowan</v>
      </c>
      <c r="D1206" s="22" t="str">
        <f>VLOOKUP(B1206,Customer[#ALL],6)</f>
        <v>Male</v>
      </c>
      <c r="E1206" s="23">
        <f>Sales[Order_Date]</f>
        <v>45829</v>
      </c>
      <c r="F1206" s="21" t="str">
        <f>Sales[Store_ID]</f>
        <v>STORE13</v>
      </c>
      <c r="G1206" s="21" t="str">
        <f t="array" ref="G1206">INDEX(Store[Store_Name],MATCH(F1206,Store[Store_ID],0))</f>
        <v>Gardner, Humphrey and Contreras</v>
      </c>
      <c r="H1206" s="21" t="str">
        <f>Sales[Product_ID]</f>
        <v>PROD11</v>
      </c>
      <c r="I1206" s="21" t="str">
        <f>VLOOKUP(H1206,Products[],2)</f>
        <v>Men's Graphic T-Shirt</v>
      </c>
      <c r="J1206" s="24">
        <f>Sales[Total_Amount]</f>
        <v>1568.5425</v>
      </c>
      <c r="K1206" s="21" t="str">
        <f t="shared" si="1"/>
        <v>Jun</v>
      </c>
      <c r="L1206" s="21">
        <f t="shared" si="2"/>
        <v>2025</v>
      </c>
      <c r="N1206" s="33"/>
      <c r="O1206" s="34"/>
    </row>
    <row r="1207" ht="22.5" customHeight="1">
      <c r="A1207" s="21" t="s">
        <v>3172</v>
      </c>
      <c r="B1207" s="21" t="s">
        <v>104</v>
      </c>
      <c r="C1207" s="21" t="str">
        <f t="array" ref="C1207">XLOOKUP(B1207,Customer[Customer_ID],Customer[Name(Cleaned)])</f>
        <v>Paul Fox</v>
      </c>
      <c r="D1207" s="22" t="str">
        <f>VLOOKUP(B1207,Customer[#ALL],6)</f>
        <v>Male</v>
      </c>
      <c r="E1207" s="23">
        <f>Sales[Order_Date]</f>
        <v>45639</v>
      </c>
      <c r="F1207" s="21" t="str">
        <f>Sales[Store_ID]</f>
        <v>STORE5</v>
      </c>
      <c r="G1207" s="21" t="str">
        <f t="array" ref="G1207">INDEX(Store[Store_Name],MATCH(F1207,Store[Store_ID],0))</f>
        <v>Gray Ltd</v>
      </c>
      <c r="H1207" s="21" t="str">
        <f>Sales[Product_ID]</f>
        <v>PROD9</v>
      </c>
      <c r="I1207" s="21" t="str">
        <f>VLOOKUP(H1207,Products[],2)</f>
        <v>Face Foundation Kit</v>
      </c>
      <c r="J1207" s="24">
        <f>Sales[Total_Amount]</f>
        <v>346.494</v>
      </c>
      <c r="K1207" s="21" t="str">
        <f t="shared" si="1"/>
        <v>Dec</v>
      </c>
      <c r="L1207" s="21">
        <f t="shared" si="2"/>
        <v>2024</v>
      </c>
      <c r="N1207" s="33"/>
      <c r="O1207" s="34"/>
    </row>
    <row r="1208" ht="22.5" customHeight="1">
      <c r="A1208" s="21" t="s">
        <v>3173</v>
      </c>
      <c r="B1208" s="21" t="s">
        <v>845</v>
      </c>
      <c r="C1208" s="21" t="str">
        <f t="array" ref="C1208">XLOOKUP(B1208,Customer[Customer_ID],Customer[Name(Cleaned)])</f>
        <v>Russell Lamb</v>
      </c>
      <c r="D1208" s="22" t="str">
        <f>VLOOKUP(B1208,Customer[#ALL],6)</f>
        <v>Male</v>
      </c>
      <c r="E1208" s="23">
        <f>Sales[Order_Date]</f>
        <v>45518</v>
      </c>
      <c r="F1208" s="21" t="str">
        <f>Sales[Store_ID]</f>
        <v>STORE13</v>
      </c>
      <c r="G1208" s="21" t="str">
        <f t="array" ref="G1208">INDEX(Store[Store_Name],MATCH(F1208,Store[Store_ID],0))</f>
        <v>Gardner, Humphrey and Contreras</v>
      </c>
      <c r="H1208" s="21" t="str">
        <f>Sales[Product_ID]</f>
        <v>PROD84</v>
      </c>
      <c r="I1208" s="21" t="str">
        <f>VLOOKUP(H1208,Products[],2)</f>
        <v>Wooden Bookshelf</v>
      </c>
      <c r="J1208" s="24">
        <f>Sales[Total_Amount]</f>
        <v>442.7905</v>
      </c>
      <c r="K1208" s="21" t="str">
        <f t="shared" si="1"/>
        <v>Aug</v>
      </c>
      <c r="L1208" s="21">
        <f t="shared" si="2"/>
        <v>2024</v>
      </c>
      <c r="N1208" s="33"/>
      <c r="O1208" s="34"/>
    </row>
    <row r="1209" ht="22.5" customHeight="1">
      <c r="A1209" s="21" t="s">
        <v>3174</v>
      </c>
      <c r="B1209" s="21" t="s">
        <v>742</v>
      </c>
      <c r="C1209" s="21" t="str">
        <f t="array" ref="C1209">XLOOKUP(B1209,Customer[Customer_ID],Customer[Name(Cleaned)])</f>
        <v>Elizabeth Stanley</v>
      </c>
      <c r="D1209" s="22" t="str">
        <f>VLOOKUP(B1209,Customer[#ALL],6)</f>
        <v>Male</v>
      </c>
      <c r="E1209" s="23">
        <f>Sales[Order_Date]</f>
        <v>45721</v>
      </c>
      <c r="F1209" s="21" t="str">
        <f>Sales[Store_ID]</f>
        <v>STORE7</v>
      </c>
      <c r="G1209" s="21" t="str">
        <f t="array" ref="G1209">INDEX(Store[Store_Name],MATCH(F1209,Store[Store_ID],0))</f>
        <v>Martinez-Mullins</v>
      </c>
      <c r="H1209" s="21" t="str">
        <f>Sales[Product_ID]</f>
        <v>PROD19</v>
      </c>
      <c r="I1209" s="21" t="str">
        <f>VLOOKUP(H1209,Products[],2)</f>
        <v>Knee Support Brace</v>
      </c>
      <c r="J1209" s="24">
        <f>Sales[Total_Amount]</f>
        <v>553.1896</v>
      </c>
      <c r="K1209" s="21" t="str">
        <f t="shared" si="1"/>
        <v>Mar</v>
      </c>
      <c r="L1209" s="21">
        <f t="shared" si="2"/>
        <v>2025</v>
      </c>
      <c r="N1209" s="33"/>
      <c r="O1209" s="34"/>
    </row>
    <row r="1210" ht="22.5" customHeight="1">
      <c r="A1210" s="21" t="s">
        <v>3175</v>
      </c>
      <c r="B1210" s="21" t="s">
        <v>1453</v>
      </c>
      <c r="C1210" s="21" t="str">
        <f t="array" ref="C1210">XLOOKUP(B1210,Customer[Customer_ID],Customer[Name(Cleaned)])</f>
        <v>Cynthia Parrish</v>
      </c>
      <c r="D1210" s="22" t="str">
        <f>VLOOKUP(B1210,Customer[#ALL],6)</f>
        <v>Female</v>
      </c>
      <c r="E1210" s="23">
        <f>Sales[Order_Date]</f>
        <v>45308</v>
      </c>
      <c r="F1210" s="21" t="str">
        <f>Sales[Store_ID]</f>
        <v>STORE19</v>
      </c>
      <c r="G1210" s="21" t="str">
        <f t="array" ref="G1210">INDEX(Store[Store_Name],MATCH(F1210,Store[Store_ID],0))</f>
        <v>Mann-Austin</v>
      </c>
      <c r="H1210" s="21" t="str">
        <f>Sales[Product_ID]</f>
        <v>PROD48</v>
      </c>
      <c r="I1210" s="21" t="str">
        <f>VLOOKUP(H1210,Products[],2)</f>
        <v>Car Dashboard Phone Holder</v>
      </c>
      <c r="J1210" s="24">
        <f>Sales[Total_Amount]</f>
        <v>2181.465</v>
      </c>
      <c r="K1210" s="21" t="str">
        <f t="shared" si="1"/>
        <v>Jan</v>
      </c>
      <c r="L1210" s="21">
        <f t="shared" si="2"/>
        <v>2024</v>
      </c>
      <c r="N1210" s="33"/>
      <c r="O1210" s="34"/>
    </row>
    <row r="1211" ht="22.5" customHeight="1">
      <c r="A1211" s="21" t="s">
        <v>3176</v>
      </c>
      <c r="B1211" s="21" t="s">
        <v>1068</v>
      </c>
      <c r="C1211" s="21" t="str">
        <f t="array" ref="C1211">XLOOKUP(B1211,Customer[Customer_ID],Customer[Name(Cleaned)])</f>
        <v>Jennifer Woods</v>
      </c>
      <c r="D1211" s="22" t="str">
        <f>VLOOKUP(B1211,Customer[#ALL],6)</f>
        <v>Female</v>
      </c>
      <c r="E1211" s="23">
        <f>Sales[Order_Date]</f>
        <v>45889</v>
      </c>
      <c r="F1211" s="21" t="str">
        <f>Sales[Store_ID]</f>
        <v>STORE6</v>
      </c>
      <c r="G1211" s="21" t="str">
        <f t="array" ref="G1211">INDEX(Store[Store_Name],MATCH(F1211,Store[Store_ID],0))</f>
        <v>Benson-Elliott</v>
      </c>
      <c r="H1211" s="21" t="str">
        <f>Sales[Product_ID]</f>
        <v>PROD38</v>
      </c>
      <c r="I1211" s="21" t="str">
        <f>VLOOKUP(H1211,Products[],2)</f>
        <v>Sports Water Hydration Pack</v>
      </c>
      <c r="J1211" s="24">
        <f>Sales[Total_Amount]</f>
        <v>2175.5252</v>
      </c>
      <c r="K1211" s="21" t="str">
        <f t="shared" si="1"/>
        <v>Aug</v>
      </c>
      <c r="L1211" s="21">
        <f t="shared" si="2"/>
        <v>2025</v>
      </c>
      <c r="N1211" s="33"/>
      <c r="O1211" s="34"/>
    </row>
    <row r="1212" ht="22.5" customHeight="1">
      <c r="A1212" s="21" t="s">
        <v>3177</v>
      </c>
      <c r="B1212" s="21" t="s">
        <v>613</v>
      </c>
      <c r="C1212" s="21" t="str">
        <f t="array" ref="C1212">XLOOKUP(B1212,Customer[Customer_ID],Customer[Name(Cleaned)])</f>
        <v>Melissa Hamilton</v>
      </c>
      <c r="D1212" s="22" t="str">
        <f>VLOOKUP(B1212,Customer[#ALL],6)</f>
        <v>Male</v>
      </c>
      <c r="E1212" s="23">
        <f>Sales[Order_Date]</f>
        <v>45386</v>
      </c>
      <c r="F1212" s="21" t="str">
        <f>Sales[Store_ID]</f>
        <v>STORE8</v>
      </c>
      <c r="G1212" s="21" t="str">
        <f t="array" ref="G1212">INDEX(Store[Store_Name],MATCH(F1212,Store[Store_ID],0))</f>
        <v>Bean, Jones and Park</v>
      </c>
      <c r="H1212" s="21" t="str">
        <f>Sales[Product_ID]</f>
        <v>PROD57</v>
      </c>
      <c r="I1212" s="21" t="str">
        <f>VLOOKUP(H1212,Products[],2)</f>
        <v>Foam Roller</v>
      </c>
      <c r="J1212" s="24">
        <f>Sales[Total_Amount]</f>
        <v>1504.476</v>
      </c>
      <c r="K1212" s="21" t="str">
        <f t="shared" si="1"/>
        <v>Apr</v>
      </c>
      <c r="L1212" s="21">
        <f t="shared" si="2"/>
        <v>2024</v>
      </c>
      <c r="N1212" s="33"/>
      <c r="O1212" s="34"/>
    </row>
    <row r="1213" ht="22.5" customHeight="1">
      <c r="A1213" s="21" t="s">
        <v>3178</v>
      </c>
      <c r="B1213" s="21" t="s">
        <v>854</v>
      </c>
      <c r="C1213" s="21" t="str">
        <f t="array" ref="C1213">XLOOKUP(B1213,Customer[Customer_ID],Customer[Name(Cleaned)])</f>
        <v>Crystal Davis</v>
      </c>
      <c r="D1213" s="22" t="str">
        <f>VLOOKUP(B1213,Customer[#ALL],6)</f>
        <v>Female</v>
      </c>
      <c r="E1213" s="23">
        <f>Sales[Order_Date]</f>
        <v>45438</v>
      </c>
      <c r="F1213" s="21" t="str">
        <f>Sales[Store_ID]</f>
        <v>STORE7</v>
      </c>
      <c r="G1213" s="21" t="str">
        <f t="array" ref="G1213">INDEX(Store[Store_Name],MATCH(F1213,Store[Store_ID],0))</f>
        <v>Martinez-Mullins</v>
      </c>
      <c r="H1213" s="21" t="str">
        <f>Sales[Product_ID]</f>
        <v>PROD65</v>
      </c>
      <c r="I1213" s="21" t="str">
        <f>VLOOKUP(H1213,Products[],2)</f>
        <v>Adjustable Dumbbells 20kg</v>
      </c>
      <c r="J1213" s="24">
        <f>Sales[Total_Amount]</f>
        <v>154.7436</v>
      </c>
      <c r="K1213" s="21" t="str">
        <f t="shared" si="1"/>
        <v>May</v>
      </c>
      <c r="L1213" s="21">
        <f t="shared" si="2"/>
        <v>2024</v>
      </c>
      <c r="N1213" s="33"/>
      <c r="O1213" s="34"/>
    </row>
    <row r="1214" ht="22.5" customHeight="1">
      <c r="A1214" s="21" t="s">
        <v>3179</v>
      </c>
      <c r="B1214" s="21" t="s">
        <v>1107</v>
      </c>
      <c r="C1214" s="21" t="str">
        <f t="array" ref="C1214">XLOOKUP(B1214,Customer[Customer_ID],Customer[Name(Cleaned)])</f>
        <v>Sherry Cabrera</v>
      </c>
      <c r="D1214" s="22" t="str">
        <f>VLOOKUP(B1214,Customer[#ALL],6)</f>
        <v>Female</v>
      </c>
      <c r="E1214" s="23">
        <f>Sales[Order_Date]</f>
        <v>45302</v>
      </c>
      <c r="F1214" s="21" t="str">
        <f>Sales[Store_ID]</f>
        <v>STORE3</v>
      </c>
      <c r="G1214" s="21" t="str">
        <f t="array" ref="G1214">INDEX(Store[Store_Name],MATCH(F1214,Store[Store_ID],0))</f>
        <v>Johnson-Wright</v>
      </c>
      <c r="H1214" s="21" t="str">
        <f>Sales[Product_ID]</f>
        <v>PROD99</v>
      </c>
      <c r="I1214" s="21" t="str">
        <f>VLOOKUP(H1214,Products[],2)</f>
        <v>Stainless Steel Cookware Set</v>
      </c>
      <c r="J1214" s="24">
        <f>Sales[Total_Amount]</f>
        <v>1535.678</v>
      </c>
      <c r="K1214" s="21" t="str">
        <f t="shared" si="1"/>
        <v>Jan</v>
      </c>
      <c r="L1214" s="21">
        <f t="shared" si="2"/>
        <v>2024</v>
      </c>
      <c r="N1214" s="33"/>
      <c r="O1214" s="34"/>
    </row>
    <row r="1215" ht="22.5" customHeight="1">
      <c r="A1215" s="21" t="s">
        <v>3180</v>
      </c>
      <c r="B1215" s="21" t="s">
        <v>1311</v>
      </c>
      <c r="C1215" s="21" t="str">
        <f t="array" ref="C1215">XLOOKUP(B1215,Customer[Customer_ID],Customer[Name(Cleaned)])</f>
        <v>Karen King</v>
      </c>
      <c r="D1215" s="22" t="str">
        <f>VLOOKUP(B1215,Customer[#ALL],6)</f>
        <v>Male</v>
      </c>
      <c r="E1215" s="23">
        <f>Sales[Order_Date]</f>
        <v>45856</v>
      </c>
      <c r="F1215" s="21" t="str">
        <f>Sales[Store_ID]</f>
        <v>STORE15</v>
      </c>
      <c r="G1215" s="21" t="str">
        <f t="array" ref="G1215">INDEX(Store[Store_Name],MATCH(F1215,Store[Store_ID],0))</f>
        <v>Shelton PLC</v>
      </c>
      <c r="H1215" s="21" t="str">
        <f>Sales[Product_ID]</f>
        <v>PROD97</v>
      </c>
      <c r="I1215" s="21" t="str">
        <f>VLOOKUP(H1215,Products[],2)</f>
        <v>Cricket Bat</v>
      </c>
      <c r="J1215" s="24">
        <f>Sales[Total_Amount]</f>
        <v>1501.152</v>
      </c>
      <c r="K1215" s="21" t="str">
        <f t="shared" si="1"/>
        <v>Jul</v>
      </c>
      <c r="L1215" s="21">
        <f t="shared" si="2"/>
        <v>2025</v>
      </c>
      <c r="N1215" s="33"/>
      <c r="O1215" s="34"/>
    </row>
    <row r="1216" ht="22.5" customHeight="1">
      <c r="A1216" s="21" t="s">
        <v>3181</v>
      </c>
      <c r="B1216" s="21" t="s">
        <v>85</v>
      </c>
      <c r="C1216" s="21" t="str">
        <f t="array" ref="C1216">XLOOKUP(B1216,Customer[Customer_ID],Customer[Name(Cleaned)])</f>
        <v>Adam Cruz</v>
      </c>
      <c r="D1216" s="22" t="str">
        <f>VLOOKUP(B1216,Customer[#ALL],6)</f>
        <v>Male</v>
      </c>
      <c r="E1216" s="23">
        <f>Sales[Order_Date]</f>
        <v>45485</v>
      </c>
      <c r="F1216" s="21" t="str">
        <f>Sales[Store_ID]</f>
        <v>STORE17</v>
      </c>
      <c r="G1216" s="21" t="str">
        <f t="array" ref="G1216">INDEX(Store[Store_Name],MATCH(F1216,Store[Store_ID],0))</f>
        <v>Holloway Ltd</v>
      </c>
      <c r="H1216" s="21" t="str">
        <f>Sales[Product_ID]</f>
        <v>PROD41</v>
      </c>
      <c r="I1216" s="21" t="str">
        <f>VLOOKUP(H1216,Products[],2)</f>
        <v>Yoga Exercise Mat</v>
      </c>
      <c r="J1216" s="24">
        <f>Sales[Total_Amount]</f>
        <v>480.4125</v>
      </c>
      <c r="K1216" s="21" t="str">
        <f t="shared" si="1"/>
        <v>Jul</v>
      </c>
      <c r="L1216" s="21">
        <f t="shared" si="2"/>
        <v>2024</v>
      </c>
      <c r="N1216" s="33"/>
      <c r="O1216" s="34"/>
    </row>
    <row r="1217" ht="22.5" customHeight="1">
      <c r="A1217" s="21" t="s">
        <v>3182</v>
      </c>
      <c r="B1217" s="21" t="s">
        <v>422</v>
      </c>
      <c r="C1217" s="21" t="str">
        <f t="array" ref="C1217">XLOOKUP(B1217,Customer[Customer_ID],Customer[Name(Cleaned)])</f>
        <v>Michael Jones</v>
      </c>
      <c r="D1217" s="22" t="str">
        <f>VLOOKUP(B1217,Customer[#ALL],6)</f>
        <v>Female</v>
      </c>
      <c r="E1217" s="23">
        <f>Sales[Order_Date]</f>
        <v>45545</v>
      </c>
      <c r="F1217" s="21" t="str">
        <f>Sales[Store_ID]</f>
        <v>STORE4</v>
      </c>
      <c r="G1217" s="21" t="str">
        <f t="array" ref="G1217">INDEX(Store[Store_Name],MATCH(F1217,Store[Store_ID],0))</f>
        <v>Alexander Group</v>
      </c>
      <c r="H1217" s="21" t="str">
        <f>Sales[Product_ID]</f>
        <v>PROD74</v>
      </c>
      <c r="I1217" s="21" t="str">
        <f>VLOOKUP(H1217,Products[],2)</f>
        <v>Bluetooth Car Audio System</v>
      </c>
      <c r="J1217" s="24">
        <f>Sales[Total_Amount]</f>
        <v>491.771</v>
      </c>
      <c r="K1217" s="21" t="str">
        <f t="shared" si="1"/>
        <v>Sep</v>
      </c>
      <c r="L1217" s="21">
        <f t="shared" si="2"/>
        <v>2024</v>
      </c>
      <c r="N1217" s="33"/>
      <c r="O1217" s="34"/>
    </row>
    <row r="1218" ht="22.5" customHeight="1">
      <c r="A1218" s="21" t="s">
        <v>3183</v>
      </c>
      <c r="B1218" s="21" t="s">
        <v>739</v>
      </c>
      <c r="C1218" s="21" t="str">
        <f t="array" ref="C1218">XLOOKUP(B1218,Customer[Customer_ID],Customer[Name(Cleaned)])</f>
        <v>Anthony Morgan</v>
      </c>
      <c r="D1218" s="22" t="str">
        <f>VLOOKUP(B1218,Customer[#ALL],6)</f>
        <v>Female</v>
      </c>
      <c r="E1218" s="23">
        <f>Sales[Order_Date]</f>
        <v>45826</v>
      </c>
      <c r="F1218" s="21" t="str">
        <f>Sales[Store_ID]</f>
        <v>STORE8</v>
      </c>
      <c r="G1218" s="21" t="str">
        <f t="array" ref="G1218">INDEX(Store[Store_Name],MATCH(F1218,Store[Store_ID],0))</f>
        <v>Bean, Jones and Park</v>
      </c>
      <c r="H1218" s="21" t="str">
        <f>Sales[Product_ID]</f>
        <v>PROD39</v>
      </c>
      <c r="I1218" s="21" t="str">
        <f>VLOOKUP(H1218,Products[],2)</f>
        <v>Portable Power Bank</v>
      </c>
      <c r="J1218" s="24">
        <f>Sales[Total_Amount]</f>
        <v>425.4176</v>
      </c>
      <c r="K1218" s="21" t="str">
        <f t="shared" si="1"/>
        <v>Jun</v>
      </c>
      <c r="L1218" s="21">
        <f t="shared" si="2"/>
        <v>2025</v>
      </c>
      <c r="N1218" s="33"/>
      <c r="O1218" s="34"/>
    </row>
    <row r="1219" ht="22.5" customHeight="1">
      <c r="A1219" s="21" t="s">
        <v>3184</v>
      </c>
      <c r="B1219" s="21" t="s">
        <v>896</v>
      </c>
      <c r="C1219" s="21" t="str">
        <f t="array" ref="C1219">XLOOKUP(B1219,Customer[Customer_ID],Customer[Name(Cleaned)])</f>
        <v>Jeffrey Gomez</v>
      </c>
      <c r="D1219" s="22" t="str">
        <f>VLOOKUP(B1219,Customer[#ALL],6)</f>
        <v>Male</v>
      </c>
      <c r="E1219" s="23">
        <f>Sales[Order_Date]</f>
        <v>45654</v>
      </c>
      <c r="F1219" s="21" t="str">
        <f>Sales[Store_ID]</f>
        <v>STORE8</v>
      </c>
      <c r="G1219" s="21" t="str">
        <f t="array" ref="G1219">INDEX(Store[Store_Name],MATCH(F1219,Store[Store_ID],0))</f>
        <v>Bean, Jones and Park</v>
      </c>
      <c r="H1219" s="21" t="str">
        <f>Sales[Product_ID]</f>
        <v>PROD19</v>
      </c>
      <c r="I1219" s="21" t="str">
        <f>VLOOKUP(H1219,Products[],2)</f>
        <v>Knee Support Brace</v>
      </c>
      <c r="J1219" s="24">
        <f>Sales[Total_Amount]</f>
        <v>378.594</v>
      </c>
      <c r="K1219" s="21" t="str">
        <f t="shared" si="1"/>
        <v>Dec</v>
      </c>
      <c r="L1219" s="21">
        <f t="shared" si="2"/>
        <v>2024</v>
      </c>
      <c r="N1219" s="33"/>
      <c r="O1219" s="34"/>
    </row>
    <row r="1220" ht="22.5" customHeight="1">
      <c r="A1220" s="21" t="s">
        <v>3185</v>
      </c>
      <c r="B1220" s="21" t="s">
        <v>699</v>
      </c>
      <c r="C1220" s="21" t="str">
        <f t="array" ref="C1220">XLOOKUP(B1220,Customer[Customer_ID],Customer[Name(Cleaned)])</f>
        <v>Rodney Huffman</v>
      </c>
      <c r="D1220" s="22" t="str">
        <f>VLOOKUP(B1220,Customer[#ALL],6)</f>
        <v>Male</v>
      </c>
      <c r="E1220" s="23">
        <f>Sales[Order_Date]</f>
        <v>45556</v>
      </c>
      <c r="F1220" s="21" t="str">
        <f>Sales[Store_ID]</f>
        <v>STORE17</v>
      </c>
      <c r="G1220" s="21" t="str">
        <f t="array" ref="G1220">INDEX(Store[Store_Name],MATCH(F1220,Store[Store_ID],0))</f>
        <v>Holloway Ltd</v>
      </c>
      <c r="H1220" s="21" t="str">
        <f>Sales[Product_ID]</f>
        <v>PROD85</v>
      </c>
      <c r="I1220" s="21" t="str">
        <f>VLOOKUP(H1220,Products[],2)</f>
        <v>Women's Beanie Hat</v>
      </c>
      <c r="J1220" s="24">
        <f>Sales[Total_Amount]</f>
        <v>1879.05</v>
      </c>
      <c r="K1220" s="21" t="str">
        <f t="shared" si="1"/>
        <v>Sep</v>
      </c>
      <c r="L1220" s="21">
        <f t="shared" si="2"/>
        <v>2024</v>
      </c>
      <c r="N1220" s="33"/>
      <c r="O1220" s="34"/>
    </row>
    <row r="1221" ht="22.5" customHeight="1">
      <c r="A1221" s="21" t="s">
        <v>3186</v>
      </c>
      <c r="B1221" s="21" t="s">
        <v>306</v>
      </c>
      <c r="C1221" s="21" t="str">
        <f t="array" ref="C1221">XLOOKUP(B1221,Customer[Customer_ID],Customer[Name(Cleaned)])</f>
        <v>George Rosario</v>
      </c>
      <c r="D1221" s="22" t="str">
        <f>VLOOKUP(B1221,Customer[#ALL],6)</f>
        <v>Female</v>
      </c>
      <c r="E1221" s="23">
        <f>Sales[Order_Date]</f>
        <v>45434</v>
      </c>
      <c r="F1221" s="21" t="str">
        <f>Sales[Store_ID]</f>
        <v>STORE14</v>
      </c>
      <c r="G1221" s="21" t="str">
        <f t="array" ref="G1221">INDEX(Store[Store_Name],MATCH(F1221,Store[Store_ID],0))</f>
        <v>Mcdonald Inc</v>
      </c>
      <c r="H1221" s="21" t="str">
        <f>Sales[Product_ID]</f>
        <v>PROD41</v>
      </c>
      <c r="I1221" s="21" t="str">
        <f>VLOOKUP(H1221,Products[],2)</f>
        <v>Yoga Exercise Mat</v>
      </c>
      <c r="J1221" s="24">
        <f>Sales[Total_Amount]</f>
        <v>356.044</v>
      </c>
      <c r="K1221" s="21" t="str">
        <f t="shared" si="1"/>
        <v>May</v>
      </c>
      <c r="L1221" s="21">
        <f t="shared" si="2"/>
        <v>2024</v>
      </c>
      <c r="N1221" s="33"/>
      <c r="O1221" s="34"/>
    </row>
    <row r="1222" ht="22.5" customHeight="1">
      <c r="A1222" s="21" t="s">
        <v>3187</v>
      </c>
      <c r="B1222" s="21" t="s">
        <v>640</v>
      </c>
      <c r="C1222" s="21" t="str">
        <f t="array" ref="C1222">XLOOKUP(B1222,Customer[Customer_ID],Customer[Name(Cleaned)])</f>
        <v>Todd Poole</v>
      </c>
      <c r="D1222" s="22" t="str">
        <f>VLOOKUP(B1222,Customer[#ALL],6)</f>
        <v>Male</v>
      </c>
      <c r="E1222" s="23">
        <f>Sales[Order_Date]</f>
        <v>45871</v>
      </c>
      <c r="F1222" s="21" t="str">
        <f>Sales[Store_ID]</f>
        <v>STORE1</v>
      </c>
      <c r="G1222" s="21" t="str">
        <f t="array" ref="G1222">INDEX(Store[Store_Name],MATCH(F1222,Store[Store_ID],0))</f>
        <v>Martinez, Adkins and Johnson</v>
      </c>
      <c r="H1222" s="21" t="str">
        <f>Sales[Product_ID]</f>
        <v>PROD17</v>
      </c>
      <c r="I1222" s="21" t="str">
        <f>VLOOKUP(H1222,Products[],2)</f>
        <v>Soccer Training Cone Set</v>
      </c>
      <c r="J1222" s="24">
        <f>Sales[Total_Amount]</f>
        <v>1372.2396</v>
      </c>
      <c r="K1222" s="21" t="str">
        <f t="shared" si="1"/>
        <v>Aug</v>
      </c>
      <c r="L1222" s="21">
        <f t="shared" si="2"/>
        <v>2025</v>
      </c>
      <c r="N1222" s="33"/>
      <c r="O1222" s="34"/>
    </row>
    <row r="1223" ht="22.5" customHeight="1">
      <c r="A1223" s="21" t="s">
        <v>3188</v>
      </c>
      <c r="B1223" s="21" t="s">
        <v>249</v>
      </c>
      <c r="C1223" s="21" t="str">
        <f t="array" ref="C1223">XLOOKUP(B1223,Customer[Customer_ID],Customer[Name(Cleaned)])</f>
        <v>Michael Thomas</v>
      </c>
      <c r="D1223" s="22" t="str">
        <f>VLOOKUP(B1223,Customer[#ALL],6)</f>
        <v>Male</v>
      </c>
      <c r="E1223" s="23">
        <f>Sales[Order_Date]</f>
        <v>45583</v>
      </c>
      <c r="F1223" s="21" t="str">
        <f>Sales[Store_ID]</f>
        <v>STORE1</v>
      </c>
      <c r="G1223" s="21" t="str">
        <f t="array" ref="G1223">INDEX(Store[Store_Name],MATCH(F1223,Store[Store_ID],0))</f>
        <v>Martinez, Adkins and Johnson</v>
      </c>
      <c r="H1223" s="21" t="str">
        <f>Sales[Product_ID]</f>
        <v>PROD90</v>
      </c>
      <c r="I1223" s="21" t="str">
        <f>VLOOKUP(H1223,Products[],2)</f>
        <v>Gaming Mouse Pad XL</v>
      </c>
      <c r="J1223" s="24">
        <f>Sales[Total_Amount]</f>
        <v>208.2528</v>
      </c>
      <c r="K1223" s="21" t="str">
        <f t="shared" si="1"/>
        <v>Oct</v>
      </c>
      <c r="L1223" s="21">
        <f t="shared" si="2"/>
        <v>2024</v>
      </c>
      <c r="N1223" s="33"/>
      <c r="O1223" s="34"/>
    </row>
    <row r="1224" ht="22.5" customHeight="1">
      <c r="A1224" s="21" t="s">
        <v>3189</v>
      </c>
      <c r="B1224" s="21" t="s">
        <v>714</v>
      </c>
      <c r="C1224" s="21" t="str">
        <f t="array" ref="C1224">XLOOKUP(B1224,Customer[Customer_ID],Customer[Name(Cleaned)])</f>
        <v>Kathryn Garcia</v>
      </c>
      <c r="D1224" s="22" t="str">
        <f>VLOOKUP(B1224,Customer[#ALL],6)</f>
        <v>Female</v>
      </c>
      <c r="E1224" s="23">
        <f>Sales[Order_Date]</f>
        <v>45348</v>
      </c>
      <c r="F1224" s="21" t="str">
        <f>Sales[Store_ID]</f>
        <v>STORE19</v>
      </c>
      <c r="G1224" s="21" t="str">
        <f t="array" ref="G1224">INDEX(Store[Store_Name],MATCH(F1224,Store[Store_ID],0))</f>
        <v>Mann-Austin</v>
      </c>
      <c r="H1224" s="21" t="str">
        <f>Sales[Product_ID]</f>
        <v>PROD22</v>
      </c>
      <c r="I1224" s="21" t="str">
        <f>VLOOKUP(H1224,Products[],2)</f>
        <v>Carbon Fiber Tennis Racket</v>
      </c>
      <c r="J1224" s="24">
        <f>Sales[Total_Amount]</f>
        <v>1536.656</v>
      </c>
      <c r="K1224" s="21" t="str">
        <f t="shared" si="1"/>
        <v>Feb</v>
      </c>
      <c r="L1224" s="21">
        <f t="shared" si="2"/>
        <v>2024</v>
      </c>
      <c r="N1224" s="33"/>
      <c r="O1224" s="34"/>
    </row>
    <row r="1225" ht="22.5" customHeight="1">
      <c r="A1225" s="21" t="s">
        <v>3190</v>
      </c>
      <c r="B1225" s="21" t="s">
        <v>1101</v>
      </c>
      <c r="C1225" s="21" t="str">
        <f t="array" ref="C1225">XLOOKUP(B1225,Customer[Customer_ID],Customer[Name(Cleaned)])</f>
        <v>John Jordan</v>
      </c>
      <c r="D1225" s="22" t="str">
        <f>VLOOKUP(B1225,Customer[#ALL],6)</f>
        <v>Male</v>
      </c>
      <c r="E1225" s="23">
        <f>Sales[Order_Date]</f>
        <v>45259</v>
      </c>
      <c r="F1225" s="21" t="str">
        <f>Sales[Store_ID]</f>
        <v>STORE8</v>
      </c>
      <c r="G1225" s="21" t="str">
        <f t="array" ref="G1225">INDEX(Store[Store_Name],MATCH(F1225,Store[Store_ID],0))</f>
        <v>Bean, Jones and Park</v>
      </c>
      <c r="H1225" s="21" t="str">
        <f>Sales[Product_ID]</f>
        <v>PROD76</v>
      </c>
      <c r="I1225" s="21" t="str">
        <f>VLOOKUP(H1225,Products[],2)</f>
        <v>Wireless Mouse</v>
      </c>
      <c r="J1225" s="24">
        <f>Sales[Total_Amount]</f>
        <v>774.0684</v>
      </c>
      <c r="K1225" s="21" t="str">
        <f t="shared" si="1"/>
        <v>Nov</v>
      </c>
      <c r="L1225" s="21">
        <f t="shared" si="2"/>
        <v>2023</v>
      </c>
      <c r="N1225" s="33"/>
      <c r="O1225" s="34"/>
    </row>
    <row r="1226" ht="22.5" customHeight="1">
      <c r="A1226" s="21" t="s">
        <v>3191</v>
      </c>
      <c r="B1226" s="21" t="s">
        <v>126</v>
      </c>
      <c r="C1226" s="21" t="str">
        <f t="array" ref="C1226">XLOOKUP(B1226,Customer[Customer_ID],Customer[Name(Cleaned)])</f>
        <v>Joshua Ryan</v>
      </c>
      <c r="D1226" s="22" t="str">
        <f>VLOOKUP(B1226,Customer[#ALL],6)</f>
        <v>Male</v>
      </c>
      <c r="E1226" s="23">
        <f>Sales[Order_Date]</f>
        <v>45217</v>
      </c>
      <c r="F1226" s="21" t="str">
        <f>Sales[Store_ID]</f>
        <v>STORE19</v>
      </c>
      <c r="G1226" s="21" t="str">
        <f t="array" ref="G1226">INDEX(Store[Store_Name],MATCH(F1226,Store[Store_ID],0))</f>
        <v>Mann-Austin</v>
      </c>
      <c r="H1226" s="21" t="str">
        <f>Sales[Product_ID]</f>
        <v>PROD5</v>
      </c>
      <c r="I1226" s="21" t="str">
        <f>VLOOKUP(H1226,Products[],2)</f>
        <v>Men's Roll-On Perfume</v>
      </c>
      <c r="J1226" s="24">
        <f>Sales[Total_Amount]</f>
        <v>373.5606</v>
      </c>
      <c r="K1226" s="21" t="str">
        <f t="shared" si="1"/>
        <v>Oct</v>
      </c>
      <c r="L1226" s="21">
        <f t="shared" si="2"/>
        <v>2023</v>
      </c>
      <c r="N1226" s="33"/>
      <c r="O1226" s="34"/>
    </row>
    <row r="1227" ht="22.5" customHeight="1">
      <c r="A1227" s="21" t="s">
        <v>3192</v>
      </c>
      <c r="B1227" s="21" t="s">
        <v>660</v>
      </c>
      <c r="C1227" s="21" t="str">
        <f t="array" ref="C1227">XLOOKUP(B1227,Customer[Customer_ID],Customer[Name(Cleaned)])</f>
        <v>Wanda Snyder</v>
      </c>
      <c r="D1227" s="22" t="str">
        <f>VLOOKUP(B1227,Customer[#ALL],6)</f>
        <v>Female</v>
      </c>
      <c r="E1227" s="23">
        <f>Sales[Order_Date]</f>
        <v>45268</v>
      </c>
      <c r="F1227" s="21" t="str">
        <f>Sales[Store_ID]</f>
        <v>STORE15</v>
      </c>
      <c r="G1227" s="21" t="str">
        <f t="array" ref="G1227">INDEX(Store[Store_Name],MATCH(F1227,Store[Store_ID],0))</f>
        <v>Shelton PLC</v>
      </c>
      <c r="H1227" s="21" t="str">
        <f>Sales[Product_ID]</f>
        <v>PROD12</v>
      </c>
      <c r="I1227" s="21" t="str">
        <f>VLOOKUP(H1227,Products[],2)</f>
        <v>Hair Strengthening Shampoo</v>
      </c>
      <c r="J1227" s="24">
        <f>Sales[Total_Amount]</f>
        <v>2703.9888</v>
      </c>
      <c r="K1227" s="21" t="str">
        <f t="shared" si="1"/>
        <v>Dec</v>
      </c>
      <c r="L1227" s="21">
        <f t="shared" si="2"/>
        <v>2023</v>
      </c>
      <c r="N1227" s="33"/>
      <c r="O1227" s="34"/>
    </row>
    <row r="1228" ht="22.5" customHeight="1">
      <c r="A1228" s="21" t="s">
        <v>3193</v>
      </c>
      <c r="B1228" s="21" t="s">
        <v>126</v>
      </c>
      <c r="C1228" s="21" t="str">
        <f t="array" ref="C1228">XLOOKUP(B1228,Customer[Customer_ID],Customer[Name(Cleaned)])</f>
        <v>Joshua Ryan</v>
      </c>
      <c r="D1228" s="22" t="str">
        <f>VLOOKUP(B1228,Customer[#ALL],6)</f>
        <v>Male</v>
      </c>
      <c r="E1228" s="23">
        <f>Sales[Order_Date]</f>
        <v>45596</v>
      </c>
      <c r="F1228" s="21" t="str">
        <f>Sales[Store_ID]</f>
        <v>STORE11</v>
      </c>
      <c r="G1228" s="21" t="str">
        <f t="array" ref="G1228">INDEX(Store[Store_Name],MATCH(F1228,Store[Store_ID],0))</f>
        <v>Aguirre-Keller</v>
      </c>
      <c r="H1228" s="21" t="str">
        <f>Sales[Product_ID]</f>
        <v>PROD74</v>
      </c>
      <c r="I1228" s="21" t="str">
        <f>VLOOKUP(H1228,Products[],2)</f>
        <v>Bluetooth Car Audio System</v>
      </c>
      <c r="J1228" s="24">
        <f>Sales[Total_Amount]</f>
        <v>1953.1368</v>
      </c>
      <c r="K1228" s="21" t="str">
        <f t="shared" si="1"/>
        <v>Oct</v>
      </c>
      <c r="L1228" s="21">
        <f t="shared" si="2"/>
        <v>2024</v>
      </c>
      <c r="N1228" s="33"/>
      <c r="O1228" s="34"/>
    </row>
    <row r="1229" ht="22.5" customHeight="1">
      <c r="A1229" s="21" t="s">
        <v>3194</v>
      </c>
      <c r="B1229" s="21" t="s">
        <v>1459</v>
      </c>
      <c r="C1229" s="21" t="str">
        <f t="array" ref="C1229">XLOOKUP(B1229,Customer[Customer_ID],Customer[Name(Cleaned)])</f>
        <v>Gregory Curtis</v>
      </c>
      <c r="D1229" s="22" t="str">
        <f>VLOOKUP(B1229,Customer[#ALL],6)</f>
        <v>Female</v>
      </c>
      <c r="E1229" s="23">
        <f>Sales[Order_Date]</f>
        <v>45624</v>
      </c>
      <c r="F1229" s="21" t="str">
        <f>Sales[Store_ID]</f>
        <v>STORE5</v>
      </c>
      <c r="G1229" s="21" t="str">
        <f t="array" ref="G1229">INDEX(Store[Store_Name],MATCH(F1229,Store[Store_ID],0))</f>
        <v>Gray Ltd</v>
      </c>
      <c r="H1229" s="21" t="str">
        <f>Sales[Product_ID]</f>
        <v>PROD75</v>
      </c>
      <c r="I1229" s="21" t="str">
        <f>VLOOKUP(H1229,Products[],2)</f>
        <v>Women's Ankle Boots</v>
      </c>
      <c r="J1229" s="24">
        <f>Sales[Total_Amount]</f>
        <v>1384.224</v>
      </c>
      <c r="K1229" s="21" t="str">
        <f t="shared" si="1"/>
        <v>Nov</v>
      </c>
      <c r="L1229" s="21">
        <f t="shared" si="2"/>
        <v>2024</v>
      </c>
      <c r="N1229" s="33"/>
      <c r="O1229" s="34"/>
    </row>
    <row r="1230" ht="22.5" customHeight="1">
      <c r="A1230" s="21" t="s">
        <v>3195</v>
      </c>
      <c r="B1230" s="21" t="s">
        <v>355</v>
      </c>
      <c r="C1230" s="21" t="str">
        <f t="array" ref="C1230">XLOOKUP(B1230,Customer[Customer_ID],Customer[Name(Cleaned)])</f>
        <v>David Cobb</v>
      </c>
      <c r="D1230" s="22" t="str">
        <f>VLOOKUP(B1230,Customer[#ALL],6)</f>
        <v>Female</v>
      </c>
      <c r="E1230" s="23">
        <f>Sales[Order_Date]</f>
        <v>45813</v>
      </c>
      <c r="F1230" s="21" t="str">
        <f>Sales[Store_ID]</f>
        <v>STORE9</v>
      </c>
      <c r="G1230" s="21" t="str">
        <f t="array" ref="G1230">INDEX(Store[Store_Name],MATCH(F1230,Store[Store_ID],0))</f>
        <v>Moore, Padilla and Butler</v>
      </c>
      <c r="H1230" s="21" t="str">
        <f>Sales[Product_ID]</f>
        <v>PROD31</v>
      </c>
      <c r="I1230" s="21" t="str">
        <f>VLOOKUP(H1230,Products[],2)</f>
        <v>Basketball</v>
      </c>
      <c r="J1230" s="24">
        <f>Sales[Total_Amount]</f>
        <v>1283.086</v>
      </c>
      <c r="K1230" s="21" t="str">
        <f t="shared" si="1"/>
        <v>Jun</v>
      </c>
      <c r="L1230" s="21">
        <f t="shared" si="2"/>
        <v>2025</v>
      </c>
      <c r="N1230" s="33"/>
      <c r="O1230" s="34"/>
    </row>
    <row r="1231" ht="22.5" customHeight="1">
      <c r="A1231" s="21" t="s">
        <v>3196</v>
      </c>
      <c r="B1231" s="21" t="s">
        <v>172</v>
      </c>
      <c r="C1231" s="21" t="str">
        <f t="array" ref="C1231">XLOOKUP(B1231,Customer[Customer_ID],Customer[Name(Cleaned)])</f>
        <v>William Martin</v>
      </c>
      <c r="D1231" s="22" t="str">
        <f>VLOOKUP(B1231,Customer[#ALL],6)</f>
        <v>Female</v>
      </c>
      <c r="E1231" s="23">
        <f>Sales[Order_Date]</f>
        <v>45615</v>
      </c>
      <c r="F1231" s="21" t="str">
        <f>Sales[Store_ID]</f>
        <v>STORE12</v>
      </c>
      <c r="G1231" s="21" t="str">
        <f t="array" ref="G1231">INDEX(Store[Store_Name],MATCH(F1231,Store[Store_ID],0))</f>
        <v>Thomas, Bridges and Harris</v>
      </c>
      <c r="H1231" s="21" t="str">
        <f>Sales[Product_ID]</f>
        <v>PROD51</v>
      </c>
      <c r="I1231" s="21" t="str">
        <f>VLOOKUP(H1231,Products[],2)</f>
        <v>HDMI Cable – 2m</v>
      </c>
      <c r="J1231" s="24">
        <f>Sales[Total_Amount]</f>
        <v>2062.8696</v>
      </c>
      <c r="K1231" s="21" t="str">
        <f t="shared" si="1"/>
        <v>Nov</v>
      </c>
      <c r="L1231" s="21">
        <f t="shared" si="2"/>
        <v>2024</v>
      </c>
      <c r="N1231" s="33"/>
      <c r="O1231" s="34"/>
    </row>
    <row r="1232" ht="22.5" customHeight="1">
      <c r="A1232" s="21" t="s">
        <v>3197</v>
      </c>
      <c r="B1232" s="21" t="s">
        <v>699</v>
      </c>
      <c r="C1232" s="21" t="str">
        <f t="array" ref="C1232">XLOOKUP(B1232,Customer[Customer_ID],Customer[Name(Cleaned)])</f>
        <v>Rodney Huffman</v>
      </c>
      <c r="D1232" s="22" t="str">
        <f>VLOOKUP(B1232,Customer[#ALL],6)</f>
        <v>Male</v>
      </c>
      <c r="E1232" s="23">
        <f>Sales[Order_Date]</f>
        <v>45431</v>
      </c>
      <c r="F1232" s="21" t="str">
        <f>Sales[Store_ID]</f>
        <v>STORE12</v>
      </c>
      <c r="G1232" s="21" t="str">
        <f t="array" ref="G1232">INDEX(Store[Store_Name],MATCH(F1232,Store[Store_ID],0))</f>
        <v>Thomas, Bridges and Harris</v>
      </c>
      <c r="H1232" s="21" t="str">
        <f>Sales[Product_ID]</f>
        <v>PROD38</v>
      </c>
      <c r="I1232" s="21" t="str">
        <f>VLOOKUP(H1232,Products[],2)</f>
        <v>Sports Water Hydration Pack</v>
      </c>
      <c r="J1232" s="24">
        <f>Sales[Total_Amount]</f>
        <v>2156.6952</v>
      </c>
      <c r="K1232" s="21" t="str">
        <f t="shared" si="1"/>
        <v>May</v>
      </c>
      <c r="L1232" s="21">
        <f t="shared" si="2"/>
        <v>2024</v>
      </c>
      <c r="N1232" s="33"/>
      <c r="O1232" s="34"/>
    </row>
    <row r="1233" ht="22.5" customHeight="1">
      <c r="A1233" s="21" t="s">
        <v>3198</v>
      </c>
      <c r="B1233" s="21" t="s">
        <v>1497</v>
      </c>
      <c r="C1233" s="21" t="str">
        <f t="array" ref="C1233">XLOOKUP(B1233,Customer[Customer_ID],Customer[Name(Cleaned)])</f>
        <v>Bryan Tran</v>
      </c>
      <c r="D1233" s="22" t="str">
        <f>VLOOKUP(B1233,Customer[#ALL],6)</f>
        <v>Female</v>
      </c>
      <c r="E1233" s="23">
        <f>Sales[Order_Date]</f>
        <v>45679</v>
      </c>
      <c r="F1233" s="21" t="str">
        <f>Sales[Store_ID]</f>
        <v>STORE14</v>
      </c>
      <c r="G1233" s="21" t="str">
        <f t="array" ref="G1233">INDEX(Store[Store_Name],MATCH(F1233,Store[Store_ID],0))</f>
        <v>Mcdonald Inc</v>
      </c>
      <c r="H1233" s="21" t="str">
        <f>Sales[Product_ID]</f>
        <v>PROD62</v>
      </c>
      <c r="I1233" s="21" t="str">
        <f>VLOOKUP(H1233,Products[],2)</f>
        <v>Laptop Cooling Pad</v>
      </c>
      <c r="J1233" s="24">
        <f>Sales[Total_Amount]</f>
        <v>1625.2544</v>
      </c>
      <c r="K1233" s="21" t="str">
        <f t="shared" si="1"/>
        <v>Jan</v>
      </c>
      <c r="L1233" s="21">
        <f t="shared" si="2"/>
        <v>2025</v>
      </c>
      <c r="N1233" s="33"/>
      <c r="O1233" s="34"/>
    </row>
    <row r="1234" ht="22.5" customHeight="1">
      <c r="A1234" s="21" t="s">
        <v>3199</v>
      </c>
      <c r="B1234" s="21" t="s">
        <v>1411</v>
      </c>
      <c r="C1234" s="21" t="str">
        <f t="array" ref="C1234">XLOOKUP(B1234,Customer[Customer_ID],Customer[Name(Cleaned)])</f>
        <v>Ashley Roberts</v>
      </c>
      <c r="D1234" s="22" t="str">
        <f>VLOOKUP(B1234,Customer[#ALL],6)</f>
        <v>Female</v>
      </c>
      <c r="E1234" s="23">
        <f>Sales[Order_Date]</f>
        <v>45842</v>
      </c>
      <c r="F1234" s="21" t="str">
        <f>Sales[Store_ID]</f>
        <v>STORE1</v>
      </c>
      <c r="G1234" s="21" t="str">
        <f t="array" ref="G1234">INDEX(Store[Store_Name],MATCH(F1234,Store[Store_ID],0))</f>
        <v>Martinez, Adkins and Johnson</v>
      </c>
      <c r="H1234" s="21" t="str">
        <f>Sales[Product_ID]</f>
        <v>PROD90</v>
      </c>
      <c r="I1234" s="21" t="str">
        <f>VLOOKUP(H1234,Products[],2)</f>
        <v>Gaming Mouse Pad XL</v>
      </c>
      <c r="J1234" s="24">
        <f>Sales[Total_Amount]</f>
        <v>326.256</v>
      </c>
      <c r="K1234" s="21" t="str">
        <f t="shared" si="1"/>
        <v>Jul</v>
      </c>
      <c r="L1234" s="21">
        <f t="shared" si="2"/>
        <v>2025</v>
      </c>
      <c r="N1234" s="33"/>
      <c r="O1234" s="34"/>
    </row>
    <row r="1235" ht="22.5" customHeight="1">
      <c r="A1235" s="21" t="s">
        <v>3200</v>
      </c>
      <c r="B1235" s="21" t="s">
        <v>1491</v>
      </c>
      <c r="C1235" s="21" t="str">
        <f t="array" ref="C1235">XLOOKUP(B1235,Customer[Customer_ID],Customer[Name(Cleaned)])</f>
        <v>Dylan Gutierrez</v>
      </c>
      <c r="D1235" s="22" t="str">
        <f>VLOOKUP(B1235,Customer[#ALL],6)</f>
        <v>Female</v>
      </c>
      <c r="E1235" s="23">
        <f>Sales[Order_Date]</f>
        <v>45796</v>
      </c>
      <c r="F1235" s="21" t="str">
        <f>Sales[Store_ID]</f>
        <v>STORE1</v>
      </c>
      <c r="G1235" s="21" t="str">
        <f t="array" ref="G1235">INDEX(Store[Store_Name],MATCH(F1235,Store[Store_ID],0))</f>
        <v>Martinez, Adkins and Johnson</v>
      </c>
      <c r="H1235" s="21" t="str">
        <f>Sales[Product_ID]</f>
        <v>PROD74</v>
      </c>
      <c r="I1235" s="21" t="str">
        <f>VLOOKUP(H1235,Products[],2)</f>
        <v>Bluetooth Car Audio System</v>
      </c>
      <c r="J1235" s="24">
        <f>Sales[Total_Amount]</f>
        <v>1475.0916</v>
      </c>
      <c r="K1235" s="21" t="str">
        <f t="shared" si="1"/>
        <v>May</v>
      </c>
      <c r="L1235" s="21">
        <f t="shared" si="2"/>
        <v>2025</v>
      </c>
      <c r="N1235" s="33"/>
      <c r="O1235" s="34"/>
    </row>
    <row r="1236" ht="22.5" customHeight="1">
      <c r="A1236" s="21" t="s">
        <v>3201</v>
      </c>
      <c r="B1236" s="21" t="s">
        <v>726</v>
      </c>
      <c r="C1236" s="21" t="str">
        <f t="array" ref="C1236">XLOOKUP(B1236,Customer[Customer_ID],Customer[Name(Cleaned)])</f>
        <v>George Davis</v>
      </c>
      <c r="D1236" s="22" t="str">
        <f>VLOOKUP(B1236,Customer[#ALL],6)</f>
        <v>Male</v>
      </c>
      <c r="E1236" s="23">
        <f>Sales[Order_Date]</f>
        <v>45264</v>
      </c>
      <c r="F1236" s="21" t="str">
        <f>Sales[Store_ID]</f>
        <v>STORE14</v>
      </c>
      <c r="G1236" s="21" t="str">
        <f t="array" ref="G1236">INDEX(Store[Store_Name],MATCH(F1236,Store[Store_ID],0))</f>
        <v>Mcdonald Inc</v>
      </c>
      <c r="H1236" s="21" t="str">
        <f>Sales[Product_ID]</f>
        <v>PROD29</v>
      </c>
      <c r="I1236" s="21" t="str">
        <f>VLOOKUP(H1236,Products[],2)</f>
        <v>Fabric Sofa Throw Blanket</v>
      </c>
      <c r="J1236" s="24">
        <f>Sales[Total_Amount]</f>
        <v>1127.022</v>
      </c>
      <c r="K1236" s="21" t="str">
        <f t="shared" si="1"/>
        <v>Dec</v>
      </c>
      <c r="L1236" s="21">
        <f t="shared" si="2"/>
        <v>2023</v>
      </c>
      <c r="N1236" s="33"/>
      <c r="O1236" s="34"/>
    </row>
    <row r="1237" ht="22.5" customHeight="1">
      <c r="A1237" s="21" t="s">
        <v>3202</v>
      </c>
      <c r="B1237" s="21" t="s">
        <v>1297</v>
      </c>
      <c r="C1237" s="21" t="str">
        <f t="array" ref="C1237">XLOOKUP(B1237,Customer[Customer_ID],Customer[Name(Cleaned)])</f>
        <v>Shane Brown</v>
      </c>
      <c r="D1237" s="22" t="str">
        <f>VLOOKUP(B1237,Customer[#ALL],6)</f>
        <v>Male</v>
      </c>
      <c r="E1237" s="23">
        <f>Sales[Order_Date]</f>
        <v>45593</v>
      </c>
      <c r="F1237" s="21" t="str">
        <f>Sales[Store_ID]</f>
        <v>STORE12</v>
      </c>
      <c r="G1237" s="21" t="str">
        <f t="array" ref="G1237">INDEX(Store[Store_Name],MATCH(F1237,Store[Store_ID],0))</f>
        <v>Thomas, Bridges and Harris</v>
      </c>
      <c r="H1237" s="21" t="str">
        <f>Sales[Product_ID]</f>
        <v>PROD53</v>
      </c>
      <c r="I1237" s="21" t="str">
        <f>VLOOKUP(H1237,Products[],2)</f>
        <v>Men's Track Pants</v>
      </c>
      <c r="J1237" s="24">
        <f>Sales[Total_Amount]</f>
        <v>288.9824</v>
      </c>
      <c r="K1237" s="21" t="str">
        <f t="shared" si="1"/>
        <v>Oct</v>
      </c>
      <c r="L1237" s="21">
        <f t="shared" si="2"/>
        <v>2024</v>
      </c>
      <c r="N1237" s="33"/>
      <c r="O1237" s="34"/>
    </row>
    <row r="1238" ht="22.5" customHeight="1">
      <c r="A1238" s="21" t="s">
        <v>3203</v>
      </c>
      <c r="B1238" s="21" t="s">
        <v>189</v>
      </c>
      <c r="C1238" s="21" t="str">
        <f t="array" ref="C1238">XLOOKUP(B1238,Customer[Customer_ID],Customer[Name(Cleaned)])</f>
        <v>Gina Knight</v>
      </c>
      <c r="D1238" s="22" t="str">
        <f>VLOOKUP(B1238,Customer[#ALL],6)</f>
        <v>Male</v>
      </c>
      <c r="E1238" s="23">
        <f>Sales[Order_Date]</f>
        <v>45504</v>
      </c>
      <c r="F1238" s="21" t="str">
        <f>Sales[Store_ID]</f>
        <v>STORE2</v>
      </c>
      <c r="G1238" s="21" t="str">
        <f t="array" ref="G1238">INDEX(Store[Store_Name],MATCH(F1238,Store[Store_ID],0))</f>
        <v>Black-Horn</v>
      </c>
      <c r="H1238" s="21" t="str">
        <f>Sales[Product_ID]</f>
        <v>PROD64</v>
      </c>
      <c r="I1238" s="21" t="str">
        <f>VLOOKUP(H1238,Products[],2)</f>
        <v>Matte Lipstick Set</v>
      </c>
      <c r="J1238" s="24">
        <f>Sales[Total_Amount]</f>
        <v>271.2836</v>
      </c>
      <c r="K1238" s="21" t="str">
        <f t="shared" si="1"/>
        <v>Jul</v>
      </c>
      <c r="L1238" s="21">
        <f t="shared" si="2"/>
        <v>2024</v>
      </c>
      <c r="N1238" s="33"/>
      <c r="O1238" s="34"/>
    </row>
    <row r="1239" ht="22.5" customHeight="1">
      <c r="A1239" s="21" t="s">
        <v>3204</v>
      </c>
      <c r="B1239" s="21" t="s">
        <v>444</v>
      </c>
      <c r="C1239" s="21" t="str">
        <f t="array" ref="C1239">XLOOKUP(B1239,Customer[Customer_ID],Customer[Name(Cleaned)])</f>
        <v>James Wolfe</v>
      </c>
      <c r="D1239" s="22" t="str">
        <f>VLOOKUP(B1239,Customer[#ALL],6)</f>
        <v>Male</v>
      </c>
      <c r="E1239" s="23">
        <f>Sales[Order_Date]</f>
        <v>45679</v>
      </c>
      <c r="F1239" s="21" t="str">
        <f>Sales[Store_ID]</f>
        <v>STORE2</v>
      </c>
      <c r="G1239" s="21" t="str">
        <f t="array" ref="G1239">INDEX(Store[Store_Name],MATCH(F1239,Store[Store_ID],0))</f>
        <v>Black-Horn</v>
      </c>
      <c r="H1239" s="21" t="str">
        <f>Sales[Product_ID]</f>
        <v>PROD80</v>
      </c>
      <c r="I1239" s="21" t="str">
        <f>VLOOKUP(H1239,Products[],2)</f>
        <v>Wall-Mounted Spice Rack</v>
      </c>
      <c r="J1239" s="24">
        <f>Sales[Total_Amount]</f>
        <v>2699.0964</v>
      </c>
      <c r="K1239" s="21" t="str">
        <f t="shared" si="1"/>
        <v>Jan</v>
      </c>
      <c r="L1239" s="21">
        <f t="shared" si="2"/>
        <v>2025</v>
      </c>
      <c r="N1239" s="33"/>
      <c r="O1239" s="34"/>
    </row>
    <row r="1240" ht="22.5" customHeight="1">
      <c r="A1240" s="21" t="s">
        <v>3205</v>
      </c>
      <c r="B1240" s="21" t="s">
        <v>108</v>
      </c>
      <c r="C1240" s="21" t="str">
        <f t="array" ref="C1240">XLOOKUP(B1240,Customer[Customer_ID],Customer[Name(Cleaned)])</f>
        <v>Jonathan Steele</v>
      </c>
      <c r="D1240" s="22" t="str">
        <f>VLOOKUP(B1240,Customer[#ALL],6)</f>
        <v>Male</v>
      </c>
      <c r="E1240" s="23">
        <f>Sales[Order_Date]</f>
        <v>45611</v>
      </c>
      <c r="F1240" s="21" t="str">
        <f>Sales[Store_ID]</f>
        <v>STORE17</v>
      </c>
      <c r="G1240" s="21" t="str">
        <f t="array" ref="G1240">INDEX(Store[Store_Name],MATCH(F1240,Store[Store_ID],0))</f>
        <v>Holloway Ltd</v>
      </c>
      <c r="H1240" s="21" t="str">
        <f>Sales[Product_ID]</f>
        <v>PROD80</v>
      </c>
      <c r="I1240" s="21" t="str">
        <f>VLOOKUP(H1240,Products[],2)</f>
        <v>Wall-Mounted Spice Rack</v>
      </c>
      <c r="J1240" s="24">
        <f>Sales[Total_Amount]</f>
        <v>954.018</v>
      </c>
      <c r="K1240" s="21" t="str">
        <f t="shared" si="1"/>
        <v>Nov</v>
      </c>
      <c r="L1240" s="21">
        <f t="shared" si="2"/>
        <v>2024</v>
      </c>
      <c r="N1240" s="33"/>
      <c r="O1240" s="34"/>
    </row>
    <row r="1241" ht="22.5" customHeight="1">
      <c r="A1241" s="21" t="s">
        <v>3206</v>
      </c>
      <c r="B1241" s="21" t="s">
        <v>975</v>
      </c>
      <c r="C1241" s="21" t="str">
        <f t="array" ref="C1241">XLOOKUP(B1241,Customer[Customer_ID],Customer[Name(Cleaned)])</f>
        <v>Miss Alexandria Li Dvm</v>
      </c>
      <c r="D1241" s="22" t="str">
        <f>VLOOKUP(B1241,Customer[#ALL],6)</f>
        <v>Female</v>
      </c>
      <c r="E1241" s="23">
        <f>Sales[Order_Date]</f>
        <v>45389</v>
      </c>
      <c r="F1241" s="21" t="str">
        <f>Sales[Store_ID]</f>
        <v>STORE2</v>
      </c>
      <c r="G1241" s="21" t="str">
        <f t="array" ref="G1241">INDEX(Store[Store_Name],MATCH(F1241,Store[Store_ID],0))</f>
        <v>Black-Horn</v>
      </c>
      <c r="H1241" s="21" t="str">
        <f>Sales[Product_ID]</f>
        <v>PROD50</v>
      </c>
      <c r="I1241" s="21" t="str">
        <f>VLOOKUP(H1241,Products[],2)</f>
        <v>Boxing Hand Wraps</v>
      </c>
      <c r="J1241" s="24">
        <f>Sales[Total_Amount]</f>
        <v>72.0252</v>
      </c>
      <c r="K1241" s="21" t="str">
        <f t="shared" si="1"/>
        <v>Apr</v>
      </c>
      <c r="L1241" s="21">
        <f t="shared" si="2"/>
        <v>2024</v>
      </c>
      <c r="N1241" s="33"/>
      <c r="O1241" s="34"/>
    </row>
    <row r="1242" ht="22.5" customHeight="1">
      <c r="A1242" s="21" t="s">
        <v>3207</v>
      </c>
      <c r="B1242" s="21" t="s">
        <v>419</v>
      </c>
      <c r="C1242" s="21" t="str">
        <f t="array" ref="C1242">XLOOKUP(B1242,Customer[Customer_ID],Customer[Name(Cleaned)])</f>
        <v>Earl Allen</v>
      </c>
      <c r="D1242" s="22" t="str">
        <f>VLOOKUP(B1242,Customer[#ALL],6)</f>
        <v>Female</v>
      </c>
      <c r="E1242" s="23">
        <f>Sales[Order_Date]</f>
        <v>45339</v>
      </c>
      <c r="F1242" s="21" t="str">
        <f>Sales[Store_ID]</f>
        <v>STORE16</v>
      </c>
      <c r="G1242" s="21" t="str">
        <f t="array" ref="G1242">INDEX(Store[Store_Name],MATCH(F1242,Store[Store_ID],0))</f>
        <v>Frederick-Wright</v>
      </c>
      <c r="H1242" s="21" t="str">
        <f>Sales[Product_ID]</f>
        <v>PROD61</v>
      </c>
      <c r="I1242" s="21" t="str">
        <f>VLOOKUP(H1242,Products[],2)</f>
        <v>Tennis Ball 3-Pack</v>
      </c>
      <c r="J1242" s="24">
        <f>Sales[Total_Amount]</f>
        <v>269.217</v>
      </c>
      <c r="K1242" s="21" t="str">
        <f t="shared" si="1"/>
        <v>Feb</v>
      </c>
      <c r="L1242" s="21">
        <f t="shared" si="2"/>
        <v>2024</v>
      </c>
      <c r="N1242" s="33"/>
      <c r="O1242" s="34"/>
    </row>
    <row r="1243" ht="22.5" customHeight="1">
      <c r="A1243" s="21" t="s">
        <v>3208</v>
      </c>
      <c r="B1243" s="21" t="s">
        <v>413</v>
      </c>
      <c r="C1243" s="21" t="str">
        <f t="array" ref="C1243">XLOOKUP(B1243,Customer[Customer_ID],Customer[Name(Cleaned)])</f>
        <v>Anthony Phillips</v>
      </c>
      <c r="D1243" s="22" t="str">
        <f>VLOOKUP(B1243,Customer[#ALL],6)</f>
        <v>Male</v>
      </c>
      <c r="E1243" s="23">
        <f>Sales[Order_Date]</f>
        <v>45433</v>
      </c>
      <c r="F1243" s="21" t="str">
        <f>Sales[Store_ID]</f>
        <v>STORE3</v>
      </c>
      <c r="G1243" s="21" t="str">
        <f t="array" ref="G1243">INDEX(Store[Store_Name],MATCH(F1243,Store[Store_ID],0))</f>
        <v>Johnson-Wright</v>
      </c>
      <c r="H1243" s="21" t="str">
        <f>Sales[Product_ID]</f>
        <v>PROD77</v>
      </c>
      <c r="I1243" s="21" t="str">
        <f>VLOOKUP(H1243,Products[],2)</f>
        <v>WiFi Mesh Router</v>
      </c>
      <c r="J1243" s="24">
        <f>Sales[Total_Amount]</f>
        <v>844.382</v>
      </c>
      <c r="K1243" s="21" t="str">
        <f t="shared" si="1"/>
        <v>May</v>
      </c>
      <c r="L1243" s="21">
        <f t="shared" si="2"/>
        <v>2024</v>
      </c>
      <c r="N1243" s="33"/>
      <c r="O1243" s="34"/>
    </row>
    <row r="1244" ht="22.5" customHeight="1">
      <c r="A1244" s="21" t="s">
        <v>3209</v>
      </c>
      <c r="B1244" s="21" t="s">
        <v>851</v>
      </c>
      <c r="C1244" s="21" t="str">
        <f t="array" ref="C1244">XLOOKUP(B1244,Customer[Customer_ID],Customer[Name(Cleaned)])</f>
        <v>Katherine Cowan</v>
      </c>
      <c r="D1244" s="22" t="str">
        <f>VLOOKUP(B1244,Customer[#ALL],6)</f>
        <v>Male</v>
      </c>
      <c r="E1244" s="23">
        <f>Sales[Order_Date]</f>
        <v>45435</v>
      </c>
      <c r="F1244" s="21" t="str">
        <f>Sales[Store_ID]</f>
        <v>STORE10</v>
      </c>
      <c r="G1244" s="21" t="str">
        <f t="array" ref="G1244">INDEX(Store[Store_Name],MATCH(F1244,Store[Store_ID],0))</f>
        <v>Hill, Wagner and Ballard</v>
      </c>
      <c r="H1244" s="21" t="str">
        <f>Sales[Product_ID]</f>
        <v>PROD54</v>
      </c>
      <c r="I1244" s="21" t="str">
        <f>VLOOKUP(H1244,Products[],2)</f>
        <v>Sports Stopwatch Pro</v>
      </c>
      <c r="J1244" s="24">
        <f>Sales[Total_Amount]</f>
        <v>2873.997</v>
      </c>
      <c r="K1244" s="21" t="str">
        <f t="shared" si="1"/>
        <v>May</v>
      </c>
      <c r="L1244" s="21">
        <f t="shared" si="2"/>
        <v>2024</v>
      </c>
      <c r="N1244" s="33"/>
      <c r="O1244" s="34"/>
    </row>
    <row r="1245" ht="22.5" customHeight="1">
      <c r="A1245" s="21" t="s">
        <v>3210</v>
      </c>
      <c r="B1245" s="21" t="s">
        <v>1101</v>
      </c>
      <c r="C1245" s="21" t="str">
        <f t="array" ref="C1245">XLOOKUP(B1245,Customer[Customer_ID],Customer[Name(Cleaned)])</f>
        <v>John Jordan</v>
      </c>
      <c r="D1245" s="22" t="str">
        <f>VLOOKUP(B1245,Customer[#ALL],6)</f>
        <v>Male</v>
      </c>
      <c r="E1245" s="23">
        <f>Sales[Order_Date]</f>
        <v>45823</v>
      </c>
      <c r="F1245" s="21" t="str">
        <f>Sales[Store_ID]</f>
        <v>STORE18</v>
      </c>
      <c r="G1245" s="21" t="str">
        <f t="array" ref="G1245">INDEX(Store[Store_Name],MATCH(F1245,Store[Store_ID],0))</f>
        <v>Guerrero-Schmitt</v>
      </c>
      <c r="H1245" s="21" t="str">
        <f>Sales[Product_ID]</f>
        <v>PROD44</v>
      </c>
      <c r="I1245" s="21" t="str">
        <f>VLOOKUP(H1245,Products[],2)</f>
        <v>Adjustable Jump Rope</v>
      </c>
      <c r="J1245" s="24">
        <f>Sales[Total_Amount]</f>
        <v>330.7824</v>
      </c>
      <c r="K1245" s="21" t="str">
        <f t="shared" si="1"/>
        <v>Jun</v>
      </c>
      <c r="L1245" s="21">
        <f t="shared" si="2"/>
        <v>2025</v>
      </c>
      <c r="N1245" s="33"/>
      <c r="O1245" s="34"/>
    </row>
    <row r="1246" ht="22.5" customHeight="1">
      <c r="A1246" s="21" t="s">
        <v>3211</v>
      </c>
      <c r="B1246" s="21" t="s">
        <v>326</v>
      </c>
      <c r="C1246" s="21" t="str">
        <f t="array" ref="C1246">XLOOKUP(B1246,Customer[Customer_ID],Customer[Name(Cleaned)])</f>
        <v>Timothy Wright</v>
      </c>
      <c r="D1246" s="22" t="str">
        <f>VLOOKUP(B1246,Customer[#ALL],6)</f>
        <v>Female</v>
      </c>
      <c r="E1246" s="23">
        <f>Sales[Order_Date]</f>
        <v>45663</v>
      </c>
      <c r="F1246" s="21" t="str">
        <f>Sales[Store_ID]</f>
        <v>STORE4</v>
      </c>
      <c r="G1246" s="21" t="str">
        <f t="array" ref="G1246">INDEX(Store[Store_Name],MATCH(F1246,Store[Store_ID],0))</f>
        <v>Alexander Group</v>
      </c>
      <c r="H1246" s="21" t="str">
        <f>Sales[Product_ID]</f>
        <v>PROD2</v>
      </c>
      <c r="I1246" s="21" t="str">
        <f>VLOOKUP(H1246,Products[],2)</f>
        <v>Knee Support Brace</v>
      </c>
      <c r="J1246" s="24">
        <f>Sales[Total_Amount]</f>
        <v>199.5678</v>
      </c>
      <c r="K1246" s="21" t="str">
        <f t="shared" si="1"/>
        <v>Jan</v>
      </c>
      <c r="L1246" s="21">
        <f t="shared" si="2"/>
        <v>2025</v>
      </c>
      <c r="N1246" s="33"/>
      <c r="O1246" s="34"/>
    </row>
    <row r="1247" ht="22.5" customHeight="1">
      <c r="A1247" s="21" t="s">
        <v>3212</v>
      </c>
      <c r="B1247" s="21" t="s">
        <v>1137</v>
      </c>
      <c r="C1247" s="21" t="str">
        <f t="array" ref="C1247">XLOOKUP(B1247,Customer[Customer_ID],Customer[Name(Cleaned)])</f>
        <v>Ashley Anderson</v>
      </c>
      <c r="D1247" s="22" t="str">
        <f>VLOOKUP(B1247,Customer[#ALL],6)</f>
        <v>Male</v>
      </c>
      <c r="E1247" s="23">
        <f>Sales[Order_Date]</f>
        <v>45879</v>
      </c>
      <c r="F1247" s="21" t="str">
        <f>Sales[Store_ID]</f>
        <v>STORE19</v>
      </c>
      <c r="G1247" s="21" t="str">
        <f t="array" ref="G1247">INDEX(Store[Store_Name],MATCH(F1247,Store[Store_ID],0))</f>
        <v>Mann-Austin</v>
      </c>
      <c r="H1247" s="21" t="str">
        <f>Sales[Product_ID]</f>
        <v>PROD55</v>
      </c>
      <c r="I1247" s="21" t="str">
        <f>VLOOKUP(H1247,Products[],2)</f>
        <v>Ceramic Plant Pot</v>
      </c>
      <c r="J1247" s="24">
        <f>Sales[Total_Amount]</f>
        <v>218.491</v>
      </c>
      <c r="K1247" s="21" t="str">
        <f t="shared" si="1"/>
        <v>Aug</v>
      </c>
      <c r="L1247" s="21">
        <f t="shared" si="2"/>
        <v>2025</v>
      </c>
      <c r="N1247" s="33"/>
      <c r="O1247" s="34"/>
    </row>
    <row r="1248" ht="22.5" customHeight="1">
      <c r="A1248" s="21" t="s">
        <v>3213</v>
      </c>
      <c r="B1248" s="21" t="s">
        <v>1256</v>
      </c>
      <c r="C1248" s="21" t="str">
        <f t="array" ref="C1248">XLOOKUP(B1248,Customer[Customer_ID],Customer[Name(Cleaned)])</f>
        <v>Jennifer Johnson</v>
      </c>
      <c r="D1248" s="22" t="str">
        <f>VLOOKUP(B1248,Customer[#ALL],6)</f>
        <v>Female</v>
      </c>
      <c r="E1248" s="23">
        <f>Sales[Order_Date]</f>
        <v>45597</v>
      </c>
      <c r="F1248" s="21" t="str">
        <f>Sales[Store_ID]</f>
        <v>STORE8</v>
      </c>
      <c r="G1248" s="21" t="str">
        <f t="array" ref="G1248">INDEX(Store[Store_Name],MATCH(F1248,Store[Store_ID],0))</f>
        <v>Bean, Jones and Park</v>
      </c>
      <c r="H1248" s="21" t="str">
        <f>Sales[Product_ID]</f>
        <v>PROD75</v>
      </c>
      <c r="I1248" s="21" t="str">
        <f>VLOOKUP(H1248,Products[],2)</f>
        <v>Women's Ankle Boots</v>
      </c>
      <c r="J1248" s="24">
        <f>Sales[Total_Amount]</f>
        <v>1154.8944</v>
      </c>
      <c r="K1248" s="21" t="str">
        <f t="shared" si="1"/>
        <v>Nov</v>
      </c>
      <c r="L1248" s="21">
        <f t="shared" si="2"/>
        <v>2024</v>
      </c>
      <c r="N1248" s="33"/>
      <c r="O1248" s="34"/>
    </row>
    <row r="1249" ht="22.5" customHeight="1">
      <c r="A1249" s="21" t="s">
        <v>3214</v>
      </c>
      <c r="B1249" s="21" t="s">
        <v>1059</v>
      </c>
      <c r="C1249" s="21" t="str">
        <f t="array" ref="C1249">XLOOKUP(B1249,Customer[Customer_ID],Customer[Name(Cleaned)])</f>
        <v>Dr. Lindsay Hanna</v>
      </c>
      <c r="D1249" s="22" t="str">
        <f>VLOOKUP(B1249,Customer[#ALL],6)</f>
        <v>Male</v>
      </c>
      <c r="E1249" s="23">
        <f>Sales[Order_Date]</f>
        <v>45840</v>
      </c>
      <c r="F1249" s="21" t="str">
        <f>Sales[Store_ID]</f>
        <v>STORE4</v>
      </c>
      <c r="G1249" s="21" t="str">
        <f t="array" ref="G1249">INDEX(Store[Store_Name],MATCH(F1249,Store[Store_ID],0))</f>
        <v>Alexander Group</v>
      </c>
      <c r="H1249" s="21" t="str">
        <f>Sales[Product_ID]</f>
        <v>PROD32</v>
      </c>
      <c r="I1249" s="21" t="str">
        <f>VLOOKUP(H1249,Products[],2)</f>
        <v>Vitamin C Face Serum</v>
      </c>
      <c r="J1249" s="24">
        <f>Sales[Total_Amount]</f>
        <v>1552.9794</v>
      </c>
      <c r="K1249" s="21" t="str">
        <f t="shared" si="1"/>
        <v>Jul</v>
      </c>
      <c r="L1249" s="21">
        <f t="shared" si="2"/>
        <v>2025</v>
      </c>
      <c r="N1249" s="33"/>
      <c r="O1249" s="34"/>
    </row>
    <row r="1250" ht="22.5" customHeight="1">
      <c r="A1250" s="21" t="s">
        <v>3215</v>
      </c>
      <c r="B1250" s="21" t="s">
        <v>954</v>
      </c>
      <c r="C1250" s="21" t="str">
        <f t="array" ref="C1250">XLOOKUP(B1250,Customer[Customer_ID],Customer[Name(Cleaned)])</f>
        <v>Jennifer Carr</v>
      </c>
      <c r="D1250" s="22" t="str">
        <f>VLOOKUP(B1250,Customer[#ALL],6)</f>
        <v>Male</v>
      </c>
      <c r="E1250" s="23">
        <f>Sales[Order_Date]</f>
        <v>45380</v>
      </c>
      <c r="F1250" s="21" t="str">
        <f>Sales[Store_ID]</f>
        <v>STORE2</v>
      </c>
      <c r="G1250" s="21" t="str">
        <f t="array" ref="G1250">INDEX(Store[Store_Name],MATCH(F1250,Store[Store_ID],0))</f>
        <v>Black-Horn</v>
      </c>
      <c r="H1250" s="21" t="str">
        <f>Sales[Product_ID]</f>
        <v>PROD69</v>
      </c>
      <c r="I1250" s="21" t="str">
        <f>VLOOKUP(H1250,Products[],2)</f>
        <v>Men's Sports Shorts</v>
      </c>
      <c r="J1250" s="24">
        <f>Sales[Total_Amount]</f>
        <v>547.177</v>
      </c>
      <c r="K1250" s="21" t="str">
        <f t="shared" si="1"/>
        <v>Mar</v>
      </c>
      <c r="L1250" s="21">
        <f t="shared" si="2"/>
        <v>2024</v>
      </c>
      <c r="N1250" s="33"/>
      <c r="O1250" s="34"/>
    </row>
    <row r="1251" ht="22.5" customHeight="1">
      <c r="A1251" s="21" t="s">
        <v>3216</v>
      </c>
      <c r="B1251" s="21" t="s">
        <v>349</v>
      </c>
      <c r="C1251" s="21" t="str">
        <f t="array" ref="C1251">XLOOKUP(B1251,Customer[Customer_ID],Customer[Name(Cleaned)])</f>
        <v>Amy Fowler</v>
      </c>
      <c r="D1251" s="22" t="str">
        <f>VLOOKUP(B1251,Customer[#ALL],6)</f>
        <v>Male</v>
      </c>
      <c r="E1251" s="23">
        <f>Sales[Order_Date]</f>
        <v>45672</v>
      </c>
      <c r="F1251" s="21" t="str">
        <f>Sales[Store_ID]</f>
        <v>STORE5</v>
      </c>
      <c r="G1251" s="21" t="str">
        <f t="array" ref="G1251">INDEX(Store[Store_Name],MATCH(F1251,Store[Store_ID],0))</f>
        <v>Gray Ltd</v>
      </c>
      <c r="H1251" s="21" t="str">
        <f>Sales[Product_ID]</f>
        <v>PROD80</v>
      </c>
      <c r="I1251" s="21" t="str">
        <f>VLOOKUP(H1251,Products[],2)</f>
        <v>Wall-Mounted Spice Rack</v>
      </c>
      <c r="J1251" s="24">
        <f>Sales[Total_Amount]</f>
        <v>423.6284</v>
      </c>
      <c r="K1251" s="21" t="str">
        <f t="shared" si="1"/>
        <v>Jan</v>
      </c>
      <c r="L1251" s="21">
        <f t="shared" si="2"/>
        <v>2025</v>
      </c>
      <c r="N1251" s="33"/>
      <c r="O1251" s="34"/>
    </row>
    <row r="1252" ht="22.5" customHeight="1">
      <c r="A1252" s="21" t="s">
        <v>3217</v>
      </c>
      <c r="B1252" s="21" t="s">
        <v>1373</v>
      </c>
      <c r="C1252" s="21" t="str">
        <f t="array" ref="C1252">XLOOKUP(B1252,Customer[Customer_ID],Customer[Name(Cleaned)])</f>
        <v>Monica Flynn</v>
      </c>
      <c r="D1252" s="22" t="str">
        <f>VLOOKUP(B1252,Customer[#ALL],6)</f>
        <v>Male</v>
      </c>
      <c r="E1252" s="23">
        <f>Sales[Order_Date]</f>
        <v>45497</v>
      </c>
      <c r="F1252" s="21" t="str">
        <f>Sales[Store_ID]</f>
        <v>STORE12</v>
      </c>
      <c r="G1252" s="21" t="str">
        <f t="array" ref="G1252">INDEX(Store[Store_Name],MATCH(F1252,Store[Store_ID],0))</f>
        <v>Thomas, Bridges and Harris</v>
      </c>
      <c r="H1252" s="21" t="str">
        <f>Sales[Product_ID]</f>
        <v>PROD63</v>
      </c>
      <c r="I1252" s="21" t="str">
        <f>VLOOKUP(H1252,Products[],2)</f>
        <v>Organic Sunscreen Lotion</v>
      </c>
      <c r="J1252" s="24">
        <f>Sales[Total_Amount]</f>
        <v>831.9275</v>
      </c>
      <c r="K1252" s="21" t="str">
        <f t="shared" si="1"/>
        <v>Jul</v>
      </c>
      <c r="L1252" s="21">
        <f t="shared" si="2"/>
        <v>2024</v>
      </c>
      <c r="N1252" s="33"/>
      <c r="O1252" s="34"/>
    </row>
    <row r="1253" ht="22.5" customHeight="1">
      <c r="A1253" s="21" t="s">
        <v>3218</v>
      </c>
      <c r="B1253" s="21" t="s">
        <v>767</v>
      </c>
      <c r="C1253" s="21" t="str">
        <f t="array" ref="C1253">XLOOKUP(B1253,Customer[Customer_ID],Customer[Name(Cleaned)])</f>
        <v>Nathaniel Hill</v>
      </c>
      <c r="D1253" s="22" t="str">
        <f>VLOOKUP(B1253,Customer[#ALL],6)</f>
        <v>Male</v>
      </c>
      <c r="E1253" s="23">
        <f>Sales[Order_Date]</f>
        <v>45407</v>
      </c>
      <c r="F1253" s="21" t="str">
        <f>Sales[Store_ID]</f>
        <v>STORE7</v>
      </c>
      <c r="G1253" s="21" t="str">
        <f t="array" ref="G1253">INDEX(Store[Store_Name],MATCH(F1253,Store[Store_ID],0))</f>
        <v>Martinez-Mullins</v>
      </c>
      <c r="H1253" s="21" t="str">
        <f>Sales[Product_ID]</f>
        <v>PROD98</v>
      </c>
      <c r="I1253" s="21" t="str">
        <f>VLOOKUP(H1253,Products[],2)</f>
        <v>Portable Bluetooth Speaker</v>
      </c>
      <c r="J1253" s="24">
        <f>Sales[Total_Amount]</f>
        <v>2084.072</v>
      </c>
      <c r="K1253" s="21" t="str">
        <f t="shared" si="1"/>
        <v>Apr</v>
      </c>
      <c r="L1253" s="21">
        <f t="shared" si="2"/>
        <v>2024</v>
      </c>
      <c r="N1253" s="33"/>
      <c r="O1253" s="34"/>
    </row>
    <row r="1254" ht="22.5" customHeight="1">
      <c r="A1254" s="21" t="s">
        <v>3219</v>
      </c>
      <c r="B1254" s="21" t="s">
        <v>70</v>
      </c>
      <c r="C1254" s="21" t="str">
        <f t="array" ref="C1254">XLOOKUP(B1254,Customer[Customer_ID],Customer[Name(Cleaned)])</f>
        <v>Nathan Hernandez</v>
      </c>
      <c r="D1254" s="22" t="str">
        <f>VLOOKUP(B1254,Customer[#ALL],6)</f>
        <v>Male</v>
      </c>
      <c r="E1254" s="23">
        <f>Sales[Order_Date]</f>
        <v>45764</v>
      </c>
      <c r="F1254" s="21" t="str">
        <f>Sales[Store_ID]</f>
        <v>STORE3</v>
      </c>
      <c r="G1254" s="21" t="str">
        <f t="array" ref="G1254">INDEX(Store[Store_Name],MATCH(F1254,Store[Store_ID],0))</f>
        <v>Johnson-Wright</v>
      </c>
      <c r="H1254" s="21" t="str">
        <f>Sales[Product_ID]</f>
        <v>PROD37</v>
      </c>
      <c r="I1254" s="21" t="str">
        <f>VLOOKUP(H1254,Products[],2)</f>
        <v>Men's Casual Sneakers</v>
      </c>
      <c r="J1254" s="24">
        <f>Sales[Total_Amount]</f>
        <v>1018.3302</v>
      </c>
      <c r="K1254" s="21" t="str">
        <f t="shared" si="1"/>
        <v>Apr</v>
      </c>
      <c r="L1254" s="21">
        <f t="shared" si="2"/>
        <v>2025</v>
      </c>
      <c r="N1254" s="33"/>
      <c r="O1254" s="34"/>
    </row>
    <row r="1255" ht="22.5" customHeight="1">
      <c r="A1255" s="21" t="s">
        <v>3220</v>
      </c>
      <c r="B1255" s="21" t="s">
        <v>628</v>
      </c>
      <c r="C1255" s="21" t="str">
        <f t="array" ref="C1255">XLOOKUP(B1255,Customer[Customer_ID],Customer[Name(Cleaned)])</f>
        <v>Dr. Suzanne Bullock</v>
      </c>
      <c r="D1255" s="22" t="str">
        <f>VLOOKUP(B1255,Customer[#ALL],6)</f>
        <v>Male</v>
      </c>
      <c r="E1255" s="23">
        <f>Sales[Order_Date]</f>
        <v>45924</v>
      </c>
      <c r="F1255" s="21" t="str">
        <f>Sales[Store_ID]</f>
        <v>STORE1</v>
      </c>
      <c r="G1255" s="21" t="str">
        <f t="array" ref="G1255">INDEX(Store[Store_Name],MATCH(F1255,Store[Store_ID],0))</f>
        <v>Martinez, Adkins and Johnson</v>
      </c>
      <c r="H1255" s="21" t="str">
        <f>Sales[Product_ID]</f>
        <v>PROD13</v>
      </c>
      <c r="I1255" s="21" t="str">
        <f>VLOOKUP(H1255,Products[],2)</f>
        <v>USB-C Fast Charger</v>
      </c>
      <c r="J1255" s="24">
        <f>Sales[Total_Amount]</f>
        <v>1098.666</v>
      </c>
      <c r="K1255" s="21" t="str">
        <f t="shared" si="1"/>
        <v>Sep</v>
      </c>
      <c r="L1255" s="21">
        <f t="shared" si="2"/>
        <v>2025</v>
      </c>
      <c r="N1255" s="33"/>
      <c r="O1255" s="34"/>
    </row>
    <row r="1256" ht="22.5" customHeight="1">
      <c r="A1256" s="21" t="s">
        <v>3221</v>
      </c>
      <c r="B1256" s="21" t="s">
        <v>1065</v>
      </c>
      <c r="C1256" s="21" t="str">
        <f t="array" ref="C1256">XLOOKUP(B1256,Customer[Customer_ID],Customer[Name(Cleaned)])</f>
        <v>Mr. Christopher Sims</v>
      </c>
      <c r="D1256" s="22" t="str">
        <f>VLOOKUP(B1256,Customer[#ALL],6)</f>
        <v>Male</v>
      </c>
      <c r="E1256" s="23">
        <f>Sales[Order_Date]</f>
        <v>45240</v>
      </c>
      <c r="F1256" s="21" t="str">
        <f>Sales[Store_ID]</f>
        <v>STORE16</v>
      </c>
      <c r="G1256" s="21" t="str">
        <f t="array" ref="G1256">INDEX(Store[Store_Name],MATCH(F1256,Store[Store_ID],0))</f>
        <v>Frederick-Wright</v>
      </c>
      <c r="H1256" s="21" t="str">
        <f>Sales[Product_ID]</f>
        <v>PROD51</v>
      </c>
      <c r="I1256" s="21" t="str">
        <f>VLOOKUP(H1256,Products[],2)</f>
        <v>HDMI Cable – 2m</v>
      </c>
      <c r="J1256" s="24">
        <f>Sales[Total_Amount]</f>
        <v>190.54</v>
      </c>
      <c r="K1256" s="21" t="str">
        <f t="shared" si="1"/>
        <v>Nov</v>
      </c>
      <c r="L1256" s="21">
        <f t="shared" si="2"/>
        <v>2023</v>
      </c>
      <c r="N1256" s="33"/>
      <c r="O1256" s="34"/>
    </row>
    <row r="1257" ht="22.5" customHeight="1">
      <c r="A1257" s="21" t="s">
        <v>3222</v>
      </c>
      <c r="B1257" s="21" t="s">
        <v>1373</v>
      </c>
      <c r="C1257" s="21" t="str">
        <f t="array" ref="C1257">XLOOKUP(B1257,Customer[Customer_ID],Customer[Name(Cleaned)])</f>
        <v>Monica Flynn</v>
      </c>
      <c r="D1257" s="22" t="str">
        <f>VLOOKUP(B1257,Customer[#ALL],6)</f>
        <v>Male</v>
      </c>
      <c r="E1257" s="23">
        <f>Sales[Order_Date]</f>
        <v>45349</v>
      </c>
      <c r="F1257" s="21" t="str">
        <f>Sales[Store_ID]</f>
        <v>STORE6</v>
      </c>
      <c r="G1257" s="21" t="str">
        <f t="array" ref="G1257">INDEX(Store[Store_Name],MATCH(F1257,Store[Store_ID],0))</f>
        <v>Benson-Elliott</v>
      </c>
      <c r="H1257" s="21" t="str">
        <f>Sales[Product_ID]</f>
        <v>PROD77</v>
      </c>
      <c r="I1257" s="21" t="str">
        <f>VLOOKUP(H1257,Products[],2)</f>
        <v>WiFi Mesh Router</v>
      </c>
      <c r="J1257" s="24">
        <f>Sales[Total_Amount]</f>
        <v>1444.212</v>
      </c>
      <c r="K1257" s="21" t="str">
        <f t="shared" si="1"/>
        <v>Feb</v>
      </c>
      <c r="L1257" s="21">
        <f t="shared" si="2"/>
        <v>2024</v>
      </c>
      <c r="N1257" s="33"/>
      <c r="O1257" s="34"/>
    </row>
    <row r="1258" ht="22.5" customHeight="1">
      <c r="A1258" s="21" t="s">
        <v>3223</v>
      </c>
      <c r="B1258" s="21" t="s">
        <v>1029</v>
      </c>
      <c r="C1258" s="21" t="str">
        <f t="array" ref="C1258">XLOOKUP(B1258,Customer[Customer_ID],Customer[Name(Cleaned)])</f>
        <v>Samuel Arias</v>
      </c>
      <c r="D1258" s="22" t="str">
        <f>VLOOKUP(B1258,Customer[#ALL],6)</f>
        <v>Female</v>
      </c>
      <c r="E1258" s="23">
        <f>Sales[Order_Date]</f>
        <v>45756</v>
      </c>
      <c r="F1258" s="21" t="str">
        <f>Sales[Store_ID]</f>
        <v>STORE0</v>
      </c>
      <c r="G1258" s="21" t="str">
        <f t="array" ref="G1258">INDEX(Store[Store_Name],MATCH(F1258,Store[Store_ID],0))</f>
        <v>Rivera-Warner</v>
      </c>
      <c r="H1258" s="21" t="str">
        <f>Sales[Product_ID]</f>
        <v>PROD6</v>
      </c>
      <c r="I1258" s="21" t="str">
        <f>VLOOKUP(H1258,Products[],2)</f>
        <v>Men's Hair Styling Gel</v>
      </c>
      <c r="J1258" s="24">
        <f>Sales[Total_Amount]</f>
        <v>71.1936</v>
      </c>
      <c r="K1258" s="21" t="str">
        <f t="shared" si="1"/>
        <v>Apr</v>
      </c>
      <c r="L1258" s="21">
        <f t="shared" si="2"/>
        <v>2025</v>
      </c>
      <c r="N1258" s="33"/>
      <c r="O1258" s="34"/>
    </row>
    <row r="1259" ht="22.5" customHeight="1">
      <c r="A1259" s="21" t="s">
        <v>3224</v>
      </c>
      <c r="B1259" s="21" t="s">
        <v>1416</v>
      </c>
      <c r="C1259" s="21" t="str">
        <f t="array" ref="C1259">XLOOKUP(B1259,Customer[Customer_ID],Customer[Name(Cleaned)])</f>
        <v>April Phillips</v>
      </c>
      <c r="D1259" s="22" t="str">
        <f>VLOOKUP(B1259,Customer[#ALL],6)</f>
        <v>Male</v>
      </c>
      <c r="E1259" s="23">
        <f>Sales[Order_Date]</f>
        <v>45620</v>
      </c>
      <c r="F1259" s="21" t="str">
        <f>Sales[Store_ID]</f>
        <v>STORE6</v>
      </c>
      <c r="G1259" s="21" t="str">
        <f t="array" ref="G1259">INDEX(Store[Store_Name],MATCH(F1259,Store[Store_ID],0))</f>
        <v>Benson-Elliott</v>
      </c>
      <c r="H1259" s="21" t="str">
        <f>Sales[Product_ID]</f>
        <v>PROD12</v>
      </c>
      <c r="I1259" s="21" t="str">
        <f>VLOOKUP(H1259,Products[],2)</f>
        <v>Hair Strengthening Shampoo</v>
      </c>
      <c r="J1259" s="24">
        <f>Sales[Total_Amount]</f>
        <v>1219.427</v>
      </c>
      <c r="K1259" s="21" t="str">
        <f t="shared" si="1"/>
        <v>Nov</v>
      </c>
      <c r="L1259" s="21">
        <f t="shared" si="2"/>
        <v>2024</v>
      </c>
      <c r="N1259" s="33"/>
      <c r="O1259" s="34"/>
    </row>
    <row r="1260" ht="22.5" customHeight="1">
      <c r="A1260" s="21" t="s">
        <v>3225</v>
      </c>
      <c r="B1260" s="21" t="s">
        <v>818</v>
      </c>
      <c r="C1260" s="21" t="str">
        <f t="array" ref="C1260">XLOOKUP(B1260,Customer[Customer_ID],Customer[Name(Cleaned)])</f>
        <v>Tyler Garner</v>
      </c>
      <c r="D1260" s="22" t="str">
        <f>VLOOKUP(B1260,Customer[#ALL],6)</f>
        <v>Female</v>
      </c>
      <c r="E1260" s="23">
        <f>Sales[Order_Date]</f>
        <v>45478</v>
      </c>
      <c r="F1260" s="21" t="str">
        <f>Sales[Store_ID]</f>
        <v>STORE9</v>
      </c>
      <c r="G1260" s="21" t="str">
        <f t="array" ref="G1260">INDEX(Store[Store_Name],MATCH(F1260,Store[Store_ID],0))</f>
        <v>Moore, Padilla and Butler</v>
      </c>
      <c r="H1260" s="21" t="str">
        <f>Sales[Product_ID]</f>
        <v>PROD9</v>
      </c>
      <c r="I1260" s="21" t="str">
        <f>VLOOKUP(H1260,Products[],2)</f>
        <v>Face Foundation Kit</v>
      </c>
      <c r="J1260" s="24">
        <f>Sales[Total_Amount]</f>
        <v>750.2031</v>
      </c>
      <c r="K1260" s="21" t="str">
        <f t="shared" si="1"/>
        <v>Jul</v>
      </c>
      <c r="L1260" s="21">
        <f t="shared" si="2"/>
        <v>2024</v>
      </c>
      <c r="N1260" s="33"/>
      <c r="O1260" s="34"/>
    </row>
    <row r="1261" ht="22.5" customHeight="1">
      <c r="A1261" s="21" t="s">
        <v>3226</v>
      </c>
      <c r="B1261" s="21" t="s">
        <v>836</v>
      </c>
      <c r="C1261" s="21" t="str">
        <f t="array" ref="C1261">XLOOKUP(B1261,Customer[Customer_ID],Customer[Name(Cleaned)])</f>
        <v>Christopher David</v>
      </c>
      <c r="D1261" s="22" t="str">
        <f>VLOOKUP(B1261,Customer[#ALL],6)</f>
        <v>Female</v>
      </c>
      <c r="E1261" s="23">
        <f>Sales[Order_Date]</f>
        <v>45890</v>
      </c>
      <c r="F1261" s="21" t="str">
        <f>Sales[Store_ID]</f>
        <v>STORE9</v>
      </c>
      <c r="G1261" s="21" t="str">
        <f t="array" ref="G1261">INDEX(Store[Store_Name],MATCH(F1261,Store[Store_ID],0))</f>
        <v>Moore, Padilla and Butler</v>
      </c>
      <c r="H1261" s="21" t="str">
        <f>Sales[Product_ID]</f>
        <v>PROD68</v>
      </c>
      <c r="I1261" s="21" t="str">
        <f>VLOOKUP(H1261,Products[],2)</f>
        <v>Wooden Nightstand</v>
      </c>
      <c r="J1261" s="24">
        <f>Sales[Total_Amount]</f>
        <v>65.155</v>
      </c>
      <c r="K1261" s="21" t="str">
        <f t="shared" si="1"/>
        <v>Aug</v>
      </c>
      <c r="L1261" s="21">
        <f t="shared" si="2"/>
        <v>2025</v>
      </c>
      <c r="N1261" s="33"/>
      <c r="O1261" s="34"/>
    </row>
    <row r="1262" ht="22.5" customHeight="1">
      <c r="A1262" s="21" t="s">
        <v>3227</v>
      </c>
      <c r="B1262" s="21" t="s">
        <v>466</v>
      </c>
      <c r="C1262" s="21" t="str">
        <f t="array" ref="C1262">XLOOKUP(B1262,Customer[Customer_ID],Customer[Name(Cleaned)])</f>
        <v>Hayley Pope</v>
      </c>
      <c r="D1262" s="22" t="str">
        <f>VLOOKUP(B1262,Customer[#ALL],6)</f>
        <v>Male</v>
      </c>
      <c r="E1262" s="23">
        <f>Sales[Order_Date]</f>
        <v>45815</v>
      </c>
      <c r="F1262" s="21" t="str">
        <f>Sales[Store_ID]</f>
        <v>STORE4</v>
      </c>
      <c r="G1262" s="21" t="str">
        <f t="array" ref="G1262">INDEX(Store[Store_Name],MATCH(F1262,Store[Store_ID],0))</f>
        <v>Alexander Group</v>
      </c>
      <c r="H1262" s="21" t="str">
        <f>Sales[Product_ID]</f>
        <v>PROD36</v>
      </c>
      <c r="I1262" s="21" t="str">
        <f>VLOOKUP(H1262,Products[],2)</f>
        <v>Women's Summer Dress</v>
      </c>
      <c r="J1262" s="24">
        <f>Sales[Total_Amount]</f>
        <v>1174.2948</v>
      </c>
      <c r="K1262" s="21" t="str">
        <f t="shared" si="1"/>
        <v>Jun</v>
      </c>
      <c r="L1262" s="21">
        <f t="shared" si="2"/>
        <v>2025</v>
      </c>
      <c r="N1262" s="33"/>
      <c r="O1262" s="34"/>
    </row>
    <row r="1263" ht="22.5" customHeight="1">
      <c r="A1263" s="21" t="s">
        <v>3228</v>
      </c>
      <c r="B1263" s="21" t="s">
        <v>315</v>
      </c>
      <c r="C1263" s="21" t="str">
        <f t="array" ref="C1263">XLOOKUP(B1263,Customer[Customer_ID],Customer[Name(Cleaned)])</f>
        <v>Richard Delgado</v>
      </c>
      <c r="D1263" s="22" t="str">
        <f>VLOOKUP(B1263,Customer[#ALL],6)</f>
        <v>Female</v>
      </c>
      <c r="E1263" s="23">
        <f>Sales[Order_Date]</f>
        <v>45891</v>
      </c>
      <c r="F1263" s="21" t="str">
        <f>Sales[Store_ID]</f>
        <v>STORE19</v>
      </c>
      <c r="G1263" s="21" t="str">
        <f t="array" ref="G1263">INDEX(Store[Store_Name],MATCH(F1263,Store[Store_ID],0))</f>
        <v>Mann-Austin</v>
      </c>
      <c r="H1263" s="21" t="str">
        <f>Sales[Product_ID]</f>
        <v>PROD31</v>
      </c>
      <c r="I1263" s="21" t="str">
        <f>VLOOKUP(H1263,Products[],2)</f>
        <v>Basketball</v>
      </c>
      <c r="J1263" s="24">
        <f>Sales[Total_Amount]</f>
        <v>1353.7854</v>
      </c>
      <c r="K1263" s="21" t="str">
        <f t="shared" si="1"/>
        <v>Aug</v>
      </c>
      <c r="L1263" s="21">
        <f t="shared" si="2"/>
        <v>2025</v>
      </c>
      <c r="N1263" s="33"/>
      <c r="O1263" s="34"/>
    </row>
    <row r="1264" ht="22.5" customHeight="1">
      <c r="A1264" s="21" t="s">
        <v>3229</v>
      </c>
      <c r="B1264" s="21" t="s">
        <v>1110</v>
      </c>
      <c r="C1264" s="21" t="str">
        <f t="array" ref="C1264">XLOOKUP(B1264,Customer[Customer_ID],Customer[Name(Cleaned)])</f>
        <v>Heather Valenzuela</v>
      </c>
      <c r="D1264" s="22" t="str">
        <f>VLOOKUP(B1264,Customer[#ALL],6)</f>
        <v>Female</v>
      </c>
      <c r="E1264" s="23">
        <f>Sales[Order_Date]</f>
        <v>45609</v>
      </c>
      <c r="F1264" s="21" t="str">
        <f>Sales[Store_ID]</f>
        <v>STORE5</v>
      </c>
      <c r="G1264" s="21" t="str">
        <f t="array" ref="G1264">INDEX(Store[Store_Name],MATCH(F1264,Store[Store_ID],0))</f>
        <v>Gray Ltd</v>
      </c>
      <c r="H1264" s="21" t="str">
        <f>Sales[Product_ID]</f>
        <v>PROD50</v>
      </c>
      <c r="I1264" s="21" t="str">
        <f>VLOOKUP(H1264,Products[],2)</f>
        <v>Boxing Hand Wraps</v>
      </c>
      <c r="J1264" s="24">
        <f>Sales[Total_Amount]</f>
        <v>1042.491</v>
      </c>
      <c r="K1264" s="21" t="str">
        <f t="shared" si="1"/>
        <v>Nov</v>
      </c>
      <c r="L1264" s="21">
        <f t="shared" si="2"/>
        <v>2024</v>
      </c>
      <c r="N1264" s="33"/>
      <c r="O1264" s="34"/>
    </row>
    <row r="1265" ht="22.5" customHeight="1">
      <c r="A1265" s="21" t="s">
        <v>3230</v>
      </c>
      <c r="B1265" s="21" t="s">
        <v>1430</v>
      </c>
      <c r="C1265" s="21" t="str">
        <f t="array" ref="C1265">XLOOKUP(B1265,Customer[Customer_ID],Customer[Name(Cleaned)])</f>
        <v>Kelly Garrett</v>
      </c>
      <c r="D1265" s="22" t="str">
        <f>VLOOKUP(B1265,Customer[#ALL],6)</f>
        <v>Male</v>
      </c>
      <c r="E1265" s="23">
        <f>Sales[Order_Date]</f>
        <v>45309</v>
      </c>
      <c r="F1265" s="21" t="str">
        <f>Sales[Store_ID]</f>
        <v>STORE14</v>
      </c>
      <c r="G1265" s="21" t="str">
        <f t="array" ref="G1265">INDEX(Store[Store_Name],MATCH(F1265,Store[Store_ID],0))</f>
        <v>Mcdonald Inc</v>
      </c>
      <c r="H1265" s="21" t="str">
        <f>Sales[Product_ID]</f>
        <v>PROD2</v>
      </c>
      <c r="I1265" s="21" t="str">
        <f>VLOOKUP(H1265,Products[],2)</f>
        <v>Knee Support Brace</v>
      </c>
      <c r="J1265" s="24">
        <f>Sales[Total_Amount]</f>
        <v>2799.072</v>
      </c>
      <c r="K1265" s="21" t="str">
        <f t="shared" si="1"/>
        <v>Jan</v>
      </c>
      <c r="L1265" s="21">
        <f t="shared" si="2"/>
        <v>2024</v>
      </c>
      <c r="N1265" s="33"/>
      <c r="O1265" s="34"/>
    </row>
    <row r="1266" ht="22.5" customHeight="1">
      <c r="A1266" s="21" t="s">
        <v>3231</v>
      </c>
      <c r="B1266" s="21" t="s">
        <v>145</v>
      </c>
      <c r="C1266" s="21" t="str">
        <f t="array" ref="C1266">XLOOKUP(B1266,Customer[Customer_ID],Customer[Name(Cleaned)])</f>
        <v>Christopher Olson</v>
      </c>
      <c r="D1266" s="22" t="str">
        <f>VLOOKUP(B1266,Customer[#ALL],6)</f>
        <v>Male</v>
      </c>
      <c r="E1266" s="23">
        <f>Sales[Order_Date]</f>
        <v>45519</v>
      </c>
      <c r="F1266" s="21" t="str">
        <f>Sales[Store_ID]</f>
        <v>STORE7</v>
      </c>
      <c r="G1266" s="21" t="str">
        <f t="array" ref="G1266">INDEX(Store[Store_Name],MATCH(F1266,Store[Store_ID],0))</f>
        <v>Martinez-Mullins</v>
      </c>
      <c r="H1266" s="21" t="str">
        <f>Sales[Product_ID]</f>
        <v>PROD28</v>
      </c>
      <c r="I1266" s="21" t="str">
        <f>VLOOKUP(H1266,Products[],2)</f>
        <v>Sports Stopwatch Timer</v>
      </c>
      <c r="J1266" s="24">
        <f>Sales[Total_Amount]</f>
        <v>2495.4744</v>
      </c>
      <c r="K1266" s="21" t="str">
        <f t="shared" si="1"/>
        <v>Aug</v>
      </c>
      <c r="L1266" s="21">
        <f t="shared" si="2"/>
        <v>2024</v>
      </c>
      <c r="N1266" s="33"/>
      <c r="O1266" s="34"/>
    </row>
    <row r="1267" ht="22.5" customHeight="1">
      <c r="A1267" s="21" t="s">
        <v>3232</v>
      </c>
      <c r="B1267" s="21" t="s">
        <v>322</v>
      </c>
      <c r="C1267" s="21" t="str">
        <f t="array" ref="C1267">XLOOKUP(B1267,Customer[Customer_ID],Customer[Name(Cleaned)])</f>
        <v>Melissa Duffy Md</v>
      </c>
      <c r="D1267" s="22" t="str">
        <f>VLOOKUP(B1267,Customer[#ALL],6)</f>
        <v>Male</v>
      </c>
      <c r="E1267" s="23">
        <f>Sales[Order_Date]</f>
        <v>45921</v>
      </c>
      <c r="F1267" s="21" t="str">
        <f>Sales[Store_ID]</f>
        <v>STORE9</v>
      </c>
      <c r="G1267" s="21" t="str">
        <f t="array" ref="G1267">INDEX(Store[Store_Name],MATCH(F1267,Store[Store_ID],0))</f>
        <v>Moore, Padilla and Butler</v>
      </c>
      <c r="H1267" s="21" t="str">
        <f>Sales[Product_ID]</f>
        <v>PROD8</v>
      </c>
      <c r="I1267" s="21" t="str">
        <f>VLOOKUP(H1267,Products[],2)</f>
        <v>Decorative Lamp Shade</v>
      </c>
      <c r="J1267" s="24">
        <f>Sales[Total_Amount]</f>
        <v>96.25</v>
      </c>
      <c r="K1267" s="21" t="str">
        <f t="shared" si="1"/>
        <v>Sep</v>
      </c>
      <c r="L1267" s="21">
        <f t="shared" si="2"/>
        <v>2025</v>
      </c>
      <c r="N1267" s="33"/>
      <c r="O1267" s="34"/>
    </row>
    <row r="1268" ht="22.5" customHeight="1">
      <c r="A1268" s="21" t="s">
        <v>3233</v>
      </c>
      <c r="B1268" s="21" t="s">
        <v>450</v>
      </c>
      <c r="C1268" s="21" t="str">
        <f t="array" ref="C1268">XLOOKUP(B1268,Customer[Customer_ID],Customer[Name(Cleaned)])</f>
        <v>Susan Mcdonald</v>
      </c>
      <c r="D1268" s="22" t="str">
        <f>VLOOKUP(B1268,Customer[#ALL],6)</f>
        <v>Female</v>
      </c>
      <c r="E1268" s="23">
        <f>Sales[Order_Date]</f>
        <v>45465</v>
      </c>
      <c r="F1268" s="21" t="str">
        <f>Sales[Store_ID]</f>
        <v>STORE15</v>
      </c>
      <c r="G1268" s="21" t="str">
        <f t="array" ref="G1268">INDEX(Store[Store_Name],MATCH(F1268,Store[Store_ID],0))</f>
        <v>Shelton PLC</v>
      </c>
      <c r="H1268" s="21" t="str">
        <f>Sales[Product_ID]</f>
        <v>PROD10</v>
      </c>
      <c r="I1268" s="21" t="str">
        <f>VLOOKUP(H1268,Products[],2)</f>
        <v>Men's Graphic T-Shirt</v>
      </c>
      <c r="J1268" s="24">
        <f>Sales[Total_Amount]</f>
        <v>346.38</v>
      </c>
      <c r="K1268" s="21" t="str">
        <f t="shared" si="1"/>
        <v>Jun</v>
      </c>
      <c r="L1268" s="21">
        <f t="shared" si="2"/>
        <v>2024</v>
      </c>
      <c r="N1268" s="33"/>
      <c r="O1268" s="34"/>
    </row>
    <row r="1269" ht="22.5" customHeight="1">
      <c r="A1269" s="21" t="s">
        <v>3234</v>
      </c>
      <c r="B1269" s="21" t="s">
        <v>733</v>
      </c>
      <c r="C1269" s="21" t="str">
        <f t="array" ref="C1269">XLOOKUP(B1269,Customer[Customer_ID],Customer[Name(Cleaned)])</f>
        <v>Alejandro Doyle</v>
      </c>
      <c r="D1269" s="22" t="str">
        <f>VLOOKUP(B1269,Customer[#ALL],6)</f>
        <v>Female</v>
      </c>
      <c r="E1269" s="23">
        <f>Sales[Order_Date]</f>
        <v>45303</v>
      </c>
      <c r="F1269" s="21" t="str">
        <f>Sales[Store_ID]</f>
        <v>STORE6</v>
      </c>
      <c r="G1269" s="21" t="str">
        <f t="array" ref="G1269">INDEX(Store[Store_Name],MATCH(F1269,Store[Store_ID],0))</f>
        <v>Benson-Elliott</v>
      </c>
      <c r="H1269" s="21" t="str">
        <f>Sales[Product_ID]</f>
        <v>PROD46</v>
      </c>
      <c r="I1269" s="21" t="str">
        <f>VLOOKUP(H1269,Products[],2)</f>
        <v>Men's Winter Jacket</v>
      </c>
      <c r="J1269" s="24">
        <f>Sales[Total_Amount]</f>
        <v>1032.36</v>
      </c>
      <c r="K1269" s="21" t="str">
        <f t="shared" si="1"/>
        <v>Jan</v>
      </c>
      <c r="L1269" s="21">
        <f t="shared" si="2"/>
        <v>2024</v>
      </c>
      <c r="N1269" s="33"/>
      <c r="O1269" s="34"/>
    </row>
    <row r="1270" ht="22.5" customHeight="1">
      <c r="A1270" s="21" t="s">
        <v>3235</v>
      </c>
      <c r="B1270" s="21" t="s">
        <v>1095</v>
      </c>
      <c r="C1270" s="21" t="str">
        <f t="array" ref="C1270">XLOOKUP(B1270,Customer[Customer_ID],Customer[Name(Cleaned)])</f>
        <v>Evelyn Brown</v>
      </c>
      <c r="D1270" s="22" t="str">
        <f>VLOOKUP(B1270,Customer[#ALL],6)</f>
        <v>Female</v>
      </c>
      <c r="E1270" s="23">
        <f>Sales[Order_Date]</f>
        <v>45215</v>
      </c>
      <c r="F1270" s="21" t="str">
        <f>Sales[Store_ID]</f>
        <v>STORE1</v>
      </c>
      <c r="G1270" s="21" t="str">
        <f t="array" ref="G1270">INDEX(Store[Store_Name],MATCH(F1270,Store[Store_ID],0))</f>
        <v>Martinez, Adkins and Johnson</v>
      </c>
      <c r="H1270" s="21" t="str">
        <f>Sales[Product_ID]</f>
        <v>PROD79</v>
      </c>
      <c r="I1270" s="21" t="str">
        <f>VLOOKUP(H1270,Products[],2)</f>
        <v>Decorative Lamp Shade</v>
      </c>
      <c r="J1270" s="24">
        <f>Sales[Total_Amount]</f>
        <v>2148.1212</v>
      </c>
      <c r="K1270" s="21" t="str">
        <f t="shared" si="1"/>
        <v>Oct</v>
      </c>
      <c r="L1270" s="21">
        <f t="shared" si="2"/>
        <v>2023</v>
      </c>
      <c r="N1270" s="33"/>
      <c r="O1270" s="34"/>
    </row>
    <row r="1271" ht="22.5" customHeight="1">
      <c r="A1271" s="21" t="s">
        <v>3236</v>
      </c>
      <c r="B1271" s="21" t="s">
        <v>189</v>
      </c>
      <c r="C1271" s="21" t="str">
        <f t="array" ref="C1271">XLOOKUP(B1271,Customer[Customer_ID],Customer[Name(Cleaned)])</f>
        <v>Gina Knight</v>
      </c>
      <c r="D1271" s="22" t="str">
        <f>VLOOKUP(B1271,Customer[#ALL],6)</f>
        <v>Male</v>
      </c>
      <c r="E1271" s="23">
        <f>Sales[Order_Date]</f>
        <v>45218</v>
      </c>
      <c r="F1271" s="21" t="str">
        <f>Sales[Store_ID]</f>
        <v>STORE19</v>
      </c>
      <c r="G1271" s="21" t="str">
        <f t="array" ref="G1271">INDEX(Store[Store_Name],MATCH(F1271,Store[Store_ID],0))</f>
        <v>Mann-Austin</v>
      </c>
      <c r="H1271" s="21" t="str">
        <f>Sales[Product_ID]</f>
        <v>PROD17</v>
      </c>
      <c r="I1271" s="21" t="str">
        <f>VLOOKUP(H1271,Products[],2)</f>
        <v>Soccer Training Cone Set</v>
      </c>
      <c r="J1271" s="24">
        <f>Sales[Total_Amount]</f>
        <v>2724.4035</v>
      </c>
      <c r="K1271" s="21" t="str">
        <f t="shared" si="1"/>
        <v>Oct</v>
      </c>
      <c r="L1271" s="21">
        <f t="shared" si="2"/>
        <v>2023</v>
      </c>
      <c r="N1271" s="33"/>
      <c r="O1271" s="34"/>
    </row>
    <row r="1272" ht="22.5" customHeight="1">
      <c r="A1272" s="21" t="s">
        <v>3237</v>
      </c>
      <c r="B1272" s="21" t="s">
        <v>516</v>
      </c>
      <c r="C1272" s="21" t="str">
        <f t="array" ref="C1272">XLOOKUP(B1272,Customer[Customer_ID],Customer[Name(Cleaned)])</f>
        <v>Stephanie Conway</v>
      </c>
      <c r="D1272" s="22" t="str">
        <f>VLOOKUP(B1272,Customer[#ALL],6)</f>
        <v>Female</v>
      </c>
      <c r="E1272" s="23">
        <f>Sales[Order_Date]</f>
        <v>45727</v>
      </c>
      <c r="F1272" s="21" t="str">
        <f>Sales[Store_ID]</f>
        <v>STORE15</v>
      </c>
      <c r="G1272" s="21" t="str">
        <f t="array" ref="G1272">INDEX(Store[Store_Name],MATCH(F1272,Store[Store_ID],0))</f>
        <v>Shelton PLC</v>
      </c>
      <c r="H1272" s="21" t="str">
        <f>Sales[Product_ID]</f>
        <v>PROD11</v>
      </c>
      <c r="I1272" s="21" t="str">
        <f>VLOOKUP(H1272,Products[],2)</f>
        <v>Men's Graphic T-Shirt</v>
      </c>
      <c r="J1272" s="24">
        <f>Sales[Total_Amount]</f>
        <v>339.3756</v>
      </c>
      <c r="K1272" s="21" t="str">
        <f t="shared" si="1"/>
        <v>Mar</v>
      </c>
      <c r="L1272" s="21">
        <f t="shared" si="2"/>
        <v>2025</v>
      </c>
      <c r="N1272" s="33"/>
      <c r="O1272" s="34"/>
    </row>
    <row r="1273" ht="22.5" customHeight="1">
      <c r="A1273" s="21" t="s">
        <v>3238</v>
      </c>
      <c r="B1273" s="21" t="s">
        <v>730</v>
      </c>
      <c r="C1273" s="21" t="str">
        <f t="array" ref="C1273">XLOOKUP(B1273,Customer[Customer_ID],Customer[Name(Cleaned)])</f>
        <v>Lisa Young</v>
      </c>
      <c r="D1273" s="22" t="str">
        <f>VLOOKUP(B1273,Customer[#ALL],6)</f>
        <v>Female</v>
      </c>
      <c r="E1273" s="23">
        <f>Sales[Order_Date]</f>
        <v>45557</v>
      </c>
      <c r="F1273" s="21" t="str">
        <f>Sales[Store_ID]</f>
        <v>STORE10</v>
      </c>
      <c r="G1273" s="21" t="str">
        <f t="array" ref="G1273">INDEX(Store[Store_Name],MATCH(F1273,Store[Store_ID],0))</f>
        <v>Hill, Wagner and Ballard</v>
      </c>
      <c r="H1273" s="21" t="str">
        <f>Sales[Product_ID]</f>
        <v>PROD68</v>
      </c>
      <c r="I1273" s="21" t="str">
        <f>VLOOKUP(H1273,Products[],2)</f>
        <v>Wooden Nightstand</v>
      </c>
      <c r="J1273" s="24">
        <f>Sales[Total_Amount]</f>
        <v>1205.3328</v>
      </c>
      <c r="K1273" s="21" t="str">
        <f t="shared" si="1"/>
        <v>Sep</v>
      </c>
      <c r="L1273" s="21">
        <f t="shared" si="2"/>
        <v>2024</v>
      </c>
      <c r="N1273" s="33"/>
      <c r="O1273" s="34"/>
    </row>
    <row r="1274" ht="22.5" customHeight="1">
      <c r="A1274" s="21" t="s">
        <v>3239</v>
      </c>
      <c r="B1274" s="21" t="s">
        <v>122</v>
      </c>
      <c r="C1274" s="21" t="str">
        <f t="array" ref="C1274">XLOOKUP(B1274,Customer[Customer_ID],Customer[Name(Cleaned)])</f>
        <v>Leslie Johnson</v>
      </c>
      <c r="D1274" s="22" t="str">
        <f>VLOOKUP(B1274,Customer[#ALL],6)</f>
        <v>Female</v>
      </c>
      <c r="E1274" s="23">
        <f>Sales[Order_Date]</f>
        <v>45623</v>
      </c>
      <c r="F1274" s="21" t="str">
        <f>Sales[Store_ID]</f>
        <v>STORE19</v>
      </c>
      <c r="G1274" s="21" t="str">
        <f t="array" ref="G1274">INDEX(Store[Store_Name],MATCH(F1274,Store[Store_ID],0))</f>
        <v>Mann-Austin</v>
      </c>
      <c r="H1274" s="21" t="str">
        <f>Sales[Product_ID]</f>
        <v>PROD24</v>
      </c>
      <c r="I1274" s="21" t="str">
        <f>VLOOKUP(H1274,Products[],2)</f>
        <v>Foldable Camping Chair</v>
      </c>
      <c r="J1274" s="24">
        <f>Sales[Total_Amount]</f>
        <v>2312.2569</v>
      </c>
      <c r="K1274" s="21" t="str">
        <f t="shared" si="1"/>
        <v>Nov</v>
      </c>
      <c r="L1274" s="21">
        <f t="shared" si="2"/>
        <v>2024</v>
      </c>
      <c r="N1274" s="33"/>
      <c r="O1274" s="34"/>
    </row>
    <row r="1275" ht="22.5" customHeight="1">
      <c r="A1275" s="21" t="s">
        <v>3240</v>
      </c>
      <c r="B1275" s="21" t="s">
        <v>74</v>
      </c>
      <c r="C1275" s="21" t="str">
        <f t="array" ref="C1275">XLOOKUP(B1275,Customer[Customer_ID],Customer[Name(Cleaned)])</f>
        <v>Ashley Cohen</v>
      </c>
      <c r="D1275" s="22" t="str">
        <f>VLOOKUP(B1275,Customer[#ALL],6)</f>
        <v>Male</v>
      </c>
      <c r="E1275" s="23">
        <f>Sales[Order_Date]</f>
        <v>45224</v>
      </c>
      <c r="F1275" s="21" t="str">
        <f>Sales[Store_ID]</f>
        <v>STORE9</v>
      </c>
      <c r="G1275" s="21" t="str">
        <f t="array" ref="G1275">INDEX(Store[Store_Name],MATCH(F1275,Store[Store_ID],0))</f>
        <v>Moore, Padilla and Butler</v>
      </c>
      <c r="H1275" s="21" t="str">
        <f>Sales[Product_ID]</f>
        <v>PROD26</v>
      </c>
      <c r="I1275" s="21" t="str">
        <f>VLOOKUP(H1275,Products[],2)</f>
        <v>Wireless Bluetooth Speaker</v>
      </c>
      <c r="J1275" s="24">
        <f>Sales[Total_Amount]</f>
        <v>817.155</v>
      </c>
      <c r="K1275" s="21" t="str">
        <f t="shared" si="1"/>
        <v>Oct</v>
      </c>
      <c r="L1275" s="21">
        <f t="shared" si="2"/>
        <v>2023</v>
      </c>
      <c r="N1275" s="33"/>
      <c r="O1275" s="34"/>
    </row>
    <row r="1276" ht="22.5" customHeight="1">
      <c r="A1276" s="21" t="s">
        <v>3241</v>
      </c>
      <c r="B1276" s="21" t="s">
        <v>926</v>
      </c>
      <c r="C1276" s="21" t="str">
        <f t="array" ref="C1276">XLOOKUP(B1276,Customer[Customer_ID],Customer[Name(Cleaned)])</f>
        <v>Cynthia Roberts</v>
      </c>
      <c r="D1276" s="22" t="str">
        <f>VLOOKUP(B1276,Customer[#ALL],6)</f>
        <v>Male</v>
      </c>
      <c r="E1276" s="23">
        <f>Sales[Order_Date]</f>
        <v>45940</v>
      </c>
      <c r="F1276" s="21" t="str">
        <f>Sales[Store_ID]</f>
        <v>STORE0</v>
      </c>
      <c r="G1276" s="21" t="str">
        <f t="array" ref="G1276">INDEX(Store[Store_Name],MATCH(F1276,Store[Store_ID],0))</f>
        <v>Rivera-Warner</v>
      </c>
      <c r="H1276" s="21" t="str">
        <f>Sales[Product_ID]</f>
        <v>PROD50</v>
      </c>
      <c r="I1276" s="21" t="str">
        <f>VLOOKUP(H1276,Products[],2)</f>
        <v>Boxing Hand Wraps</v>
      </c>
      <c r="J1276" s="24">
        <f>Sales[Total_Amount]</f>
        <v>1083.7284</v>
      </c>
      <c r="K1276" s="21" t="str">
        <f t="shared" si="1"/>
        <v>Oct</v>
      </c>
      <c r="L1276" s="21">
        <f t="shared" si="2"/>
        <v>2025</v>
      </c>
      <c r="N1276" s="33"/>
      <c r="O1276" s="34"/>
    </row>
    <row r="1277" ht="22.5" customHeight="1">
      <c r="A1277" s="21" t="s">
        <v>3242</v>
      </c>
      <c r="B1277" s="21" t="s">
        <v>235</v>
      </c>
      <c r="C1277" s="21" t="str">
        <f t="array" ref="C1277">XLOOKUP(B1277,Customer[Customer_ID],Customer[Name(Cleaned)])</f>
        <v>Kristin Stein</v>
      </c>
      <c r="D1277" s="22" t="str">
        <f>VLOOKUP(B1277,Customer[#ALL],6)</f>
        <v>Female</v>
      </c>
      <c r="E1277" s="23">
        <f>Sales[Order_Date]</f>
        <v>45915</v>
      </c>
      <c r="F1277" s="21" t="str">
        <f>Sales[Store_ID]</f>
        <v>STORE8</v>
      </c>
      <c r="G1277" s="21" t="str">
        <f t="array" ref="G1277">INDEX(Store[Store_Name],MATCH(F1277,Store[Store_ID],0))</f>
        <v>Bean, Jones and Park</v>
      </c>
      <c r="H1277" s="21" t="str">
        <f>Sales[Product_ID]</f>
        <v>PROD51</v>
      </c>
      <c r="I1277" s="21" t="str">
        <f>VLOOKUP(H1277,Products[],2)</f>
        <v>HDMI Cable – 2m</v>
      </c>
      <c r="J1277" s="24">
        <f>Sales[Total_Amount]</f>
        <v>1321.9596</v>
      </c>
      <c r="K1277" s="21" t="str">
        <f t="shared" si="1"/>
        <v>Sep</v>
      </c>
      <c r="L1277" s="21">
        <f t="shared" si="2"/>
        <v>2025</v>
      </c>
      <c r="N1277" s="33"/>
      <c r="O1277" s="34"/>
    </row>
    <row r="1278" ht="22.5" customHeight="1">
      <c r="A1278" s="21" t="s">
        <v>3243</v>
      </c>
      <c r="B1278" s="21" t="s">
        <v>213</v>
      </c>
      <c r="C1278" s="21" t="str">
        <f t="array" ref="C1278">XLOOKUP(B1278,Customer[Customer_ID],Customer[Name(Cleaned)])</f>
        <v>Katherine Dorsey</v>
      </c>
      <c r="D1278" s="22" t="str">
        <f>VLOOKUP(B1278,Customer[#ALL],6)</f>
        <v>Female</v>
      </c>
      <c r="E1278" s="23">
        <f>Sales[Order_Date]</f>
        <v>45541</v>
      </c>
      <c r="F1278" s="21" t="str">
        <f>Sales[Store_ID]</f>
        <v>STORE15</v>
      </c>
      <c r="G1278" s="21" t="str">
        <f t="array" ref="G1278">INDEX(Store[Store_Name],MATCH(F1278,Store[Store_ID],0))</f>
        <v>Shelton PLC</v>
      </c>
      <c r="H1278" s="21" t="str">
        <f>Sales[Product_ID]</f>
        <v>PROD15</v>
      </c>
      <c r="I1278" s="21" t="str">
        <f>VLOOKUP(H1278,Products[],2)</f>
        <v>4K Home Projector</v>
      </c>
      <c r="J1278" s="24">
        <f>Sales[Total_Amount]</f>
        <v>437.3772</v>
      </c>
      <c r="K1278" s="21" t="str">
        <f t="shared" si="1"/>
        <v>Sep</v>
      </c>
      <c r="L1278" s="21">
        <f t="shared" si="2"/>
        <v>2024</v>
      </c>
      <c r="N1278" s="33"/>
      <c r="O1278" s="34"/>
    </row>
    <row r="1279" ht="22.5" customHeight="1">
      <c r="A1279" s="21" t="s">
        <v>3244</v>
      </c>
      <c r="B1279" s="21" t="s">
        <v>1179</v>
      </c>
      <c r="C1279" s="21" t="str">
        <f t="array" ref="C1279">XLOOKUP(B1279,Customer[Customer_ID],Customer[Name(Cleaned)])</f>
        <v>Jacqueline Anthony</v>
      </c>
      <c r="D1279" s="22" t="str">
        <f>VLOOKUP(B1279,Customer[#ALL],6)</f>
        <v>Female</v>
      </c>
      <c r="E1279" s="23">
        <f>Sales[Order_Date]</f>
        <v>45489</v>
      </c>
      <c r="F1279" s="21" t="str">
        <f>Sales[Store_ID]</f>
        <v>STORE3</v>
      </c>
      <c r="G1279" s="21" t="str">
        <f t="array" ref="G1279">INDEX(Store[Store_Name],MATCH(F1279,Store[Store_ID],0))</f>
        <v>Johnson-Wright</v>
      </c>
      <c r="H1279" s="21" t="str">
        <f>Sales[Product_ID]</f>
        <v>PROD50</v>
      </c>
      <c r="I1279" s="21" t="str">
        <f>VLOOKUP(H1279,Products[],2)</f>
        <v>Boxing Hand Wraps</v>
      </c>
      <c r="J1279" s="24">
        <f>Sales[Total_Amount]</f>
        <v>148.3002</v>
      </c>
      <c r="K1279" s="21" t="str">
        <f t="shared" si="1"/>
        <v>Jul</v>
      </c>
      <c r="L1279" s="21">
        <f t="shared" si="2"/>
        <v>2024</v>
      </c>
      <c r="N1279" s="33"/>
      <c r="O1279" s="34"/>
    </row>
    <row r="1280" ht="22.5" customHeight="1">
      <c r="A1280" s="21" t="s">
        <v>3245</v>
      </c>
      <c r="B1280" s="21" t="s">
        <v>999</v>
      </c>
      <c r="C1280" s="21" t="str">
        <f t="array" ref="C1280">XLOOKUP(B1280,Customer[Customer_ID],Customer[Name(Cleaned)])</f>
        <v>Jason Mullins</v>
      </c>
      <c r="D1280" s="22" t="str">
        <f>VLOOKUP(B1280,Customer[#ALL],6)</f>
        <v>Male</v>
      </c>
      <c r="E1280" s="23">
        <f>Sales[Order_Date]</f>
        <v>45748</v>
      </c>
      <c r="F1280" s="21" t="str">
        <f>Sales[Store_ID]</f>
        <v>STORE13</v>
      </c>
      <c r="G1280" s="21" t="str">
        <f t="array" ref="G1280">INDEX(Store[Store_Name],MATCH(F1280,Store[Store_ID],0))</f>
        <v>Gardner, Humphrey and Contreras</v>
      </c>
      <c r="H1280" s="21" t="str">
        <f>Sales[Product_ID]</f>
        <v>PROD27</v>
      </c>
      <c r="I1280" s="21" t="str">
        <f>VLOOKUP(H1280,Products[],2)</f>
        <v>Decorative Floor Vase</v>
      </c>
      <c r="J1280" s="24">
        <f>Sales[Total_Amount]</f>
        <v>833.684</v>
      </c>
      <c r="K1280" s="21" t="str">
        <f t="shared" si="1"/>
        <v>Apr</v>
      </c>
      <c r="L1280" s="21">
        <f t="shared" si="2"/>
        <v>2025</v>
      </c>
      <c r="N1280" s="33"/>
      <c r="O1280" s="34"/>
    </row>
    <row r="1281" ht="22.5" customHeight="1">
      <c r="A1281" s="21" t="s">
        <v>3246</v>
      </c>
      <c r="B1281" s="21" t="s">
        <v>720</v>
      </c>
      <c r="C1281" s="21" t="str">
        <f t="array" ref="C1281">XLOOKUP(B1281,Customer[Customer_ID],Customer[Name(Cleaned)])</f>
        <v>Julia Jackson</v>
      </c>
      <c r="D1281" s="22" t="str">
        <f>VLOOKUP(B1281,Customer[#ALL],6)</f>
        <v>Female</v>
      </c>
      <c r="E1281" s="23">
        <f>Sales[Order_Date]</f>
        <v>45878</v>
      </c>
      <c r="F1281" s="21" t="str">
        <f>Sales[Store_ID]</f>
        <v>STORE3</v>
      </c>
      <c r="G1281" s="21" t="str">
        <f t="array" ref="G1281">INDEX(Store[Store_Name],MATCH(F1281,Store[Store_ID],0))</f>
        <v>Johnson-Wright</v>
      </c>
      <c r="H1281" s="21" t="str">
        <f>Sales[Product_ID]</f>
        <v>PROD16</v>
      </c>
      <c r="I1281" s="21" t="str">
        <f>VLOOKUP(H1281,Products[],2)</f>
        <v>Beard Grooming Kit</v>
      </c>
      <c r="J1281" s="24">
        <f>Sales[Total_Amount]</f>
        <v>354.3264</v>
      </c>
      <c r="K1281" s="21" t="str">
        <f t="shared" si="1"/>
        <v>Aug</v>
      </c>
      <c r="L1281" s="21">
        <f t="shared" si="2"/>
        <v>2025</v>
      </c>
      <c r="N1281" s="33"/>
      <c r="O1281" s="34"/>
    </row>
    <row r="1282" ht="22.5" customHeight="1">
      <c r="A1282" s="21" t="s">
        <v>3247</v>
      </c>
      <c r="B1282" s="21" t="s">
        <v>142</v>
      </c>
      <c r="C1282" s="21" t="str">
        <f t="array" ref="C1282">XLOOKUP(B1282,Customer[Customer_ID],Customer[Name(Cleaned)])</f>
        <v>Robert Jones Dds</v>
      </c>
      <c r="D1282" s="22" t="str">
        <f>VLOOKUP(B1282,Customer[#ALL],6)</f>
        <v>Female</v>
      </c>
      <c r="E1282" s="23">
        <f>Sales[Order_Date]</f>
        <v>45309</v>
      </c>
      <c r="F1282" s="21" t="str">
        <f>Sales[Store_ID]</f>
        <v>STORE18</v>
      </c>
      <c r="G1282" s="21" t="str">
        <f t="array" ref="G1282">INDEX(Store[Store_Name],MATCH(F1282,Store[Store_ID],0))</f>
        <v>Guerrero-Schmitt</v>
      </c>
      <c r="H1282" s="21" t="str">
        <f>Sales[Product_ID]</f>
        <v>PROD80</v>
      </c>
      <c r="I1282" s="21" t="str">
        <f>VLOOKUP(H1282,Products[],2)</f>
        <v>Wall-Mounted Spice Rack</v>
      </c>
      <c r="J1282" s="24">
        <f>Sales[Total_Amount]</f>
        <v>1589.3952</v>
      </c>
      <c r="K1282" s="21" t="str">
        <f t="shared" si="1"/>
        <v>Jan</v>
      </c>
      <c r="L1282" s="21">
        <f t="shared" si="2"/>
        <v>2024</v>
      </c>
      <c r="N1282" s="33"/>
      <c r="O1282" s="34"/>
    </row>
    <row r="1283" ht="22.5" customHeight="1">
      <c r="A1283" s="21" t="s">
        <v>3248</v>
      </c>
      <c r="B1283" s="21" t="s">
        <v>708</v>
      </c>
      <c r="C1283" s="21" t="str">
        <f t="array" ref="C1283">XLOOKUP(B1283,Customer[Customer_ID],Customer[Name(Cleaned)])</f>
        <v>Eric Todd</v>
      </c>
      <c r="D1283" s="22" t="str">
        <f>VLOOKUP(B1283,Customer[#ALL],6)</f>
        <v>Female</v>
      </c>
      <c r="E1283" s="23">
        <f>Sales[Order_Date]</f>
        <v>45621</v>
      </c>
      <c r="F1283" s="21" t="str">
        <f>Sales[Store_ID]</f>
        <v>STORE18</v>
      </c>
      <c r="G1283" s="21" t="str">
        <f t="array" ref="G1283">INDEX(Store[Store_Name],MATCH(F1283,Store[Store_ID],0))</f>
        <v>Guerrero-Schmitt</v>
      </c>
      <c r="H1283" s="21" t="str">
        <f>Sales[Product_ID]</f>
        <v>PROD12</v>
      </c>
      <c r="I1283" s="21" t="str">
        <f>VLOOKUP(H1283,Products[],2)</f>
        <v>Hair Strengthening Shampoo</v>
      </c>
      <c r="J1283" s="24">
        <f>Sales[Total_Amount]</f>
        <v>2317.1544</v>
      </c>
      <c r="K1283" s="21" t="str">
        <f t="shared" si="1"/>
        <v>Nov</v>
      </c>
      <c r="L1283" s="21">
        <f t="shared" si="2"/>
        <v>2024</v>
      </c>
      <c r="N1283" s="33"/>
      <c r="O1283" s="34"/>
    </row>
    <row r="1284" ht="22.5" customHeight="1">
      <c r="A1284" s="21" t="s">
        <v>3249</v>
      </c>
      <c r="B1284" s="21" t="s">
        <v>836</v>
      </c>
      <c r="C1284" s="21" t="str">
        <f t="array" ref="C1284">XLOOKUP(B1284,Customer[Customer_ID],Customer[Name(Cleaned)])</f>
        <v>Christopher David</v>
      </c>
      <c r="D1284" s="22" t="str">
        <f>VLOOKUP(B1284,Customer[#ALL],6)</f>
        <v>Female</v>
      </c>
      <c r="E1284" s="23">
        <f>Sales[Order_Date]</f>
        <v>45603</v>
      </c>
      <c r="F1284" s="21" t="str">
        <f>Sales[Store_ID]</f>
        <v>STORE9</v>
      </c>
      <c r="G1284" s="21" t="str">
        <f t="array" ref="G1284">INDEX(Store[Store_Name],MATCH(F1284,Store[Store_ID],0))</f>
        <v>Moore, Padilla and Butler</v>
      </c>
      <c r="H1284" s="21" t="str">
        <f>Sales[Product_ID]</f>
        <v>PROD57</v>
      </c>
      <c r="I1284" s="21" t="str">
        <f>VLOOKUP(H1284,Products[],2)</f>
        <v>Foam Roller</v>
      </c>
      <c r="J1284" s="24">
        <f>Sales[Total_Amount]</f>
        <v>1446.1376</v>
      </c>
      <c r="K1284" s="21" t="str">
        <f t="shared" si="1"/>
        <v>Nov</v>
      </c>
      <c r="L1284" s="21">
        <f t="shared" si="2"/>
        <v>2024</v>
      </c>
      <c r="N1284" s="33"/>
      <c r="O1284" s="34"/>
    </row>
    <row r="1285" ht="22.5" customHeight="1">
      <c r="A1285" s="21" t="s">
        <v>3250</v>
      </c>
      <c r="B1285" s="21" t="s">
        <v>377</v>
      </c>
      <c r="C1285" s="21" t="str">
        <f t="array" ref="C1285">XLOOKUP(B1285,Customer[Customer_ID],Customer[Name(Cleaned)])</f>
        <v>Christopher Lester</v>
      </c>
      <c r="D1285" s="22" t="str">
        <f>VLOOKUP(B1285,Customer[#ALL],6)</f>
        <v>Female</v>
      </c>
      <c r="E1285" s="23">
        <f>Sales[Order_Date]</f>
        <v>45501</v>
      </c>
      <c r="F1285" s="21" t="str">
        <f>Sales[Store_ID]</f>
        <v>STORE12</v>
      </c>
      <c r="G1285" s="21" t="str">
        <f t="array" ref="G1285">INDEX(Store[Store_Name],MATCH(F1285,Store[Store_ID],0))</f>
        <v>Thomas, Bridges and Harris</v>
      </c>
      <c r="H1285" s="21" t="str">
        <f>Sales[Product_ID]</f>
        <v>PROD25</v>
      </c>
      <c r="I1285" s="21" t="str">
        <f>VLOOKUP(H1285,Products[],2)</f>
        <v>Women's Scarf Set</v>
      </c>
      <c r="J1285" s="24">
        <f>Sales[Total_Amount]</f>
        <v>612.1668</v>
      </c>
      <c r="K1285" s="21" t="str">
        <f t="shared" si="1"/>
        <v>Jul</v>
      </c>
      <c r="L1285" s="21">
        <f t="shared" si="2"/>
        <v>2024</v>
      </c>
      <c r="N1285" s="33"/>
      <c r="O1285" s="34"/>
    </row>
    <row r="1286" ht="22.5" customHeight="1">
      <c r="A1286" s="21" t="s">
        <v>3251</v>
      </c>
      <c r="B1286" s="21" t="s">
        <v>809</v>
      </c>
      <c r="C1286" s="21" t="str">
        <f t="array" ref="C1286">XLOOKUP(B1286,Customer[Customer_ID],Customer[Name(Cleaned)])</f>
        <v>Nicholas Webb</v>
      </c>
      <c r="D1286" s="22" t="str">
        <f>VLOOKUP(B1286,Customer[#ALL],6)</f>
        <v>Female</v>
      </c>
      <c r="E1286" s="23">
        <f>Sales[Order_Date]</f>
        <v>45398</v>
      </c>
      <c r="F1286" s="21" t="str">
        <f>Sales[Store_ID]</f>
        <v>STORE8</v>
      </c>
      <c r="G1286" s="21" t="str">
        <f t="array" ref="G1286">INDEX(Store[Store_Name],MATCH(F1286,Store[Store_ID],0))</f>
        <v>Bean, Jones and Park</v>
      </c>
      <c r="H1286" s="21" t="str">
        <f>Sales[Product_ID]</f>
        <v>PROD87</v>
      </c>
      <c r="I1286" s="21" t="str">
        <f>VLOOKUP(H1286,Products[],2)</f>
        <v>LED Bedside Lamp</v>
      </c>
      <c r="J1286" s="24">
        <f>Sales[Total_Amount]</f>
        <v>868.98</v>
      </c>
      <c r="K1286" s="21" t="str">
        <f t="shared" si="1"/>
        <v>Apr</v>
      </c>
      <c r="L1286" s="21">
        <f t="shared" si="2"/>
        <v>2024</v>
      </c>
      <c r="N1286" s="33"/>
      <c r="O1286" s="34"/>
    </row>
    <row r="1287" ht="22.5" customHeight="1">
      <c r="A1287" s="21" t="s">
        <v>3252</v>
      </c>
      <c r="B1287" s="21" t="s">
        <v>788</v>
      </c>
      <c r="C1287" s="21" t="str">
        <f t="array" ref="C1287">XLOOKUP(B1287,Customer[Customer_ID],Customer[Name(Cleaned)])</f>
        <v>Mr. William Horton</v>
      </c>
      <c r="D1287" s="22" t="str">
        <f>VLOOKUP(B1287,Customer[#ALL],6)</f>
        <v>Female</v>
      </c>
      <c r="E1287" s="23">
        <f>Sales[Order_Date]</f>
        <v>45304</v>
      </c>
      <c r="F1287" s="21" t="str">
        <f>Sales[Store_ID]</f>
        <v>STORE15</v>
      </c>
      <c r="G1287" s="21" t="str">
        <f t="array" ref="G1287">INDEX(Store[Store_Name],MATCH(F1287,Store[Store_ID],0))</f>
        <v>Shelton PLC</v>
      </c>
      <c r="H1287" s="21" t="str">
        <f>Sales[Product_ID]</f>
        <v>PROD15</v>
      </c>
      <c r="I1287" s="21" t="str">
        <f>VLOOKUP(H1287,Products[],2)</f>
        <v>4K Home Projector</v>
      </c>
      <c r="J1287" s="24">
        <f>Sales[Total_Amount]</f>
        <v>1492.7882</v>
      </c>
      <c r="K1287" s="21" t="str">
        <f t="shared" si="1"/>
        <v>Jan</v>
      </c>
      <c r="L1287" s="21">
        <f t="shared" si="2"/>
        <v>2024</v>
      </c>
      <c r="N1287" s="33"/>
      <c r="O1287" s="34"/>
    </row>
    <row r="1288" ht="22.5" customHeight="1">
      <c r="A1288" s="21" t="s">
        <v>3253</v>
      </c>
      <c r="B1288" s="21" t="s">
        <v>249</v>
      </c>
      <c r="C1288" s="21" t="str">
        <f t="array" ref="C1288">XLOOKUP(B1288,Customer[Customer_ID],Customer[Name(Cleaned)])</f>
        <v>Michael Thomas</v>
      </c>
      <c r="D1288" s="22" t="str">
        <f>VLOOKUP(B1288,Customer[#ALL],6)</f>
        <v>Male</v>
      </c>
      <c r="E1288" s="23">
        <f>Sales[Order_Date]</f>
        <v>45299</v>
      </c>
      <c r="F1288" s="21" t="str">
        <f>Sales[Store_ID]</f>
        <v>STORE1</v>
      </c>
      <c r="G1288" s="21" t="str">
        <f t="array" ref="G1288">INDEX(Store[Store_Name],MATCH(F1288,Store[Store_ID],0))</f>
        <v>Martinez, Adkins and Johnson</v>
      </c>
      <c r="H1288" s="21" t="str">
        <f>Sales[Product_ID]</f>
        <v>PROD18</v>
      </c>
      <c r="I1288" s="21" t="str">
        <f>VLOOKUP(H1288,Products[],2)</f>
        <v>Women's Denim Jeans</v>
      </c>
      <c r="J1288" s="24">
        <f>Sales[Total_Amount]</f>
        <v>615.3282</v>
      </c>
      <c r="K1288" s="21" t="str">
        <f t="shared" si="1"/>
        <v>Jan</v>
      </c>
      <c r="L1288" s="21">
        <f t="shared" si="2"/>
        <v>2024</v>
      </c>
      <c r="N1288" s="33"/>
      <c r="O1288" s="34"/>
    </row>
    <row r="1289" ht="22.5" customHeight="1">
      <c r="A1289" s="21" t="s">
        <v>3254</v>
      </c>
      <c r="B1289" s="21" t="s">
        <v>561</v>
      </c>
      <c r="C1289" s="21" t="str">
        <f t="array" ref="C1289">XLOOKUP(B1289,Customer[Customer_ID],Customer[Name(Cleaned)])</f>
        <v>Jason Wheeler</v>
      </c>
      <c r="D1289" s="22" t="str">
        <f>VLOOKUP(B1289,Customer[#ALL],6)</f>
        <v>Male</v>
      </c>
      <c r="E1289" s="23">
        <f>Sales[Order_Date]</f>
        <v>45564</v>
      </c>
      <c r="F1289" s="21" t="str">
        <f>Sales[Store_ID]</f>
        <v>STORE0</v>
      </c>
      <c r="G1289" s="21" t="str">
        <f t="array" ref="G1289">INDEX(Store[Store_Name],MATCH(F1289,Store[Store_ID],0))</f>
        <v>Rivera-Warner</v>
      </c>
      <c r="H1289" s="21" t="str">
        <f>Sales[Product_ID]</f>
        <v>PROD27</v>
      </c>
      <c r="I1289" s="21" t="str">
        <f>VLOOKUP(H1289,Products[],2)</f>
        <v>Decorative Floor Vase</v>
      </c>
      <c r="J1289" s="24">
        <f>Sales[Total_Amount]</f>
        <v>414.2592</v>
      </c>
      <c r="K1289" s="21" t="str">
        <f t="shared" si="1"/>
        <v>Sep</v>
      </c>
      <c r="L1289" s="21">
        <f t="shared" si="2"/>
        <v>2024</v>
      </c>
      <c r="N1289" s="33"/>
      <c r="O1289" s="34"/>
    </row>
    <row r="1290" ht="22.5" customHeight="1">
      <c r="A1290" s="21" t="s">
        <v>3255</v>
      </c>
      <c r="B1290" s="21" t="s">
        <v>696</v>
      </c>
      <c r="C1290" s="21" t="str">
        <f t="array" ref="C1290">XLOOKUP(B1290,Customer[Customer_ID],Customer[Name(Cleaned)])</f>
        <v>Antonio Jones</v>
      </c>
      <c r="D1290" s="22" t="str">
        <f>VLOOKUP(B1290,Customer[#ALL],6)</f>
        <v>Female</v>
      </c>
      <c r="E1290" s="23">
        <f>Sales[Order_Date]</f>
        <v>45413</v>
      </c>
      <c r="F1290" s="21" t="str">
        <f>Sales[Store_ID]</f>
        <v>STORE16</v>
      </c>
      <c r="G1290" s="21" t="str">
        <f t="array" ref="G1290">INDEX(Store[Store_Name],MATCH(F1290,Store[Store_ID],0))</f>
        <v>Frederick-Wright</v>
      </c>
      <c r="H1290" s="21" t="str">
        <f>Sales[Product_ID]</f>
        <v>PROD60</v>
      </c>
      <c r="I1290" s="21" t="str">
        <f>VLOOKUP(H1290,Products[],2)</f>
        <v>Luxury Perfume Spray</v>
      </c>
      <c r="J1290" s="24">
        <f>Sales[Total_Amount]</f>
        <v>2019.684</v>
      </c>
      <c r="K1290" s="21" t="str">
        <f t="shared" si="1"/>
        <v>May</v>
      </c>
      <c r="L1290" s="21">
        <f t="shared" si="2"/>
        <v>2024</v>
      </c>
      <c r="N1290" s="33"/>
      <c r="O1290" s="34"/>
    </row>
    <row r="1291" ht="22.5" customHeight="1">
      <c r="A1291" s="21" t="s">
        <v>3256</v>
      </c>
      <c r="B1291" s="21" t="s">
        <v>1311</v>
      </c>
      <c r="C1291" s="21" t="str">
        <f t="array" ref="C1291">XLOOKUP(B1291,Customer[Customer_ID],Customer[Name(Cleaned)])</f>
        <v>Karen King</v>
      </c>
      <c r="D1291" s="22" t="str">
        <f>VLOOKUP(B1291,Customer[#ALL],6)</f>
        <v>Male</v>
      </c>
      <c r="E1291" s="23">
        <f>Sales[Order_Date]</f>
        <v>45480</v>
      </c>
      <c r="F1291" s="21" t="str">
        <f>Sales[Store_ID]</f>
        <v>STORE9</v>
      </c>
      <c r="G1291" s="21" t="str">
        <f t="array" ref="G1291">INDEX(Store[Store_Name],MATCH(F1291,Store[Store_ID],0))</f>
        <v>Moore, Padilla and Butler</v>
      </c>
      <c r="H1291" s="21" t="str">
        <f>Sales[Product_ID]</f>
        <v>PROD41</v>
      </c>
      <c r="I1291" s="21" t="str">
        <f>VLOOKUP(H1291,Products[],2)</f>
        <v>Yoga Exercise Mat</v>
      </c>
      <c r="J1291" s="24">
        <f>Sales[Total_Amount]</f>
        <v>2199.345</v>
      </c>
      <c r="K1291" s="21" t="str">
        <f t="shared" si="1"/>
        <v>Jul</v>
      </c>
      <c r="L1291" s="21">
        <f t="shared" si="2"/>
        <v>2024</v>
      </c>
      <c r="N1291" s="33"/>
      <c r="O1291" s="34"/>
    </row>
    <row r="1292" ht="22.5" customHeight="1">
      <c r="A1292" s="21" t="s">
        <v>3257</v>
      </c>
      <c r="B1292" s="21" t="s">
        <v>318</v>
      </c>
      <c r="C1292" s="21" t="str">
        <f t="array" ref="C1292">XLOOKUP(B1292,Customer[Customer_ID],Customer[Name(Cleaned)])</f>
        <v>Tammy Miller Md</v>
      </c>
      <c r="D1292" s="22" t="str">
        <f>VLOOKUP(B1292,Customer[#ALL],6)</f>
        <v>Male</v>
      </c>
      <c r="E1292" s="23">
        <f>Sales[Order_Date]</f>
        <v>45635</v>
      </c>
      <c r="F1292" s="21" t="str">
        <f>Sales[Store_ID]</f>
        <v>STORE7</v>
      </c>
      <c r="G1292" s="21" t="str">
        <f t="array" ref="G1292">INDEX(Store[Store_Name],MATCH(F1292,Store[Store_ID],0))</f>
        <v>Martinez-Mullins</v>
      </c>
      <c r="H1292" s="21" t="str">
        <f>Sales[Product_ID]</f>
        <v>PROD5</v>
      </c>
      <c r="I1292" s="21" t="str">
        <f>VLOOKUP(H1292,Products[],2)</f>
        <v>Men's Roll-On Perfume</v>
      </c>
      <c r="J1292" s="24">
        <f>Sales[Total_Amount]</f>
        <v>1409.9904</v>
      </c>
      <c r="K1292" s="21" t="str">
        <f t="shared" si="1"/>
        <v>Dec</v>
      </c>
      <c r="L1292" s="21">
        <f t="shared" si="2"/>
        <v>2024</v>
      </c>
      <c r="N1292" s="33"/>
      <c r="O1292" s="34"/>
    </row>
    <row r="1293" ht="22.5" customHeight="1">
      <c r="A1293" s="21" t="s">
        <v>3258</v>
      </c>
      <c r="B1293" s="21" t="s">
        <v>389</v>
      </c>
      <c r="C1293" s="21" t="str">
        <f t="array" ref="C1293">XLOOKUP(B1293,Customer[Customer_ID],Customer[Name(Cleaned)])</f>
        <v>Travis Holland</v>
      </c>
      <c r="D1293" s="22" t="str">
        <f>VLOOKUP(B1293,Customer[#ALL],6)</f>
        <v>Female</v>
      </c>
      <c r="E1293" s="23">
        <f>Sales[Order_Date]</f>
        <v>45610</v>
      </c>
      <c r="F1293" s="21" t="str">
        <f>Sales[Store_ID]</f>
        <v>STORE1</v>
      </c>
      <c r="G1293" s="21" t="str">
        <f t="array" ref="G1293">INDEX(Store[Store_Name],MATCH(F1293,Store[Store_ID],0))</f>
        <v>Martinez, Adkins and Johnson</v>
      </c>
      <c r="H1293" s="21" t="str">
        <f>Sales[Product_ID]</f>
        <v>PROD88</v>
      </c>
      <c r="I1293" s="21" t="str">
        <f>VLOOKUP(H1293,Products[],2)</f>
        <v>Sports Wrist Sweatbands</v>
      </c>
      <c r="J1293" s="24">
        <f>Sales[Total_Amount]</f>
        <v>2329.74</v>
      </c>
      <c r="K1293" s="21" t="str">
        <f t="shared" si="1"/>
        <v>Nov</v>
      </c>
      <c r="L1293" s="21">
        <f t="shared" si="2"/>
        <v>2024</v>
      </c>
      <c r="N1293" s="33"/>
      <c r="O1293" s="34"/>
    </row>
    <row r="1294" ht="22.5" customHeight="1">
      <c r="A1294" s="21" t="s">
        <v>3259</v>
      </c>
      <c r="B1294" s="21" t="s">
        <v>371</v>
      </c>
      <c r="C1294" s="21" t="str">
        <f t="array" ref="C1294">XLOOKUP(B1294,Customer[Customer_ID],Customer[Name(Cleaned)])</f>
        <v>Sarah Schneider</v>
      </c>
      <c r="D1294" s="22" t="str">
        <f>VLOOKUP(B1294,Customer[#ALL],6)</f>
        <v>Male</v>
      </c>
      <c r="E1294" s="23">
        <f>Sales[Order_Date]</f>
        <v>45763</v>
      </c>
      <c r="F1294" s="21" t="str">
        <f>Sales[Store_ID]</f>
        <v>STORE11</v>
      </c>
      <c r="G1294" s="21" t="str">
        <f t="array" ref="G1294">INDEX(Store[Store_Name],MATCH(F1294,Store[Store_ID],0))</f>
        <v>Aguirre-Keller</v>
      </c>
      <c r="H1294" s="21" t="str">
        <f>Sales[Product_ID]</f>
        <v>PROD98</v>
      </c>
      <c r="I1294" s="21" t="str">
        <f>VLOOKUP(H1294,Products[],2)</f>
        <v>Portable Bluetooth Speaker</v>
      </c>
      <c r="J1294" s="24">
        <f>Sales[Total_Amount]</f>
        <v>477.6552</v>
      </c>
      <c r="K1294" s="21" t="str">
        <f t="shared" si="1"/>
        <v>Apr</v>
      </c>
      <c r="L1294" s="21">
        <f t="shared" si="2"/>
        <v>2025</v>
      </c>
      <c r="N1294" s="33"/>
      <c r="O1294" s="34"/>
    </row>
    <row r="1295" ht="22.5" customHeight="1">
      <c r="A1295" s="21" t="s">
        <v>3260</v>
      </c>
      <c r="B1295" s="21" t="s">
        <v>1143</v>
      </c>
      <c r="C1295" s="21" t="str">
        <f t="array" ref="C1295">XLOOKUP(B1295,Customer[Customer_ID],Customer[Name(Cleaned)])</f>
        <v>Denise Tate</v>
      </c>
      <c r="D1295" s="22" t="str">
        <f>VLOOKUP(B1295,Customer[#ALL],6)</f>
        <v>Female</v>
      </c>
      <c r="E1295" s="23">
        <f>Sales[Order_Date]</f>
        <v>45856</v>
      </c>
      <c r="F1295" s="21" t="str">
        <f>Sales[Store_ID]</f>
        <v>STORE2</v>
      </c>
      <c r="G1295" s="21" t="str">
        <f t="array" ref="G1295">INDEX(Store[Store_Name],MATCH(F1295,Store[Store_ID],0))</f>
        <v>Black-Horn</v>
      </c>
      <c r="H1295" s="21" t="str">
        <f>Sales[Product_ID]</f>
        <v>PROD73</v>
      </c>
      <c r="I1295" s="21" t="str">
        <f>VLOOKUP(H1295,Products[],2)</f>
        <v>Shin Guards – Adult</v>
      </c>
      <c r="J1295" s="24">
        <f>Sales[Total_Amount]</f>
        <v>1307.6</v>
      </c>
      <c r="K1295" s="21" t="str">
        <f t="shared" si="1"/>
        <v>Jul</v>
      </c>
      <c r="L1295" s="21">
        <f t="shared" si="2"/>
        <v>2025</v>
      </c>
      <c r="N1295" s="33"/>
      <c r="O1295" s="34"/>
    </row>
    <row r="1296" ht="22.5" customHeight="1">
      <c r="A1296" s="21" t="s">
        <v>3261</v>
      </c>
      <c r="B1296" s="21" t="s">
        <v>1065</v>
      </c>
      <c r="C1296" s="21" t="str">
        <f t="array" ref="C1296">XLOOKUP(B1296,Customer[Customer_ID],Customer[Name(Cleaned)])</f>
        <v>Mr. Christopher Sims</v>
      </c>
      <c r="D1296" s="22" t="str">
        <f>VLOOKUP(B1296,Customer[#ALL],6)</f>
        <v>Male</v>
      </c>
      <c r="E1296" s="23">
        <f>Sales[Order_Date]</f>
        <v>45712</v>
      </c>
      <c r="F1296" s="21" t="str">
        <f>Sales[Store_ID]</f>
        <v>STORE2</v>
      </c>
      <c r="G1296" s="21" t="str">
        <f t="array" ref="G1296">INDEX(Store[Store_Name],MATCH(F1296,Store[Store_ID],0))</f>
        <v>Black-Horn</v>
      </c>
      <c r="H1296" s="21" t="str">
        <f>Sales[Product_ID]</f>
        <v>PROD46</v>
      </c>
      <c r="I1296" s="21" t="str">
        <f>VLOOKUP(H1296,Products[],2)</f>
        <v>Men's Winter Jacket</v>
      </c>
      <c r="J1296" s="24">
        <f>Sales[Total_Amount]</f>
        <v>535.624</v>
      </c>
      <c r="K1296" s="21" t="str">
        <f t="shared" si="1"/>
        <v>Feb</v>
      </c>
      <c r="L1296" s="21">
        <f t="shared" si="2"/>
        <v>2025</v>
      </c>
      <c r="N1296" s="33"/>
      <c r="O1296" s="34"/>
    </row>
    <row r="1297" ht="22.5" customHeight="1">
      <c r="A1297" s="21" t="s">
        <v>3262</v>
      </c>
      <c r="B1297" s="21" t="s">
        <v>714</v>
      </c>
      <c r="C1297" s="21" t="str">
        <f t="array" ref="C1297">XLOOKUP(B1297,Customer[Customer_ID],Customer[Name(Cleaned)])</f>
        <v>Kathryn Garcia</v>
      </c>
      <c r="D1297" s="22" t="str">
        <f>VLOOKUP(B1297,Customer[#ALL],6)</f>
        <v>Female</v>
      </c>
      <c r="E1297" s="23">
        <f>Sales[Order_Date]</f>
        <v>45723</v>
      </c>
      <c r="F1297" s="21" t="str">
        <f>Sales[Store_ID]</f>
        <v>STORE18</v>
      </c>
      <c r="G1297" s="21" t="str">
        <f t="array" ref="G1297">INDEX(Store[Store_Name],MATCH(F1297,Store[Store_ID],0))</f>
        <v>Guerrero-Schmitt</v>
      </c>
      <c r="H1297" s="21" t="str">
        <f>Sales[Product_ID]</f>
        <v>PROD35</v>
      </c>
      <c r="I1297" s="21" t="str">
        <f>VLOOKUP(H1297,Products[],2)</f>
        <v>Bedroom Table Lamp</v>
      </c>
      <c r="J1297" s="24">
        <f>Sales[Total_Amount]</f>
        <v>153.8568</v>
      </c>
      <c r="K1297" s="21" t="str">
        <f t="shared" si="1"/>
        <v>Mar</v>
      </c>
      <c r="L1297" s="21">
        <f t="shared" si="2"/>
        <v>2025</v>
      </c>
      <c r="N1297" s="33"/>
      <c r="O1297" s="34"/>
    </row>
    <row r="1298" ht="22.5" customHeight="1">
      <c r="A1298" s="21" t="s">
        <v>3263</v>
      </c>
      <c r="B1298" s="21" t="s">
        <v>289</v>
      </c>
      <c r="C1298" s="21" t="str">
        <f t="array" ref="C1298">XLOOKUP(B1298,Customer[Customer_ID],Customer[Name(Cleaned)])</f>
        <v>Katherine Young</v>
      </c>
      <c r="D1298" s="22" t="str">
        <f>VLOOKUP(B1298,Customer[#ALL],6)</f>
        <v>Female</v>
      </c>
      <c r="E1298" s="23">
        <f>Sales[Order_Date]</f>
        <v>45706</v>
      </c>
      <c r="F1298" s="21" t="str">
        <f>Sales[Store_ID]</f>
        <v>STORE19</v>
      </c>
      <c r="G1298" s="21" t="str">
        <f t="array" ref="G1298">INDEX(Store[Store_Name],MATCH(F1298,Store[Store_ID],0))</f>
        <v>Mann-Austin</v>
      </c>
      <c r="H1298" s="21" t="str">
        <f>Sales[Product_ID]</f>
        <v>PROD21</v>
      </c>
      <c r="I1298" s="21" t="str">
        <f>VLOOKUP(H1298,Products[],2)</f>
        <v>Multi-Purpose Storage Box</v>
      </c>
      <c r="J1298" s="24">
        <f>Sales[Total_Amount]</f>
        <v>158.56</v>
      </c>
      <c r="K1298" s="21" t="str">
        <f t="shared" si="1"/>
        <v>Feb</v>
      </c>
      <c r="L1298" s="21">
        <f t="shared" si="2"/>
        <v>2025</v>
      </c>
      <c r="N1298" s="33"/>
      <c r="O1298" s="34"/>
    </row>
    <row r="1299" ht="22.5" customHeight="1">
      <c r="A1299" s="21" t="s">
        <v>3264</v>
      </c>
      <c r="B1299" s="21" t="s">
        <v>1173</v>
      </c>
      <c r="C1299" s="21" t="str">
        <f t="array" ref="C1299">XLOOKUP(B1299,Customer[Customer_ID],Customer[Name(Cleaned)])</f>
        <v>James Holloway Jr.</v>
      </c>
      <c r="D1299" s="22" t="str">
        <f>VLOOKUP(B1299,Customer[#ALL],6)</f>
        <v>Female</v>
      </c>
      <c r="E1299" s="23">
        <f>Sales[Order_Date]</f>
        <v>45469</v>
      </c>
      <c r="F1299" s="21" t="str">
        <f>Sales[Store_ID]</f>
        <v>STORE16</v>
      </c>
      <c r="G1299" s="21" t="str">
        <f t="array" ref="G1299">INDEX(Store[Store_Name],MATCH(F1299,Store[Store_ID],0))</f>
        <v>Frederick-Wright</v>
      </c>
      <c r="H1299" s="21" t="str">
        <f>Sales[Product_ID]</f>
        <v>PROD37</v>
      </c>
      <c r="I1299" s="21" t="str">
        <f>VLOOKUP(H1299,Products[],2)</f>
        <v>Men's Casual Sneakers</v>
      </c>
      <c r="J1299" s="24">
        <f>Sales[Total_Amount]</f>
        <v>610.1106</v>
      </c>
      <c r="K1299" s="21" t="str">
        <f t="shared" si="1"/>
        <v>Jun</v>
      </c>
      <c r="L1299" s="21">
        <f t="shared" si="2"/>
        <v>2024</v>
      </c>
      <c r="N1299" s="33"/>
      <c r="O1299" s="34"/>
    </row>
    <row r="1300" ht="22.5" customHeight="1">
      <c r="A1300" s="21" t="s">
        <v>3265</v>
      </c>
      <c r="B1300" s="21" t="s">
        <v>315</v>
      </c>
      <c r="C1300" s="21" t="str">
        <f t="array" ref="C1300">XLOOKUP(B1300,Customer[Customer_ID],Customer[Name(Cleaned)])</f>
        <v>Richard Delgado</v>
      </c>
      <c r="D1300" s="22" t="str">
        <f>VLOOKUP(B1300,Customer[#ALL],6)</f>
        <v>Female</v>
      </c>
      <c r="E1300" s="23">
        <f>Sales[Order_Date]</f>
        <v>45711</v>
      </c>
      <c r="F1300" s="21" t="str">
        <f>Sales[Store_ID]</f>
        <v>STORE4</v>
      </c>
      <c r="G1300" s="21" t="str">
        <f t="array" ref="G1300">INDEX(Store[Store_Name],MATCH(F1300,Store[Store_ID],0))</f>
        <v>Alexander Group</v>
      </c>
      <c r="H1300" s="21" t="str">
        <f>Sales[Product_ID]</f>
        <v>PROD84</v>
      </c>
      <c r="I1300" s="21" t="str">
        <f>VLOOKUP(H1300,Products[],2)</f>
        <v>Wooden Bookshelf</v>
      </c>
      <c r="J1300" s="24">
        <f>Sales[Total_Amount]</f>
        <v>2097.1008</v>
      </c>
      <c r="K1300" s="21" t="str">
        <f t="shared" si="1"/>
        <v>Feb</v>
      </c>
      <c r="L1300" s="21">
        <f t="shared" si="2"/>
        <v>2025</v>
      </c>
      <c r="N1300" s="33"/>
      <c r="O1300" s="34"/>
    </row>
    <row r="1301" ht="22.5" customHeight="1">
      <c r="A1301" s="21" t="s">
        <v>3266</v>
      </c>
      <c r="B1301" s="21" t="s">
        <v>1468</v>
      </c>
      <c r="C1301" s="21" t="str">
        <f t="array" ref="C1301">XLOOKUP(B1301,Customer[Customer_ID],Customer[Name(Cleaned)])</f>
        <v>Debra Mccullough</v>
      </c>
      <c r="D1301" s="22" t="str">
        <f>VLOOKUP(B1301,Customer[#ALL],6)</f>
        <v>Female</v>
      </c>
      <c r="E1301" s="23">
        <f>Sales[Order_Date]</f>
        <v>45823</v>
      </c>
      <c r="F1301" s="21" t="str">
        <f>Sales[Store_ID]</f>
        <v>STORE12</v>
      </c>
      <c r="G1301" s="21" t="str">
        <f t="array" ref="G1301">INDEX(Store[Store_Name],MATCH(F1301,Store[Store_ID],0))</f>
        <v>Thomas, Bridges and Harris</v>
      </c>
      <c r="H1301" s="21" t="str">
        <f>Sales[Product_ID]</f>
        <v>PROD93</v>
      </c>
      <c r="I1301" s="21" t="str">
        <f>VLOOKUP(H1301,Products[],2)</f>
        <v>USB-C Laptop Charger</v>
      </c>
      <c r="J1301" s="24">
        <f>Sales[Total_Amount]</f>
        <v>228.796</v>
      </c>
      <c r="K1301" s="21" t="str">
        <f t="shared" si="1"/>
        <v>Jun</v>
      </c>
      <c r="L1301" s="21">
        <f t="shared" si="2"/>
        <v>2025</v>
      </c>
      <c r="N1301" s="33"/>
      <c r="O1301" s="34"/>
    </row>
    <row r="1302" ht="22.5" customHeight="1">
      <c r="A1302" s="21" t="s">
        <v>3267</v>
      </c>
      <c r="B1302" s="21" t="s">
        <v>1402</v>
      </c>
      <c r="C1302" s="21" t="str">
        <f t="array" ref="C1302">XLOOKUP(B1302,Customer[Customer_ID],Customer[Name(Cleaned)])</f>
        <v>Eric Holmes</v>
      </c>
      <c r="D1302" s="22" t="str">
        <f>VLOOKUP(B1302,Customer[#ALL],6)</f>
        <v>Male</v>
      </c>
      <c r="E1302" s="23">
        <f>Sales[Order_Date]</f>
        <v>45217</v>
      </c>
      <c r="F1302" s="21" t="str">
        <f>Sales[Store_ID]</f>
        <v>STORE3</v>
      </c>
      <c r="G1302" s="21" t="str">
        <f t="array" ref="G1302">INDEX(Store[Store_Name],MATCH(F1302,Store[Store_ID],0))</f>
        <v>Johnson-Wright</v>
      </c>
      <c r="H1302" s="21" t="str">
        <f>Sales[Product_ID]</f>
        <v>PROD65</v>
      </c>
      <c r="I1302" s="21" t="str">
        <f>VLOOKUP(H1302,Products[],2)</f>
        <v>Adjustable Dumbbells 20kg</v>
      </c>
      <c r="J1302" s="24">
        <f>Sales[Total_Amount]</f>
        <v>1002.5028</v>
      </c>
      <c r="K1302" s="21" t="str">
        <f t="shared" si="1"/>
        <v>Oct</v>
      </c>
      <c r="L1302" s="21">
        <f t="shared" si="2"/>
        <v>2023</v>
      </c>
      <c r="N1302" s="33"/>
      <c r="O1302" s="34"/>
    </row>
    <row r="1303" ht="22.5" customHeight="1">
      <c r="A1303" s="21" t="s">
        <v>3268</v>
      </c>
      <c r="B1303" s="21" t="s">
        <v>1529</v>
      </c>
      <c r="C1303" s="21" t="str">
        <f t="array" ref="C1303">XLOOKUP(B1303,Customer[Customer_ID],Customer[Name(Cleaned)])</f>
        <v>Darrell Miller</v>
      </c>
      <c r="D1303" s="22" t="str">
        <f>VLOOKUP(B1303,Customer[#ALL],6)</f>
        <v>Male</v>
      </c>
      <c r="E1303" s="23">
        <f>Sales[Order_Date]</f>
        <v>45329</v>
      </c>
      <c r="F1303" s="21" t="str">
        <f>Sales[Store_ID]</f>
        <v>STORE17</v>
      </c>
      <c r="G1303" s="21" t="str">
        <f t="array" ref="G1303">INDEX(Store[Store_Name],MATCH(F1303,Store[Store_ID],0))</f>
        <v>Holloway Ltd</v>
      </c>
      <c r="H1303" s="21" t="str">
        <f>Sales[Product_ID]</f>
        <v>PROD10</v>
      </c>
      <c r="I1303" s="21" t="str">
        <f>VLOOKUP(H1303,Products[],2)</f>
        <v>Men's Graphic T-Shirt</v>
      </c>
      <c r="J1303" s="24">
        <f>Sales[Total_Amount]</f>
        <v>266.6544</v>
      </c>
      <c r="K1303" s="21" t="str">
        <f t="shared" si="1"/>
        <v>Feb</v>
      </c>
      <c r="L1303" s="21">
        <f t="shared" si="2"/>
        <v>2024</v>
      </c>
      <c r="N1303" s="33"/>
      <c r="O1303" s="34"/>
    </row>
    <row r="1304" ht="22.5" customHeight="1">
      <c r="A1304" s="21" t="s">
        <v>3269</v>
      </c>
      <c r="B1304" s="21" t="s">
        <v>361</v>
      </c>
      <c r="C1304" s="21" t="str">
        <f t="array" ref="C1304">XLOOKUP(B1304,Customer[Customer_ID],Customer[Name(Cleaned)])</f>
        <v>Sheila Wilson</v>
      </c>
      <c r="D1304" s="22" t="str">
        <f>VLOOKUP(B1304,Customer[#ALL],6)</f>
        <v>Female</v>
      </c>
      <c r="E1304" s="23">
        <f>Sales[Order_Date]</f>
        <v>45733</v>
      </c>
      <c r="F1304" s="21" t="str">
        <f>Sales[Store_ID]</f>
        <v>STORE18</v>
      </c>
      <c r="G1304" s="21" t="str">
        <f t="array" ref="G1304">INDEX(Store[Store_Name],MATCH(F1304,Store[Store_ID],0))</f>
        <v>Guerrero-Schmitt</v>
      </c>
      <c r="H1304" s="21" t="str">
        <f>Sales[Product_ID]</f>
        <v>PROD22</v>
      </c>
      <c r="I1304" s="21" t="str">
        <f>VLOOKUP(H1304,Products[],2)</f>
        <v>Carbon Fiber Tennis Racket</v>
      </c>
      <c r="J1304" s="24">
        <f>Sales[Total_Amount]</f>
        <v>583.252</v>
      </c>
      <c r="K1304" s="21" t="str">
        <f t="shared" si="1"/>
        <v>Mar</v>
      </c>
      <c r="L1304" s="21">
        <f t="shared" si="2"/>
        <v>2025</v>
      </c>
      <c r="N1304" s="33"/>
      <c r="O1304" s="34"/>
    </row>
    <row r="1305" ht="22.5" customHeight="1">
      <c r="A1305" s="21" t="s">
        <v>3270</v>
      </c>
      <c r="B1305" s="21" t="s">
        <v>758</v>
      </c>
      <c r="C1305" s="21" t="str">
        <f t="array" ref="C1305">XLOOKUP(B1305,Customer[Customer_ID],Customer[Name(Cleaned)])</f>
        <v>Timothy Juarez</v>
      </c>
      <c r="D1305" s="22" t="str">
        <f>VLOOKUP(B1305,Customer[#ALL],6)</f>
        <v>Male</v>
      </c>
      <c r="E1305" s="23">
        <f>Sales[Order_Date]</f>
        <v>45520</v>
      </c>
      <c r="F1305" s="21" t="str">
        <f>Sales[Store_ID]</f>
        <v>STORE13</v>
      </c>
      <c r="G1305" s="21" t="str">
        <f t="array" ref="G1305">INDEX(Store[Store_Name],MATCH(F1305,Store[Store_ID],0))</f>
        <v>Gardner, Humphrey and Contreras</v>
      </c>
      <c r="H1305" s="21" t="str">
        <f>Sales[Product_ID]</f>
        <v>PROD90</v>
      </c>
      <c r="I1305" s="21" t="str">
        <f>VLOOKUP(H1305,Products[],2)</f>
        <v>Gaming Mouse Pad XL</v>
      </c>
      <c r="J1305" s="24">
        <f>Sales[Total_Amount]</f>
        <v>594.4355</v>
      </c>
      <c r="K1305" s="21" t="str">
        <f t="shared" si="1"/>
        <v>Aug</v>
      </c>
      <c r="L1305" s="21">
        <f t="shared" si="2"/>
        <v>2024</v>
      </c>
      <c r="N1305" s="33"/>
      <c r="O1305" s="34"/>
    </row>
    <row r="1306" ht="22.5" customHeight="1">
      <c r="A1306" s="21" t="s">
        <v>3271</v>
      </c>
      <c r="B1306" s="21" t="s">
        <v>155</v>
      </c>
      <c r="C1306" s="21" t="str">
        <f t="array" ref="C1306">XLOOKUP(B1306,Customer[Customer_ID],Customer[Name(Cleaned)])</f>
        <v>Christopher Carter</v>
      </c>
      <c r="D1306" s="22" t="str">
        <f>VLOOKUP(B1306,Customer[#ALL],6)</f>
        <v>Male</v>
      </c>
      <c r="E1306" s="23">
        <f>Sales[Order_Date]</f>
        <v>45373</v>
      </c>
      <c r="F1306" s="21" t="str">
        <f>Sales[Store_ID]</f>
        <v>STORE13</v>
      </c>
      <c r="G1306" s="21" t="str">
        <f t="array" ref="G1306">INDEX(Store[Store_Name],MATCH(F1306,Store[Store_ID],0))</f>
        <v>Gardner, Humphrey and Contreras</v>
      </c>
      <c r="H1306" s="21" t="str">
        <f>Sales[Product_ID]</f>
        <v>PROD94</v>
      </c>
      <c r="I1306" s="21" t="str">
        <f>VLOOKUP(H1306,Products[],2)</f>
        <v>Vitamin E Body Lotion</v>
      </c>
      <c r="J1306" s="24">
        <f>Sales[Total_Amount]</f>
        <v>331.2628</v>
      </c>
      <c r="K1306" s="21" t="str">
        <f t="shared" si="1"/>
        <v>Mar</v>
      </c>
      <c r="L1306" s="21">
        <f t="shared" si="2"/>
        <v>2024</v>
      </c>
      <c r="N1306" s="33"/>
      <c r="O1306" s="34"/>
    </row>
    <row r="1307" ht="22.5" customHeight="1">
      <c r="A1307" s="21" t="s">
        <v>3272</v>
      </c>
      <c r="B1307" s="21" t="s">
        <v>549</v>
      </c>
      <c r="C1307" s="21" t="str">
        <f t="array" ref="C1307">XLOOKUP(B1307,Customer[Customer_ID],Customer[Name(Cleaned)])</f>
        <v>Cynthia Morris</v>
      </c>
      <c r="D1307" s="22" t="str">
        <f>VLOOKUP(B1307,Customer[#ALL],6)</f>
        <v>Male</v>
      </c>
      <c r="E1307" s="23">
        <f>Sales[Order_Date]</f>
        <v>45688</v>
      </c>
      <c r="F1307" s="21" t="str">
        <f>Sales[Store_ID]</f>
        <v>STORE19</v>
      </c>
      <c r="G1307" s="21" t="str">
        <f t="array" ref="G1307">INDEX(Store[Store_Name],MATCH(F1307,Store[Store_ID],0))</f>
        <v>Mann-Austin</v>
      </c>
      <c r="H1307" s="21" t="str">
        <f>Sales[Product_ID]</f>
        <v>PROD97</v>
      </c>
      <c r="I1307" s="21" t="str">
        <f>VLOOKUP(H1307,Products[],2)</f>
        <v>Cricket Bat</v>
      </c>
      <c r="J1307" s="24">
        <f>Sales[Total_Amount]</f>
        <v>1331.91</v>
      </c>
      <c r="K1307" s="21" t="str">
        <f t="shared" si="1"/>
        <v>Jan</v>
      </c>
      <c r="L1307" s="21">
        <f t="shared" si="2"/>
        <v>2025</v>
      </c>
      <c r="N1307" s="33"/>
      <c r="O1307" s="34"/>
    </row>
    <row r="1308" ht="22.5" customHeight="1">
      <c r="A1308" s="21" t="s">
        <v>3273</v>
      </c>
      <c r="B1308" s="21" t="s">
        <v>1462</v>
      </c>
      <c r="C1308" s="21" t="str">
        <f t="array" ref="C1308">XLOOKUP(B1308,Customer[Customer_ID],Customer[Name(Cleaned)])</f>
        <v>James Foster</v>
      </c>
      <c r="D1308" s="22" t="str">
        <f>VLOOKUP(B1308,Customer[#ALL],6)</f>
        <v>Female</v>
      </c>
      <c r="E1308" s="23">
        <f>Sales[Order_Date]</f>
        <v>45276</v>
      </c>
      <c r="F1308" s="21" t="str">
        <f>Sales[Store_ID]</f>
        <v>STORE15</v>
      </c>
      <c r="G1308" s="21" t="str">
        <f t="array" ref="G1308">INDEX(Store[Store_Name],MATCH(F1308,Store[Store_ID],0))</f>
        <v>Shelton PLC</v>
      </c>
      <c r="H1308" s="21" t="str">
        <f>Sales[Product_ID]</f>
        <v>PROD45</v>
      </c>
      <c r="I1308" s="21" t="str">
        <f>VLOOKUP(H1308,Products[],2)</f>
        <v>High-Grip Football</v>
      </c>
      <c r="J1308" s="24">
        <f>Sales[Total_Amount]</f>
        <v>456.4948</v>
      </c>
      <c r="K1308" s="21" t="str">
        <f t="shared" si="1"/>
        <v>Dec</v>
      </c>
      <c r="L1308" s="21">
        <f t="shared" si="2"/>
        <v>2023</v>
      </c>
      <c r="N1308" s="33"/>
      <c r="O1308" s="34"/>
    </row>
    <row r="1309" ht="22.5" customHeight="1">
      <c r="A1309" s="21" t="s">
        <v>3274</v>
      </c>
      <c r="B1309" s="21" t="s">
        <v>180</v>
      </c>
      <c r="C1309" s="21" t="str">
        <f t="array" ref="C1309">XLOOKUP(B1309,Customer[Customer_ID],Customer[Name(Cleaned)])</f>
        <v>Denise Williams</v>
      </c>
      <c r="D1309" s="22" t="str">
        <f>VLOOKUP(B1309,Customer[#ALL],6)</f>
        <v>Female</v>
      </c>
      <c r="E1309" s="23">
        <f>Sales[Order_Date]</f>
        <v>45756</v>
      </c>
      <c r="F1309" s="21" t="str">
        <f>Sales[Store_ID]</f>
        <v>STORE12</v>
      </c>
      <c r="G1309" s="21" t="str">
        <f t="array" ref="G1309">INDEX(Store[Store_Name],MATCH(F1309,Store[Store_ID],0))</f>
        <v>Thomas, Bridges and Harris</v>
      </c>
      <c r="H1309" s="21" t="str">
        <f>Sales[Product_ID]</f>
        <v>PROD9</v>
      </c>
      <c r="I1309" s="21" t="str">
        <f>VLOOKUP(H1309,Products[],2)</f>
        <v>Face Foundation Kit</v>
      </c>
      <c r="J1309" s="24">
        <f>Sales[Total_Amount]</f>
        <v>303.2964</v>
      </c>
      <c r="K1309" s="21" t="str">
        <f t="shared" si="1"/>
        <v>Apr</v>
      </c>
      <c r="L1309" s="21">
        <f t="shared" si="2"/>
        <v>2025</v>
      </c>
      <c r="N1309" s="33"/>
      <c r="O1309" s="34"/>
    </row>
    <row r="1310" ht="22.5" customHeight="1">
      <c r="A1310" s="21" t="s">
        <v>3275</v>
      </c>
      <c r="B1310" s="21" t="s">
        <v>425</v>
      </c>
      <c r="C1310" s="21" t="str">
        <f t="array" ref="C1310">XLOOKUP(B1310,Customer[Customer_ID],Customer[Name(Cleaned)])</f>
        <v>Jacob Hopkins</v>
      </c>
      <c r="D1310" s="22" t="str">
        <f>VLOOKUP(B1310,Customer[#ALL],6)</f>
        <v>Male</v>
      </c>
      <c r="E1310" s="23">
        <f>Sales[Order_Date]</f>
        <v>45309</v>
      </c>
      <c r="F1310" s="21" t="str">
        <f>Sales[Store_ID]</f>
        <v>STORE4</v>
      </c>
      <c r="G1310" s="21" t="str">
        <f t="array" ref="G1310">INDEX(Store[Store_Name],MATCH(F1310,Store[Store_ID],0))</f>
        <v>Alexander Group</v>
      </c>
      <c r="H1310" s="21" t="str">
        <f>Sales[Product_ID]</f>
        <v>PROD73</v>
      </c>
      <c r="I1310" s="21" t="str">
        <f>VLOOKUP(H1310,Products[],2)</f>
        <v>Shin Guards – Adult</v>
      </c>
      <c r="J1310" s="24">
        <f>Sales[Total_Amount]</f>
        <v>2634.008</v>
      </c>
      <c r="K1310" s="21" t="str">
        <f t="shared" si="1"/>
        <v>Jan</v>
      </c>
      <c r="L1310" s="21">
        <f t="shared" si="2"/>
        <v>2024</v>
      </c>
      <c r="N1310" s="33"/>
      <c r="O1310" s="34"/>
    </row>
    <row r="1311" ht="22.5" customHeight="1">
      <c r="A1311" s="21" t="s">
        <v>3276</v>
      </c>
      <c r="B1311" s="21" t="s">
        <v>1421</v>
      </c>
      <c r="C1311" s="21" t="str">
        <f t="array" ref="C1311">XLOOKUP(B1311,Customer[Customer_ID],Customer[Name(Cleaned)])</f>
        <v>Tyler Weber</v>
      </c>
      <c r="D1311" s="22" t="str">
        <f>VLOOKUP(B1311,Customer[#ALL],6)</f>
        <v>Female</v>
      </c>
      <c r="E1311" s="23">
        <f>Sales[Order_Date]</f>
        <v>45744</v>
      </c>
      <c r="F1311" s="21" t="str">
        <f>Sales[Store_ID]</f>
        <v>STORE10</v>
      </c>
      <c r="G1311" s="21" t="str">
        <f t="array" ref="G1311">INDEX(Store[Store_Name],MATCH(F1311,Store[Store_ID],0))</f>
        <v>Hill, Wagner and Ballard</v>
      </c>
      <c r="H1311" s="21" t="str">
        <f>Sales[Product_ID]</f>
        <v>PROD83</v>
      </c>
      <c r="I1311" s="21" t="str">
        <f>VLOOKUP(H1311,Products[],2)</f>
        <v>Hydrating Face Cleanser</v>
      </c>
      <c r="J1311" s="24">
        <f>Sales[Total_Amount]</f>
        <v>776.5056</v>
      </c>
      <c r="K1311" s="21" t="str">
        <f t="shared" si="1"/>
        <v>Mar</v>
      </c>
      <c r="L1311" s="21">
        <f t="shared" si="2"/>
        <v>2025</v>
      </c>
      <c r="N1311" s="33"/>
      <c r="O1311" s="34"/>
    </row>
    <row r="1312" ht="22.5" customHeight="1">
      <c r="A1312" s="21" t="s">
        <v>3277</v>
      </c>
      <c r="B1312" s="21" t="s">
        <v>440</v>
      </c>
      <c r="C1312" s="21" t="str">
        <f t="array" ref="C1312">XLOOKUP(B1312,Customer[Customer_ID],Customer[Name(Cleaned)])</f>
        <v>Keith Miller</v>
      </c>
      <c r="D1312" s="22" t="str">
        <f>VLOOKUP(B1312,Customer[#ALL],6)</f>
        <v>Male</v>
      </c>
      <c r="E1312" s="23">
        <f>Sales[Order_Date]</f>
        <v>45535</v>
      </c>
      <c r="F1312" s="21" t="str">
        <f>Sales[Store_ID]</f>
        <v>STORE18</v>
      </c>
      <c r="G1312" s="21" t="str">
        <f t="array" ref="G1312">INDEX(Store[Store_Name],MATCH(F1312,Store[Store_ID],0))</f>
        <v>Guerrero-Schmitt</v>
      </c>
      <c r="H1312" s="21" t="str">
        <f>Sales[Product_ID]</f>
        <v>PROD7</v>
      </c>
      <c r="I1312" s="21" t="str">
        <f>VLOOKUP(H1312,Products[],2)</f>
        <v>Men's Sports Shorts</v>
      </c>
      <c r="J1312" s="24">
        <f>Sales[Total_Amount]</f>
        <v>685.3488</v>
      </c>
      <c r="K1312" s="21" t="str">
        <f t="shared" si="1"/>
        <v>Aug</v>
      </c>
      <c r="L1312" s="21">
        <f t="shared" si="2"/>
        <v>2024</v>
      </c>
      <c r="N1312" s="33"/>
      <c r="O1312" s="34"/>
    </row>
    <row r="1313" ht="22.5" customHeight="1">
      <c r="A1313" s="21" t="s">
        <v>3278</v>
      </c>
      <c r="B1313" s="21" t="s">
        <v>782</v>
      </c>
      <c r="C1313" s="21" t="str">
        <f t="array" ref="C1313">XLOOKUP(B1313,Customer[Customer_ID],Customer[Name(Cleaned)])</f>
        <v>Maria Hill</v>
      </c>
      <c r="D1313" s="22" t="str">
        <f>VLOOKUP(B1313,Customer[#ALL],6)</f>
        <v>Male</v>
      </c>
      <c r="E1313" s="23">
        <f>Sales[Order_Date]</f>
        <v>45240</v>
      </c>
      <c r="F1313" s="21" t="str">
        <f>Sales[Store_ID]</f>
        <v>STORE1</v>
      </c>
      <c r="G1313" s="21" t="str">
        <f t="array" ref="G1313">INDEX(Store[Store_Name],MATCH(F1313,Store[Store_ID],0))</f>
        <v>Martinez, Adkins and Johnson</v>
      </c>
      <c r="H1313" s="21" t="str">
        <f>Sales[Product_ID]</f>
        <v>PROD78</v>
      </c>
      <c r="I1313" s="21" t="str">
        <f>VLOOKUP(H1313,Products[],2)</f>
        <v>Essential Oil Diffuser</v>
      </c>
      <c r="J1313" s="24">
        <f>Sales[Total_Amount]</f>
        <v>1793.6046</v>
      </c>
      <c r="K1313" s="21" t="str">
        <f t="shared" si="1"/>
        <v>Nov</v>
      </c>
      <c r="L1313" s="21">
        <f t="shared" si="2"/>
        <v>2023</v>
      </c>
      <c r="N1313" s="33"/>
      <c r="O1313" s="34"/>
    </row>
    <row r="1314" ht="22.5" customHeight="1">
      <c r="A1314" s="21" t="s">
        <v>3279</v>
      </c>
      <c r="B1314" s="21" t="s">
        <v>634</v>
      </c>
      <c r="C1314" s="21" t="str">
        <f t="array" ref="C1314">XLOOKUP(B1314,Customer[Customer_ID],Customer[Name(Cleaned)])</f>
        <v>Daniel Austin</v>
      </c>
      <c r="D1314" s="22" t="str">
        <f>VLOOKUP(B1314,Customer[#ALL],6)</f>
        <v>Female</v>
      </c>
      <c r="E1314" s="23">
        <f>Sales[Order_Date]</f>
        <v>45378</v>
      </c>
      <c r="F1314" s="21" t="str">
        <f>Sales[Store_ID]</f>
        <v>STORE13</v>
      </c>
      <c r="G1314" s="21" t="str">
        <f t="array" ref="G1314">INDEX(Store[Store_Name],MATCH(F1314,Store[Store_ID],0))</f>
        <v>Gardner, Humphrey and Contreras</v>
      </c>
      <c r="H1314" s="21" t="str">
        <f>Sales[Product_ID]</f>
        <v>PROD33</v>
      </c>
      <c r="I1314" s="21" t="str">
        <f>VLOOKUP(H1314,Products[],2)</f>
        <v>Modern Wall Clock</v>
      </c>
      <c r="J1314" s="24">
        <f>Sales[Total_Amount]</f>
        <v>2764.8032</v>
      </c>
      <c r="K1314" s="21" t="str">
        <f t="shared" si="1"/>
        <v>Mar</v>
      </c>
      <c r="L1314" s="21">
        <f t="shared" si="2"/>
        <v>2024</v>
      </c>
      <c r="N1314" s="33"/>
      <c r="O1314" s="34"/>
    </row>
    <row r="1315" ht="22.5" customHeight="1">
      <c r="A1315" s="21" t="s">
        <v>3280</v>
      </c>
      <c r="B1315" s="21" t="s">
        <v>352</v>
      </c>
      <c r="C1315" s="21" t="str">
        <f t="array" ref="C1315">XLOOKUP(B1315,Customer[Customer_ID],Customer[Name(Cleaned)])</f>
        <v>Samantha Walker</v>
      </c>
      <c r="D1315" s="22" t="str">
        <f>VLOOKUP(B1315,Customer[#ALL],6)</f>
        <v>Male</v>
      </c>
      <c r="E1315" s="23">
        <f>Sales[Order_Date]</f>
        <v>45275</v>
      </c>
      <c r="F1315" s="21" t="str">
        <f>Sales[Store_ID]</f>
        <v>STORE19</v>
      </c>
      <c r="G1315" s="21" t="str">
        <f t="array" ref="G1315">INDEX(Store[Store_Name],MATCH(F1315,Store[Store_ID],0))</f>
        <v>Mann-Austin</v>
      </c>
      <c r="H1315" s="21" t="str">
        <f>Sales[Product_ID]</f>
        <v>PROD4</v>
      </c>
      <c r="I1315" s="21" t="str">
        <f>VLOOKUP(H1315,Products[],2)</f>
        <v>Portable Power Bank</v>
      </c>
      <c r="J1315" s="24">
        <f>Sales[Total_Amount]</f>
        <v>2051.254</v>
      </c>
      <c r="K1315" s="21" t="str">
        <f t="shared" si="1"/>
        <v>Dec</v>
      </c>
      <c r="L1315" s="21">
        <f t="shared" si="2"/>
        <v>2023</v>
      </c>
      <c r="N1315" s="33"/>
      <c r="O1315" s="34"/>
    </row>
    <row r="1316" ht="22.5" customHeight="1">
      <c r="A1316" s="21" t="s">
        <v>3281</v>
      </c>
      <c r="B1316" s="21" t="s">
        <v>283</v>
      </c>
      <c r="C1316" s="21" t="str">
        <f t="array" ref="C1316">XLOOKUP(B1316,Customer[Customer_ID],Customer[Name(Cleaned)])</f>
        <v>Rhonda Morales</v>
      </c>
      <c r="D1316" s="22" t="str">
        <f>VLOOKUP(B1316,Customer[#ALL],6)</f>
        <v>Male</v>
      </c>
      <c r="E1316" s="23">
        <f>Sales[Order_Date]</f>
        <v>45427</v>
      </c>
      <c r="F1316" s="21" t="str">
        <f>Sales[Store_ID]</f>
        <v>STORE10</v>
      </c>
      <c r="G1316" s="21" t="str">
        <f t="array" ref="G1316">INDEX(Store[Store_Name],MATCH(F1316,Store[Store_ID],0))</f>
        <v>Hill, Wagner and Ballard</v>
      </c>
      <c r="H1316" s="21" t="str">
        <f>Sales[Product_ID]</f>
        <v>PROD89</v>
      </c>
      <c r="I1316" s="21" t="str">
        <f>VLOOKUP(H1316,Products[],2)</f>
        <v>Face Foundation Kit</v>
      </c>
      <c r="J1316" s="24">
        <f>Sales[Total_Amount]</f>
        <v>959.1324</v>
      </c>
      <c r="K1316" s="21" t="str">
        <f t="shared" si="1"/>
        <v>May</v>
      </c>
      <c r="L1316" s="21">
        <f t="shared" si="2"/>
        <v>2024</v>
      </c>
      <c r="N1316" s="33"/>
      <c r="O1316" s="34"/>
    </row>
    <row r="1317" ht="22.5" customHeight="1">
      <c r="A1317" s="21" t="s">
        <v>3282</v>
      </c>
      <c r="B1317" s="21" t="s">
        <v>690</v>
      </c>
      <c r="C1317" s="21" t="str">
        <f t="array" ref="C1317">XLOOKUP(B1317,Customer[Customer_ID],Customer[Name(Cleaned)])</f>
        <v>John Perez</v>
      </c>
      <c r="D1317" s="22" t="str">
        <f>VLOOKUP(B1317,Customer[#ALL],6)</f>
        <v>Female</v>
      </c>
      <c r="E1317" s="23">
        <f>Sales[Order_Date]</f>
        <v>45322</v>
      </c>
      <c r="F1317" s="21" t="str">
        <f>Sales[Store_ID]</f>
        <v>STORE4</v>
      </c>
      <c r="G1317" s="21" t="str">
        <f t="array" ref="G1317">INDEX(Store[Store_Name],MATCH(F1317,Store[Store_ID],0))</f>
        <v>Alexander Group</v>
      </c>
      <c r="H1317" s="21" t="str">
        <f>Sales[Product_ID]</f>
        <v>PROD34</v>
      </c>
      <c r="I1317" s="21" t="str">
        <f>VLOOKUP(H1317,Products[],2)</f>
        <v>Gaming Mechanical Keyboard</v>
      </c>
      <c r="J1317" s="24">
        <f>Sales[Total_Amount]</f>
        <v>104.7144</v>
      </c>
      <c r="K1317" s="21" t="str">
        <f t="shared" si="1"/>
        <v>Jan</v>
      </c>
      <c r="L1317" s="21">
        <f t="shared" si="2"/>
        <v>2024</v>
      </c>
      <c r="N1317" s="33"/>
      <c r="O1317" s="34"/>
    </row>
    <row r="1318" ht="22.5" customHeight="1">
      <c r="A1318" s="21" t="s">
        <v>3283</v>
      </c>
      <c r="B1318" s="21" t="s">
        <v>1065</v>
      </c>
      <c r="C1318" s="21" t="str">
        <f t="array" ref="C1318">XLOOKUP(B1318,Customer[Customer_ID],Customer[Name(Cleaned)])</f>
        <v>Mr. Christopher Sims</v>
      </c>
      <c r="D1318" s="22" t="str">
        <f>VLOOKUP(B1318,Customer[#ALL],6)</f>
        <v>Male</v>
      </c>
      <c r="E1318" s="23">
        <f>Sales[Order_Date]</f>
        <v>45266</v>
      </c>
      <c r="F1318" s="21" t="str">
        <f>Sales[Store_ID]</f>
        <v>STORE6</v>
      </c>
      <c r="G1318" s="21" t="str">
        <f t="array" ref="G1318">INDEX(Store[Store_Name],MATCH(F1318,Store[Store_ID],0))</f>
        <v>Benson-Elliott</v>
      </c>
      <c r="H1318" s="21" t="str">
        <f>Sales[Product_ID]</f>
        <v>PROD76</v>
      </c>
      <c r="I1318" s="21" t="str">
        <f>VLOOKUP(H1318,Products[],2)</f>
        <v>Wireless Mouse</v>
      </c>
      <c r="J1318" s="24">
        <f>Sales[Total_Amount]</f>
        <v>127.611</v>
      </c>
      <c r="K1318" s="21" t="str">
        <f t="shared" si="1"/>
        <v>Dec</v>
      </c>
      <c r="L1318" s="21">
        <f t="shared" si="2"/>
        <v>2023</v>
      </c>
      <c r="N1318" s="33"/>
      <c r="O1318" s="34"/>
    </row>
    <row r="1319" ht="22.5" customHeight="1">
      <c r="A1319" s="21" t="s">
        <v>3284</v>
      </c>
      <c r="B1319" s="21" t="s">
        <v>1503</v>
      </c>
      <c r="C1319" s="21" t="str">
        <f t="array" ref="C1319">XLOOKUP(B1319,Customer[Customer_ID],Customer[Name(Cleaned)])</f>
        <v>Sarah Smith</v>
      </c>
      <c r="D1319" s="22" t="str">
        <f>VLOOKUP(B1319,Customer[#ALL],6)</f>
        <v>Female</v>
      </c>
      <c r="E1319" s="23">
        <f>Sales[Order_Date]</f>
        <v>45302</v>
      </c>
      <c r="F1319" s="21" t="str">
        <f>Sales[Store_ID]</f>
        <v>STORE15</v>
      </c>
      <c r="G1319" s="21" t="str">
        <f t="array" ref="G1319">INDEX(Store[Store_Name],MATCH(F1319,Store[Store_ID],0))</f>
        <v>Shelton PLC</v>
      </c>
      <c r="H1319" s="21" t="str">
        <f>Sales[Product_ID]</f>
        <v>PROD9</v>
      </c>
      <c r="I1319" s="21" t="str">
        <f>VLOOKUP(H1319,Products[],2)</f>
        <v>Face Foundation Kit</v>
      </c>
      <c r="J1319" s="24">
        <f>Sales[Total_Amount]</f>
        <v>1193.2704</v>
      </c>
      <c r="K1319" s="21" t="str">
        <f t="shared" si="1"/>
        <v>Jan</v>
      </c>
      <c r="L1319" s="21">
        <f t="shared" si="2"/>
        <v>2024</v>
      </c>
      <c r="N1319" s="33"/>
      <c r="O1319" s="34"/>
    </row>
    <row r="1320" ht="22.5" customHeight="1">
      <c r="A1320" s="21" t="s">
        <v>3285</v>
      </c>
      <c r="B1320" s="21" t="s">
        <v>699</v>
      </c>
      <c r="C1320" s="21" t="str">
        <f t="array" ref="C1320">XLOOKUP(B1320,Customer[Customer_ID],Customer[Name(Cleaned)])</f>
        <v>Rodney Huffman</v>
      </c>
      <c r="D1320" s="22" t="str">
        <f>VLOOKUP(B1320,Customer[#ALL],6)</f>
        <v>Male</v>
      </c>
      <c r="E1320" s="23">
        <f>Sales[Order_Date]</f>
        <v>45907</v>
      </c>
      <c r="F1320" s="21" t="str">
        <f>Sales[Store_ID]</f>
        <v>STORE6</v>
      </c>
      <c r="G1320" s="21" t="str">
        <f t="array" ref="G1320">INDEX(Store[Store_Name],MATCH(F1320,Store[Store_ID],0))</f>
        <v>Benson-Elliott</v>
      </c>
      <c r="H1320" s="21" t="str">
        <f>Sales[Product_ID]</f>
        <v>PROD38</v>
      </c>
      <c r="I1320" s="21" t="str">
        <f>VLOOKUP(H1320,Products[],2)</f>
        <v>Sports Water Hydration Pack</v>
      </c>
      <c r="J1320" s="24">
        <f>Sales[Total_Amount]</f>
        <v>3265.292</v>
      </c>
      <c r="K1320" s="21" t="str">
        <f t="shared" si="1"/>
        <v>Sep</v>
      </c>
      <c r="L1320" s="21">
        <f t="shared" si="2"/>
        <v>2025</v>
      </c>
      <c r="N1320" s="33"/>
      <c r="O1320" s="34"/>
    </row>
    <row r="1321" ht="22.5" customHeight="1">
      <c r="A1321" s="21" t="s">
        <v>3286</v>
      </c>
      <c r="B1321" s="21" t="s">
        <v>1320</v>
      </c>
      <c r="C1321" s="21" t="str">
        <f t="array" ref="C1321">XLOOKUP(B1321,Customer[Customer_ID],Customer[Name(Cleaned)])</f>
        <v>Dr. Tamara White Md</v>
      </c>
      <c r="D1321" s="22" t="str">
        <f>VLOOKUP(B1321,Customer[#ALL],6)</f>
        <v>Female</v>
      </c>
      <c r="E1321" s="23">
        <f>Sales[Order_Date]</f>
        <v>45433</v>
      </c>
      <c r="F1321" s="21" t="str">
        <f>Sales[Store_ID]</f>
        <v>STORE16</v>
      </c>
      <c r="G1321" s="21" t="str">
        <f t="array" ref="G1321">INDEX(Store[Store_Name],MATCH(F1321,Store[Store_ID],0))</f>
        <v>Frederick-Wright</v>
      </c>
      <c r="H1321" s="21" t="str">
        <f>Sales[Product_ID]</f>
        <v>PROD69</v>
      </c>
      <c r="I1321" s="21" t="str">
        <f>VLOOKUP(H1321,Products[],2)</f>
        <v>Men's Sports Shorts</v>
      </c>
      <c r="J1321" s="24">
        <f>Sales[Total_Amount]</f>
        <v>2389.1322</v>
      </c>
      <c r="K1321" s="21" t="str">
        <f t="shared" si="1"/>
        <v>May</v>
      </c>
      <c r="L1321" s="21">
        <f t="shared" si="2"/>
        <v>2024</v>
      </c>
      <c r="N1321" s="33"/>
      <c r="O1321" s="34"/>
    </row>
    <row r="1322" ht="22.5" customHeight="1">
      <c r="A1322" s="21" t="s">
        <v>3287</v>
      </c>
      <c r="B1322" s="21" t="s">
        <v>252</v>
      </c>
      <c r="C1322" s="21" t="str">
        <f t="array" ref="C1322">XLOOKUP(B1322,Customer[Customer_ID],Customer[Name(Cleaned)])</f>
        <v>Cody Diaz</v>
      </c>
      <c r="D1322" s="22" t="str">
        <f>VLOOKUP(B1322,Customer[#ALL],6)</f>
        <v>Male</v>
      </c>
      <c r="E1322" s="23">
        <f>Sales[Order_Date]</f>
        <v>45892</v>
      </c>
      <c r="F1322" s="21" t="str">
        <f>Sales[Store_ID]</f>
        <v>STORE10</v>
      </c>
      <c r="G1322" s="21" t="str">
        <f t="array" ref="G1322">INDEX(Store[Store_Name],MATCH(F1322,Store[Store_ID],0))</f>
        <v>Hill, Wagner and Ballard</v>
      </c>
      <c r="H1322" s="21" t="str">
        <f>Sales[Product_ID]</f>
        <v>PROD80</v>
      </c>
      <c r="I1322" s="21" t="str">
        <f>VLOOKUP(H1322,Products[],2)</f>
        <v>Wall-Mounted Spice Rack</v>
      </c>
      <c r="J1322" s="24">
        <f>Sales[Total_Amount]</f>
        <v>2847.6208</v>
      </c>
      <c r="K1322" s="21" t="str">
        <f t="shared" si="1"/>
        <v>Aug</v>
      </c>
      <c r="L1322" s="21">
        <f t="shared" si="2"/>
        <v>2025</v>
      </c>
      <c r="N1322" s="33"/>
      <c r="O1322" s="34"/>
    </row>
    <row r="1323" ht="22.5" customHeight="1">
      <c r="A1323" s="21" t="s">
        <v>3288</v>
      </c>
      <c r="B1323" s="21" t="s">
        <v>12</v>
      </c>
      <c r="C1323" s="21" t="str">
        <f t="array" ref="C1323">XLOOKUP(B1323,Customer[Customer_ID],Customer[Name(Cleaned)])</f>
        <v>Sheena Bonilla</v>
      </c>
      <c r="D1323" s="22" t="str">
        <f>VLOOKUP(B1323,Customer[#ALL],6)</f>
        <v>Female</v>
      </c>
      <c r="E1323" s="23">
        <f>Sales[Order_Date]</f>
        <v>45780</v>
      </c>
      <c r="F1323" s="21" t="str">
        <f>Sales[Store_ID]</f>
        <v>STORE16</v>
      </c>
      <c r="G1323" s="21" t="str">
        <f t="array" ref="G1323">INDEX(Store[Store_Name],MATCH(F1323,Store[Store_ID],0))</f>
        <v>Frederick-Wright</v>
      </c>
      <c r="H1323" s="21" t="str">
        <f>Sales[Product_ID]</f>
        <v>PROD63</v>
      </c>
      <c r="I1323" s="21" t="str">
        <f>VLOOKUP(H1323,Products[],2)</f>
        <v>Organic Sunscreen Lotion</v>
      </c>
      <c r="J1323" s="24">
        <f>Sales[Total_Amount]</f>
        <v>598.239</v>
      </c>
      <c r="K1323" s="21" t="str">
        <f t="shared" si="1"/>
        <v>May</v>
      </c>
      <c r="L1323" s="21">
        <f t="shared" si="2"/>
        <v>2025</v>
      </c>
      <c r="N1323" s="33"/>
      <c r="O1323" s="34"/>
    </row>
    <row r="1324" ht="22.5" customHeight="1">
      <c r="A1324" s="21" t="s">
        <v>3289</v>
      </c>
      <c r="B1324" s="21" t="s">
        <v>1104</v>
      </c>
      <c r="C1324" s="21" t="str">
        <f t="array" ref="C1324">XLOOKUP(B1324,Customer[Customer_ID],Customer[Name(Cleaned)])</f>
        <v>Justin Mason Dds</v>
      </c>
      <c r="D1324" s="22" t="str">
        <f>VLOOKUP(B1324,Customer[#ALL],6)</f>
        <v>Male</v>
      </c>
      <c r="E1324" s="23">
        <f>Sales[Order_Date]</f>
        <v>45233</v>
      </c>
      <c r="F1324" s="21" t="str">
        <f>Sales[Store_ID]</f>
        <v>STORE7</v>
      </c>
      <c r="G1324" s="21" t="str">
        <f t="array" ref="G1324">INDEX(Store[Store_Name],MATCH(F1324,Store[Store_ID],0))</f>
        <v>Martinez-Mullins</v>
      </c>
      <c r="H1324" s="21" t="str">
        <f>Sales[Product_ID]</f>
        <v>PROD37</v>
      </c>
      <c r="I1324" s="21" t="str">
        <f>VLOOKUP(H1324,Products[],2)</f>
        <v>Men's Casual Sneakers</v>
      </c>
      <c r="J1324" s="24">
        <f>Sales[Total_Amount]</f>
        <v>1793.2632</v>
      </c>
      <c r="K1324" s="21" t="str">
        <f t="shared" si="1"/>
        <v>Nov</v>
      </c>
      <c r="L1324" s="21">
        <f t="shared" si="2"/>
        <v>2023</v>
      </c>
      <c r="N1324" s="33"/>
      <c r="O1324" s="34"/>
    </row>
    <row r="1325" ht="22.5" customHeight="1">
      <c r="A1325" s="21" t="s">
        <v>3290</v>
      </c>
      <c r="B1325" s="21" t="s">
        <v>1353</v>
      </c>
      <c r="C1325" s="21" t="str">
        <f t="array" ref="C1325">XLOOKUP(B1325,Customer[Customer_ID],Customer[Name(Cleaned)])</f>
        <v>John Smith</v>
      </c>
      <c r="D1325" s="22" t="str">
        <f>VLOOKUP(B1325,Customer[#ALL],6)</f>
        <v>Female</v>
      </c>
      <c r="E1325" s="23">
        <f>Sales[Order_Date]</f>
        <v>45264</v>
      </c>
      <c r="F1325" s="21" t="str">
        <f>Sales[Store_ID]</f>
        <v>STORE3</v>
      </c>
      <c r="G1325" s="21" t="str">
        <f t="array" ref="G1325">INDEX(Store[Store_Name],MATCH(F1325,Store[Store_ID],0))</f>
        <v>Johnson-Wright</v>
      </c>
      <c r="H1325" s="21" t="str">
        <f>Sales[Product_ID]</f>
        <v>PROD94</v>
      </c>
      <c r="I1325" s="21" t="str">
        <f>VLOOKUP(H1325,Products[],2)</f>
        <v>Vitamin E Body Lotion</v>
      </c>
      <c r="J1325" s="24">
        <f>Sales[Total_Amount]</f>
        <v>1105.3432</v>
      </c>
      <c r="K1325" s="21" t="str">
        <f t="shared" si="1"/>
        <v>Dec</v>
      </c>
      <c r="L1325" s="21">
        <f t="shared" si="2"/>
        <v>2023</v>
      </c>
      <c r="N1325" s="33"/>
      <c r="O1325" s="34"/>
    </row>
    <row r="1326" ht="22.5" customHeight="1">
      <c r="A1326" s="21" t="s">
        <v>3291</v>
      </c>
      <c r="B1326" s="21" t="s">
        <v>329</v>
      </c>
      <c r="C1326" s="21" t="str">
        <f t="array" ref="C1326">XLOOKUP(B1326,Customer[Customer_ID],Customer[Name(Cleaned)])</f>
        <v>Jamie Yoder</v>
      </c>
      <c r="D1326" s="22" t="str">
        <f>VLOOKUP(B1326,Customer[#ALL],6)</f>
        <v>Female</v>
      </c>
      <c r="E1326" s="23">
        <f>Sales[Order_Date]</f>
        <v>45742</v>
      </c>
      <c r="F1326" s="21" t="str">
        <f>Sales[Store_ID]</f>
        <v>STORE3</v>
      </c>
      <c r="G1326" s="21" t="str">
        <f t="array" ref="G1326">INDEX(Store[Store_Name],MATCH(F1326,Store[Store_ID],0))</f>
        <v>Johnson-Wright</v>
      </c>
      <c r="H1326" s="21" t="str">
        <f>Sales[Product_ID]</f>
        <v>PROD57</v>
      </c>
      <c r="I1326" s="21" t="str">
        <f>VLOOKUP(H1326,Products[],2)</f>
        <v>Foam Roller</v>
      </c>
      <c r="J1326" s="24">
        <f>Sales[Total_Amount]</f>
        <v>3225.582</v>
      </c>
      <c r="K1326" s="21" t="str">
        <f t="shared" si="1"/>
        <v>Mar</v>
      </c>
      <c r="L1326" s="21">
        <f t="shared" si="2"/>
        <v>2025</v>
      </c>
      <c r="N1326" s="33"/>
      <c r="O1326" s="34"/>
    </row>
    <row r="1327" ht="22.5" customHeight="1">
      <c r="A1327" s="21" t="s">
        <v>3292</v>
      </c>
      <c r="B1327" s="21" t="s">
        <v>489</v>
      </c>
      <c r="C1327" s="21" t="str">
        <f t="array" ref="C1327">XLOOKUP(B1327,Customer[Customer_ID],Customer[Name(Cleaned)])</f>
        <v>Cristian Wright</v>
      </c>
      <c r="D1327" s="22" t="str">
        <f>VLOOKUP(B1327,Customer[#ALL],6)</f>
        <v>Female</v>
      </c>
      <c r="E1327" s="23">
        <f>Sales[Order_Date]</f>
        <v>45478</v>
      </c>
      <c r="F1327" s="21" t="str">
        <f>Sales[Store_ID]</f>
        <v>STORE13</v>
      </c>
      <c r="G1327" s="21" t="str">
        <f t="array" ref="G1327">INDEX(Store[Store_Name],MATCH(F1327,Store[Store_ID],0))</f>
        <v>Gardner, Humphrey and Contreras</v>
      </c>
      <c r="H1327" s="21" t="str">
        <f>Sales[Product_ID]</f>
        <v>PROD93</v>
      </c>
      <c r="I1327" s="21" t="str">
        <f>VLOOKUP(H1327,Products[],2)</f>
        <v>USB-C Laptop Charger</v>
      </c>
      <c r="J1327" s="24">
        <f>Sales[Total_Amount]</f>
        <v>224.6064</v>
      </c>
      <c r="K1327" s="21" t="str">
        <f t="shared" si="1"/>
        <v>Jul</v>
      </c>
      <c r="L1327" s="21">
        <f t="shared" si="2"/>
        <v>2024</v>
      </c>
      <c r="N1327" s="33"/>
      <c r="O1327" s="34"/>
    </row>
    <row r="1328" ht="22.5" customHeight="1">
      <c r="A1328" s="21" t="s">
        <v>3293</v>
      </c>
      <c r="B1328" s="21" t="s">
        <v>525</v>
      </c>
      <c r="C1328" s="21" t="str">
        <f t="array" ref="C1328">XLOOKUP(B1328,Customer[Customer_ID],Customer[Name(Cleaned)])</f>
        <v>Joseph Faulkner</v>
      </c>
      <c r="D1328" s="22" t="str">
        <f>VLOOKUP(B1328,Customer[#ALL],6)</f>
        <v>Female</v>
      </c>
      <c r="E1328" s="23">
        <f>Sales[Order_Date]</f>
        <v>45789</v>
      </c>
      <c r="F1328" s="21" t="str">
        <f>Sales[Store_ID]</f>
        <v>STORE6</v>
      </c>
      <c r="G1328" s="21" t="str">
        <f t="array" ref="G1328">INDEX(Store[Store_Name],MATCH(F1328,Store[Store_ID],0))</f>
        <v>Benson-Elliott</v>
      </c>
      <c r="H1328" s="21" t="str">
        <f>Sales[Product_ID]</f>
        <v>PROD78</v>
      </c>
      <c r="I1328" s="21" t="str">
        <f>VLOOKUP(H1328,Products[],2)</f>
        <v>Essential Oil Diffuser</v>
      </c>
      <c r="J1328" s="24">
        <f>Sales[Total_Amount]</f>
        <v>836.4741</v>
      </c>
      <c r="K1328" s="21" t="str">
        <f t="shared" si="1"/>
        <v>May</v>
      </c>
      <c r="L1328" s="21">
        <f t="shared" si="2"/>
        <v>2025</v>
      </c>
      <c r="N1328" s="33"/>
      <c r="O1328" s="34"/>
    </row>
    <row r="1329" ht="22.5" customHeight="1">
      <c r="A1329" s="21" t="s">
        <v>3294</v>
      </c>
      <c r="B1329" s="21" t="s">
        <v>1471</v>
      </c>
      <c r="C1329" s="21" t="str">
        <f t="array" ref="C1329">XLOOKUP(B1329,Customer[Customer_ID],Customer[Name(Cleaned)])</f>
        <v>Philip Mendoza</v>
      </c>
      <c r="D1329" s="22" t="str">
        <f>VLOOKUP(B1329,Customer[#ALL],6)</f>
        <v>Female</v>
      </c>
      <c r="E1329" s="23">
        <f>Sales[Order_Date]</f>
        <v>45561</v>
      </c>
      <c r="F1329" s="21" t="str">
        <f>Sales[Store_ID]</f>
        <v>STORE8</v>
      </c>
      <c r="G1329" s="21" t="str">
        <f t="array" ref="G1329">INDEX(Store[Store_Name],MATCH(F1329,Store[Store_ID],0))</f>
        <v>Bean, Jones and Park</v>
      </c>
      <c r="H1329" s="21" t="str">
        <f>Sales[Product_ID]</f>
        <v>PROD43</v>
      </c>
      <c r="I1329" s="21" t="str">
        <f>VLOOKUP(H1329,Products[],2)</f>
        <v>USB External Hard Drive</v>
      </c>
      <c r="J1329" s="24">
        <f>Sales[Total_Amount]</f>
        <v>299.7342</v>
      </c>
      <c r="K1329" s="21" t="str">
        <f t="shared" si="1"/>
        <v>Sep</v>
      </c>
      <c r="L1329" s="21">
        <f t="shared" si="2"/>
        <v>2024</v>
      </c>
      <c r="N1329" s="33"/>
      <c r="O1329" s="34"/>
    </row>
    <row r="1330" ht="22.5" customHeight="1">
      <c r="A1330" s="21" t="s">
        <v>3295</v>
      </c>
      <c r="B1330" s="21" t="s">
        <v>675</v>
      </c>
      <c r="C1330" s="21" t="str">
        <f t="array" ref="C1330">XLOOKUP(B1330,Customer[Customer_ID],Customer[Name(Cleaned)])</f>
        <v>Sarah Brady</v>
      </c>
      <c r="D1330" s="22" t="str">
        <f>VLOOKUP(B1330,Customer[#ALL],6)</f>
        <v>Female</v>
      </c>
      <c r="E1330" s="23">
        <f>Sales[Order_Date]</f>
        <v>45378</v>
      </c>
      <c r="F1330" s="21" t="str">
        <f>Sales[Store_ID]</f>
        <v>STORE19</v>
      </c>
      <c r="G1330" s="21" t="str">
        <f t="array" ref="G1330">INDEX(Store[Store_Name],MATCH(F1330,Store[Store_ID],0))</f>
        <v>Mann-Austin</v>
      </c>
      <c r="H1330" s="21" t="str">
        <f>Sales[Product_ID]</f>
        <v>PROD94</v>
      </c>
      <c r="I1330" s="21" t="str">
        <f>VLOOKUP(H1330,Products[],2)</f>
        <v>Vitamin E Body Lotion</v>
      </c>
      <c r="J1330" s="24">
        <f>Sales[Total_Amount]</f>
        <v>1810.0828</v>
      </c>
      <c r="K1330" s="21" t="str">
        <f t="shared" si="1"/>
        <v>Mar</v>
      </c>
      <c r="L1330" s="21">
        <f t="shared" si="2"/>
        <v>2024</v>
      </c>
      <c r="N1330" s="33"/>
      <c r="O1330" s="34"/>
    </row>
    <row r="1331" ht="22.5" customHeight="1">
      <c r="A1331" s="21" t="s">
        <v>3296</v>
      </c>
      <c r="B1331" s="21" t="s">
        <v>705</v>
      </c>
      <c r="C1331" s="21" t="str">
        <f t="array" ref="C1331">XLOOKUP(B1331,Customer[Customer_ID],Customer[Name(Cleaned)])</f>
        <v>Stuart Johnson</v>
      </c>
      <c r="D1331" s="22" t="str">
        <f>VLOOKUP(B1331,Customer[#ALL],6)</f>
        <v>Male</v>
      </c>
      <c r="E1331" s="23">
        <f>Sales[Order_Date]</f>
        <v>45308</v>
      </c>
      <c r="F1331" s="21" t="str">
        <f>Sales[Store_ID]</f>
        <v>STORE0</v>
      </c>
      <c r="G1331" s="21" t="str">
        <f t="array" ref="G1331">INDEX(Store[Store_Name],MATCH(F1331,Store[Store_ID],0))</f>
        <v>Rivera-Warner</v>
      </c>
      <c r="H1331" s="21" t="str">
        <f>Sales[Product_ID]</f>
        <v>PROD21</v>
      </c>
      <c r="I1331" s="21" t="str">
        <f>VLOOKUP(H1331,Products[],2)</f>
        <v>Multi-Purpose Storage Box</v>
      </c>
      <c r="J1331" s="24">
        <f>Sales[Total_Amount]</f>
        <v>972.3296</v>
      </c>
      <c r="K1331" s="21" t="str">
        <f t="shared" si="1"/>
        <v>Jan</v>
      </c>
      <c r="L1331" s="21">
        <f t="shared" si="2"/>
        <v>2024</v>
      </c>
      <c r="N1331" s="33"/>
      <c r="O1331" s="34"/>
    </row>
    <row r="1332" ht="22.5" customHeight="1">
      <c r="A1332" s="21" t="s">
        <v>3297</v>
      </c>
      <c r="B1332" s="21" t="s">
        <v>78</v>
      </c>
      <c r="C1332" s="21" t="str">
        <f t="array" ref="C1332">XLOOKUP(B1332,Customer[Customer_ID],Customer[Name(Cleaned)])</f>
        <v>Laura Alvarez</v>
      </c>
      <c r="D1332" s="22" t="str">
        <f>VLOOKUP(B1332,Customer[#ALL],6)</f>
        <v>Male</v>
      </c>
      <c r="E1332" s="23">
        <f>Sales[Order_Date]</f>
        <v>45407</v>
      </c>
      <c r="F1332" s="21" t="str">
        <f>Sales[Store_ID]</f>
        <v>STORE14</v>
      </c>
      <c r="G1332" s="21" t="str">
        <f t="array" ref="G1332">INDEX(Store[Store_Name],MATCH(F1332,Store[Store_ID],0))</f>
        <v>Mcdonald Inc</v>
      </c>
      <c r="H1332" s="21" t="str">
        <f>Sales[Product_ID]</f>
        <v>PROD18</v>
      </c>
      <c r="I1332" s="21" t="str">
        <f>VLOOKUP(H1332,Products[],2)</f>
        <v>Women's Denim Jeans</v>
      </c>
      <c r="J1332" s="24">
        <f>Sales[Total_Amount]</f>
        <v>2676.699</v>
      </c>
      <c r="K1332" s="21" t="str">
        <f t="shared" si="1"/>
        <v>Apr</v>
      </c>
      <c r="L1332" s="21">
        <f t="shared" si="2"/>
        <v>2024</v>
      </c>
      <c r="N1332" s="33"/>
      <c r="O1332" s="34"/>
    </row>
    <row r="1333" ht="22.5" customHeight="1">
      <c r="A1333" s="21" t="s">
        <v>3298</v>
      </c>
      <c r="B1333" s="21" t="s">
        <v>570</v>
      </c>
      <c r="C1333" s="21" t="str">
        <f t="array" ref="C1333">XLOOKUP(B1333,Customer[Customer_ID],Customer[Name(Cleaned)])</f>
        <v>Daniel Contreras</v>
      </c>
      <c r="D1333" s="22" t="str">
        <f>VLOOKUP(B1333,Customer[#ALL],6)</f>
        <v>Male</v>
      </c>
      <c r="E1333" s="23">
        <f>Sales[Order_Date]</f>
        <v>45929</v>
      </c>
      <c r="F1333" s="21" t="str">
        <f>Sales[Store_ID]</f>
        <v>STORE13</v>
      </c>
      <c r="G1333" s="21" t="str">
        <f t="array" ref="G1333">INDEX(Store[Store_Name],MATCH(F1333,Store[Store_ID],0))</f>
        <v>Gardner, Humphrey and Contreras</v>
      </c>
      <c r="H1333" s="21" t="str">
        <f>Sales[Product_ID]</f>
        <v>PROD21</v>
      </c>
      <c r="I1333" s="21" t="str">
        <f>VLOOKUP(H1333,Products[],2)</f>
        <v>Multi-Purpose Storage Box</v>
      </c>
      <c r="J1333" s="24">
        <f>Sales[Total_Amount]</f>
        <v>2785.7895</v>
      </c>
      <c r="K1333" s="21" t="str">
        <f t="shared" si="1"/>
        <v>Sep</v>
      </c>
      <c r="L1333" s="21">
        <f t="shared" si="2"/>
        <v>2025</v>
      </c>
      <c r="N1333" s="33"/>
      <c r="O1333" s="34"/>
    </row>
    <row r="1334" ht="22.5" customHeight="1">
      <c r="A1334" s="21" t="s">
        <v>3299</v>
      </c>
      <c r="B1334" s="21" t="s">
        <v>684</v>
      </c>
      <c r="C1334" s="21" t="str">
        <f t="array" ref="C1334">XLOOKUP(B1334,Customer[Customer_ID],Customer[Name(Cleaned)])</f>
        <v>Ronald Jones</v>
      </c>
      <c r="D1334" s="22" t="str">
        <f>VLOOKUP(B1334,Customer[#ALL],6)</f>
        <v>Male</v>
      </c>
      <c r="E1334" s="23">
        <f>Sales[Order_Date]</f>
        <v>45844</v>
      </c>
      <c r="F1334" s="21" t="str">
        <f>Sales[Store_ID]</f>
        <v>STORE12</v>
      </c>
      <c r="G1334" s="21" t="str">
        <f t="array" ref="G1334">INDEX(Store[Store_Name],MATCH(F1334,Store[Store_ID],0))</f>
        <v>Thomas, Bridges and Harris</v>
      </c>
      <c r="H1334" s="21" t="str">
        <f>Sales[Product_ID]</f>
        <v>PROD94</v>
      </c>
      <c r="I1334" s="21" t="str">
        <f>VLOOKUP(H1334,Products[],2)</f>
        <v>Vitamin E Body Lotion</v>
      </c>
      <c r="J1334" s="24">
        <f>Sales[Total_Amount]</f>
        <v>493.92</v>
      </c>
      <c r="K1334" s="21" t="str">
        <f t="shared" si="1"/>
        <v>Jul</v>
      </c>
      <c r="L1334" s="21">
        <f t="shared" si="2"/>
        <v>2025</v>
      </c>
      <c r="N1334" s="33"/>
      <c r="O1334" s="34"/>
    </row>
    <row r="1335" ht="22.5" customHeight="1">
      <c r="A1335" s="21" t="s">
        <v>3300</v>
      </c>
      <c r="B1335" s="21" t="s">
        <v>155</v>
      </c>
      <c r="C1335" s="21" t="str">
        <f t="array" ref="C1335">XLOOKUP(B1335,Customer[Customer_ID],Customer[Name(Cleaned)])</f>
        <v>Christopher Carter</v>
      </c>
      <c r="D1335" s="22" t="str">
        <f>VLOOKUP(B1335,Customer[#ALL],6)</f>
        <v>Male</v>
      </c>
      <c r="E1335" s="23">
        <f>Sales[Order_Date]</f>
        <v>45579</v>
      </c>
      <c r="F1335" s="21" t="str">
        <f>Sales[Store_ID]</f>
        <v>STORE16</v>
      </c>
      <c r="G1335" s="21" t="str">
        <f t="array" ref="G1335">INDEX(Store[Store_Name],MATCH(F1335,Store[Store_ID],0))</f>
        <v>Frederick-Wright</v>
      </c>
      <c r="H1335" s="21" t="str">
        <f>Sales[Product_ID]</f>
        <v>PROD6</v>
      </c>
      <c r="I1335" s="21" t="str">
        <f>VLOOKUP(H1335,Products[],2)</f>
        <v>Men's Hair Styling Gel</v>
      </c>
      <c r="J1335" s="24">
        <f>Sales[Total_Amount]</f>
        <v>1320.966</v>
      </c>
      <c r="K1335" s="21" t="str">
        <f t="shared" si="1"/>
        <v>Oct</v>
      </c>
      <c r="L1335" s="21">
        <f t="shared" si="2"/>
        <v>2024</v>
      </c>
      <c r="N1335" s="33"/>
      <c r="O1335" s="34"/>
    </row>
    <row r="1336" ht="22.5" customHeight="1">
      <c r="A1336" s="21" t="s">
        <v>3301</v>
      </c>
      <c r="B1336" s="21" t="s">
        <v>1532</v>
      </c>
      <c r="C1336" s="21" t="str">
        <f t="array" ref="C1336">XLOOKUP(B1336,Customer[Customer_ID],Customer[Name(Cleaned)])</f>
        <v>Amanda Powell</v>
      </c>
      <c r="D1336" s="22" t="str">
        <f>VLOOKUP(B1336,Customer[#ALL],6)</f>
        <v>Female</v>
      </c>
      <c r="E1336" s="23">
        <f>Sales[Order_Date]</f>
        <v>45297</v>
      </c>
      <c r="F1336" s="21" t="str">
        <f>Sales[Store_ID]</f>
        <v>STORE5</v>
      </c>
      <c r="G1336" s="21" t="str">
        <f t="array" ref="G1336">INDEX(Store[Store_Name],MATCH(F1336,Store[Store_ID],0))</f>
        <v>Gray Ltd</v>
      </c>
      <c r="H1336" s="21" t="str">
        <f>Sales[Product_ID]</f>
        <v>PROD59</v>
      </c>
      <c r="I1336" s="21" t="str">
        <f>VLOOKUP(H1336,Products[],2)</f>
        <v>Men's Hair Styling Gel</v>
      </c>
      <c r="J1336" s="24">
        <f>Sales[Total_Amount]</f>
        <v>1833.438</v>
      </c>
      <c r="K1336" s="21" t="str">
        <f t="shared" si="1"/>
        <v>Jan</v>
      </c>
      <c r="L1336" s="21">
        <f t="shared" si="2"/>
        <v>2024</v>
      </c>
      <c r="N1336" s="33"/>
      <c r="O1336" s="34"/>
    </row>
    <row r="1337" ht="22.5" customHeight="1">
      <c r="A1337" s="21" t="s">
        <v>3302</v>
      </c>
      <c r="B1337" s="21" t="s">
        <v>272</v>
      </c>
      <c r="C1337" s="21" t="str">
        <f t="array" ref="C1337">XLOOKUP(B1337,Customer[Customer_ID],Customer[Name(Cleaned)])</f>
        <v>Tonya Burch</v>
      </c>
      <c r="D1337" s="22" t="str">
        <f>VLOOKUP(B1337,Customer[#ALL],6)</f>
        <v>Male</v>
      </c>
      <c r="E1337" s="23">
        <f>Sales[Order_Date]</f>
        <v>45486</v>
      </c>
      <c r="F1337" s="21" t="str">
        <f>Sales[Store_ID]</f>
        <v>STORE19</v>
      </c>
      <c r="G1337" s="21" t="str">
        <f t="array" ref="G1337">INDEX(Store[Store_Name],MATCH(F1337,Store[Store_ID],0))</f>
        <v>Mann-Austin</v>
      </c>
      <c r="H1337" s="21" t="str">
        <f>Sales[Product_ID]</f>
        <v>PROD26</v>
      </c>
      <c r="I1337" s="21" t="str">
        <f>VLOOKUP(H1337,Products[],2)</f>
        <v>Wireless Bluetooth Speaker</v>
      </c>
      <c r="J1337" s="24">
        <f>Sales[Total_Amount]</f>
        <v>1625.3796</v>
      </c>
      <c r="K1337" s="21" t="str">
        <f t="shared" si="1"/>
        <v>Jul</v>
      </c>
      <c r="L1337" s="21">
        <f t="shared" si="2"/>
        <v>2024</v>
      </c>
      <c r="N1337" s="33"/>
      <c r="O1337" s="34"/>
    </row>
    <row r="1338" ht="22.5" customHeight="1">
      <c r="A1338" s="21" t="s">
        <v>3303</v>
      </c>
      <c r="B1338" s="21" t="s">
        <v>349</v>
      </c>
      <c r="C1338" s="21" t="str">
        <f t="array" ref="C1338">XLOOKUP(B1338,Customer[Customer_ID],Customer[Name(Cleaned)])</f>
        <v>Amy Fowler</v>
      </c>
      <c r="D1338" s="22" t="str">
        <f>VLOOKUP(B1338,Customer[#ALL],6)</f>
        <v>Male</v>
      </c>
      <c r="E1338" s="23">
        <f>Sales[Order_Date]</f>
        <v>45227</v>
      </c>
      <c r="F1338" s="21" t="str">
        <f>Sales[Store_ID]</f>
        <v>STORE16</v>
      </c>
      <c r="G1338" s="21" t="str">
        <f t="array" ref="G1338">INDEX(Store[Store_Name],MATCH(F1338,Store[Store_ID],0))</f>
        <v>Frederick-Wright</v>
      </c>
      <c r="H1338" s="21" t="str">
        <f>Sales[Product_ID]</f>
        <v>PROD19</v>
      </c>
      <c r="I1338" s="21" t="str">
        <f>VLOOKUP(H1338,Products[],2)</f>
        <v>Knee Support Brace</v>
      </c>
      <c r="J1338" s="24">
        <f>Sales[Total_Amount]</f>
        <v>35.0532</v>
      </c>
      <c r="K1338" s="21" t="str">
        <f t="shared" si="1"/>
        <v>Oct</v>
      </c>
      <c r="L1338" s="21">
        <f t="shared" si="2"/>
        <v>2023</v>
      </c>
      <c r="N1338" s="33"/>
      <c r="O1338" s="34"/>
    </row>
    <row r="1339" ht="22.5" customHeight="1">
      <c r="A1339" s="21" t="s">
        <v>3304</v>
      </c>
      <c r="B1339" s="21" t="s">
        <v>1107</v>
      </c>
      <c r="C1339" s="21" t="str">
        <f t="array" ref="C1339">XLOOKUP(B1339,Customer[Customer_ID],Customer[Name(Cleaned)])</f>
        <v>Sherry Cabrera</v>
      </c>
      <c r="D1339" s="22" t="str">
        <f>VLOOKUP(B1339,Customer[#ALL],6)</f>
        <v>Female</v>
      </c>
      <c r="E1339" s="23">
        <f>Sales[Order_Date]</f>
        <v>45380</v>
      </c>
      <c r="F1339" s="21" t="str">
        <f>Sales[Store_ID]</f>
        <v>STORE13</v>
      </c>
      <c r="G1339" s="21" t="str">
        <f t="array" ref="G1339">INDEX(Store[Store_Name],MATCH(F1339,Store[Store_ID],0))</f>
        <v>Gardner, Humphrey and Contreras</v>
      </c>
      <c r="H1339" s="21" t="str">
        <f>Sales[Product_ID]</f>
        <v>PROD57</v>
      </c>
      <c r="I1339" s="21" t="str">
        <f>VLOOKUP(H1339,Products[],2)</f>
        <v>Foam Roller</v>
      </c>
      <c r="J1339" s="24">
        <f>Sales[Total_Amount]</f>
        <v>2266.7328</v>
      </c>
      <c r="K1339" s="21" t="str">
        <f t="shared" si="1"/>
        <v>Mar</v>
      </c>
      <c r="L1339" s="21">
        <f t="shared" si="2"/>
        <v>2024</v>
      </c>
      <c r="N1339" s="33"/>
      <c r="O1339" s="34"/>
    </row>
    <row r="1340" ht="22.5" customHeight="1">
      <c r="A1340" s="21" t="s">
        <v>3305</v>
      </c>
      <c r="B1340" s="21" t="s">
        <v>952</v>
      </c>
      <c r="C1340" s="21" t="str">
        <f t="array" ref="C1340">XLOOKUP(B1340,Customer[Customer_ID],Customer[Name(Cleaned)])</f>
        <v>Jared Moran</v>
      </c>
      <c r="D1340" s="22" t="str">
        <f>VLOOKUP(B1340,Customer[#ALL],6)</f>
        <v>Male</v>
      </c>
      <c r="E1340" s="23">
        <f>Sales[Order_Date]</f>
        <v>45817</v>
      </c>
      <c r="F1340" s="21" t="str">
        <f>Sales[Store_ID]</f>
        <v>STORE10</v>
      </c>
      <c r="G1340" s="21" t="str">
        <f t="array" ref="G1340">INDEX(Store[Store_Name],MATCH(F1340,Store[Store_ID],0))</f>
        <v>Hill, Wagner and Ballard</v>
      </c>
      <c r="H1340" s="21" t="str">
        <f>Sales[Product_ID]</f>
        <v>PROD14</v>
      </c>
      <c r="I1340" s="21" t="str">
        <f>VLOOKUP(H1340,Products[],2)</f>
        <v>Decorative Wall Mirror</v>
      </c>
      <c r="J1340" s="24">
        <f>Sales[Total_Amount]</f>
        <v>723.2544</v>
      </c>
      <c r="K1340" s="21" t="str">
        <f t="shared" si="1"/>
        <v>Jun</v>
      </c>
      <c r="L1340" s="21">
        <f t="shared" si="2"/>
        <v>2025</v>
      </c>
      <c r="N1340" s="33"/>
      <c r="O1340" s="34"/>
    </row>
    <row r="1341" ht="22.5" customHeight="1">
      <c r="A1341" s="21" t="s">
        <v>3306</v>
      </c>
      <c r="B1341" s="21" t="s">
        <v>669</v>
      </c>
      <c r="C1341" s="21" t="str">
        <f t="array" ref="C1341">XLOOKUP(B1341,Customer[Customer_ID],Customer[Name(Cleaned)])</f>
        <v>Mary Boyd</v>
      </c>
      <c r="D1341" s="22" t="str">
        <f>VLOOKUP(B1341,Customer[#ALL],6)</f>
        <v>Male</v>
      </c>
      <c r="E1341" s="23">
        <f>Sales[Order_Date]</f>
        <v>45576</v>
      </c>
      <c r="F1341" s="21" t="str">
        <f>Sales[Store_ID]</f>
        <v>STORE12</v>
      </c>
      <c r="G1341" s="21" t="str">
        <f t="array" ref="G1341">INDEX(Store[Store_Name],MATCH(F1341,Store[Store_ID],0))</f>
        <v>Thomas, Bridges and Harris</v>
      </c>
      <c r="H1341" s="21" t="str">
        <f>Sales[Product_ID]</f>
        <v>PROD71</v>
      </c>
      <c r="I1341" s="21" t="str">
        <f>VLOOKUP(H1341,Products[],2)</f>
        <v>Hair Repair Oil Treatment</v>
      </c>
      <c r="J1341" s="24">
        <f>Sales[Total_Amount]</f>
        <v>2989.0784</v>
      </c>
      <c r="K1341" s="21" t="str">
        <f t="shared" si="1"/>
        <v>Oct</v>
      </c>
      <c r="L1341" s="21">
        <f t="shared" si="2"/>
        <v>2024</v>
      </c>
      <c r="N1341" s="33"/>
      <c r="O1341" s="34"/>
    </row>
    <row r="1342" ht="22.5" customHeight="1">
      <c r="A1342" s="21" t="s">
        <v>3307</v>
      </c>
      <c r="B1342" s="21" t="s">
        <v>1200</v>
      </c>
      <c r="C1342" s="21" t="str">
        <f t="array" ref="C1342">XLOOKUP(B1342,Customer[Customer_ID],Customer[Name(Cleaned)])</f>
        <v>Tanya Lopez</v>
      </c>
      <c r="D1342" s="22" t="str">
        <f>VLOOKUP(B1342,Customer[#ALL],6)</f>
        <v>Male</v>
      </c>
      <c r="E1342" s="23">
        <f>Sales[Order_Date]</f>
        <v>45495</v>
      </c>
      <c r="F1342" s="21" t="str">
        <f>Sales[Store_ID]</f>
        <v>STORE0</v>
      </c>
      <c r="G1342" s="21" t="str">
        <f t="array" ref="G1342">INDEX(Store[Store_Name],MATCH(F1342,Store[Store_ID],0))</f>
        <v>Rivera-Warner</v>
      </c>
      <c r="H1342" s="21" t="str">
        <f>Sales[Product_ID]</f>
        <v>PROD20</v>
      </c>
      <c r="I1342" s="21" t="str">
        <f>VLOOKUP(H1342,Products[],2)</f>
        <v>Outdoor Sports Water Bottle</v>
      </c>
      <c r="J1342" s="24">
        <f>Sales[Total_Amount]</f>
        <v>1756.35</v>
      </c>
      <c r="K1342" s="21" t="str">
        <f t="shared" si="1"/>
        <v>Jul</v>
      </c>
      <c r="L1342" s="21">
        <f t="shared" si="2"/>
        <v>2024</v>
      </c>
      <c r="N1342" s="33"/>
      <c r="O1342" s="34"/>
    </row>
    <row r="1343" ht="22.5" customHeight="1">
      <c r="A1343" s="21" t="s">
        <v>3308</v>
      </c>
      <c r="B1343" s="21" t="s">
        <v>1482</v>
      </c>
      <c r="C1343" s="21" t="str">
        <f t="array" ref="C1343">XLOOKUP(B1343,Customer[Customer_ID],Customer[Name(Cleaned)])</f>
        <v>Elizabeth Foster</v>
      </c>
      <c r="D1343" s="22" t="str">
        <f>VLOOKUP(B1343,Customer[#ALL],6)</f>
        <v>Male</v>
      </c>
      <c r="E1343" s="23">
        <f>Sales[Order_Date]</f>
        <v>45628</v>
      </c>
      <c r="F1343" s="21" t="str">
        <f>Sales[Store_ID]</f>
        <v>STORE16</v>
      </c>
      <c r="G1343" s="21" t="str">
        <f t="array" ref="G1343">INDEX(Store[Store_Name],MATCH(F1343,Store[Store_ID],0))</f>
        <v>Frederick-Wright</v>
      </c>
      <c r="H1343" s="21" t="str">
        <f>Sales[Product_ID]</f>
        <v>PROD75</v>
      </c>
      <c r="I1343" s="21" t="str">
        <f>VLOOKUP(H1343,Products[],2)</f>
        <v>Women's Ankle Boots</v>
      </c>
      <c r="J1343" s="24">
        <f>Sales[Total_Amount]</f>
        <v>558.8625</v>
      </c>
      <c r="K1343" s="21" t="str">
        <f t="shared" si="1"/>
        <v>Dec</v>
      </c>
      <c r="L1343" s="21">
        <f t="shared" si="2"/>
        <v>2024</v>
      </c>
      <c r="N1343" s="33"/>
      <c r="O1343" s="34"/>
    </row>
    <row r="1344" ht="22.5" customHeight="1">
      <c r="A1344" s="21" t="s">
        <v>3309</v>
      </c>
      <c r="B1344" s="21" t="s">
        <v>199</v>
      </c>
      <c r="C1344" s="21" t="str">
        <f t="array" ref="C1344">XLOOKUP(B1344,Customer[Customer_ID],Customer[Name(Cleaned)])</f>
        <v>Matthew Hunter Jr.</v>
      </c>
      <c r="D1344" s="22" t="str">
        <f>VLOOKUP(B1344,Customer[#ALL],6)</f>
        <v>Male</v>
      </c>
      <c r="E1344" s="23">
        <f>Sales[Order_Date]</f>
        <v>45244</v>
      </c>
      <c r="F1344" s="21" t="str">
        <f>Sales[Store_ID]</f>
        <v>STORE2</v>
      </c>
      <c r="G1344" s="21" t="str">
        <f t="array" ref="G1344">INDEX(Store[Store_Name],MATCH(F1344,Store[Store_ID],0))</f>
        <v>Black-Horn</v>
      </c>
      <c r="H1344" s="21" t="str">
        <f>Sales[Product_ID]</f>
        <v>PROD99</v>
      </c>
      <c r="I1344" s="21" t="str">
        <f>VLOOKUP(H1344,Products[],2)</f>
        <v>Stainless Steel Cookware Set</v>
      </c>
      <c r="J1344" s="24">
        <f>Sales[Total_Amount]</f>
        <v>814.7424</v>
      </c>
      <c r="K1344" s="21" t="str">
        <f t="shared" si="1"/>
        <v>Nov</v>
      </c>
      <c r="L1344" s="21">
        <f t="shared" si="2"/>
        <v>2023</v>
      </c>
      <c r="N1344" s="33"/>
      <c r="O1344" s="34"/>
    </row>
    <row r="1345" ht="22.5" customHeight="1">
      <c r="A1345" s="21" t="s">
        <v>3310</v>
      </c>
      <c r="B1345" s="21" t="s">
        <v>1299</v>
      </c>
      <c r="C1345" s="21" t="str">
        <f t="array" ref="C1345">XLOOKUP(B1345,Customer[Customer_ID],Customer[Name(Cleaned)])</f>
        <v>Megan Ryan</v>
      </c>
      <c r="D1345" s="22" t="str">
        <f>VLOOKUP(B1345,Customer[#ALL],6)</f>
        <v>Male</v>
      </c>
      <c r="E1345" s="23">
        <f>Sales[Order_Date]</f>
        <v>45336</v>
      </c>
      <c r="F1345" s="21" t="str">
        <f>Sales[Store_ID]</f>
        <v>STORE14</v>
      </c>
      <c r="G1345" s="21" t="str">
        <f t="array" ref="G1345">INDEX(Store[Store_Name],MATCH(F1345,Store[Store_ID],0))</f>
        <v>Mcdonald Inc</v>
      </c>
      <c r="H1345" s="21" t="str">
        <f>Sales[Product_ID]</f>
        <v>PROD70</v>
      </c>
      <c r="I1345" s="21" t="str">
        <f>VLOOKUP(H1345,Products[],2)</f>
        <v>Kitchen Storage Rack</v>
      </c>
      <c r="J1345" s="24">
        <f>Sales[Total_Amount]</f>
        <v>445.806</v>
      </c>
      <c r="K1345" s="21" t="str">
        <f t="shared" si="1"/>
        <v>Feb</v>
      </c>
      <c r="L1345" s="21">
        <f t="shared" si="2"/>
        <v>2024</v>
      </c>
      <c r="N1345" s="33"/>
      <c r="O1345" s="34"/>
    </row>
    <row r="1346" ht="22.5" customHeight="1">
      <c r="A1346" s="21" t="s">
        <v>3311</v>
      </c>
      <c r="B1346" s="21" t="s">
        <v>161</v>
      </c>
      <c r="C1346" s="21" t="str">
        <f t="array" ref="C1346">XLOOKUP(B1346,Customer[Customer_ID],Customer[Name(Cleaned)])</f>
        <v>Tonya Reynolds</v>
      </c>
      <c r="D1346" s="22" t="str">
        <f>VLOOKUP(B1346,Customer[#ALL],6)</f>
        <v>Male</v>
      </c>
      <c r="E1346" s="23">
        <f>Sales[Order_Date]</f>
        <v>45465</v>
      </c>
      <c r="F1346" s="21" t="str">
        <f>Sales[Store_ID]</f>
        <v>STORE3</v>
      </c>
      <c r="G1346" s="21" t="str">
        <f t="array" ref="G1346">INDEX(Store[Store_Name],MATCH(F1346,Store[Store_ID],0))</f>
        <v>Johnson-Wright</v>
      </c>
      <c r="H1346" s="21" t="str">
        <f>Sales[Product_ID]</f>
        <v>PROD74</v>
      </c>
      <c r="I1346" s="21" t="str">
        <f>VLOOKUP(H1346,Products[],2)</f>
        <v>Bluetooth Car Audio System</v>
      </c>
      <c r="J1346" s="24">
        <f>Sales[Total_Amount]</f>
        <v>648.2994</v>
      </c>
      <c r="K1346" s="21" t="str">
        <f t="shared" si="1"/>
        <v>Jun</v>
      </c>
      <c r="L1346" s="21">
        <f t="shared" si="2"/>
        <v>2024</v>
      </c>
      <c r="N1346" s="33"/>
      <c r="O1346" s="34"/>
    </row>
    <row r="1347" ht="22.5" customHeight="1">
      <c r="A1347" s="21" t="s">
        <v>3312</v>
      </c>
      <c r="B1347" s="21" t="s">
        <v>1044</v>
      </c>
      <c r="C1347" s="21" t="str">
        <f t="array" ref="C1347">XLOOKUP(B1347,Customer[Customer_ID],Customer[Name(Cleaned)])</f>
        <v>Reginald Willis</v>
      </c>
      <c r="D1347" s="22" t="str">
        <f>VLOOKUP(B1347,Customer[#ALL],6)</f>
        <v>Male</v>
      </c>
      <c r="E1347" s="23">
        <f>Sales[Order_Date]</f>
        <v>45837</v>
      </c>
      <c r="F1347" s="21" t="str">
        <f>Sales[Store_ID]</f>
        <v>STORE16</v>
      </c>
      <c r="G1347" s="21" t="str">
        <f t="array" ref="G1347">INDEX(Store[Store_Name],MATCH(F1347,Store[Store_ID],0))</f>
        <v>Frederick-Wright</v>
      </c>
      <c r="H1347" s="21" t="str">
        <f>Sales[Product_ID]</f>
        <v>PROD15</v>
      </c>
      <c r="I1347" s="21" t="str">
        <f>VLOOKUP(H1347,Products[],2)</f>
        <v>4K Home Projector</v>
      </c>
      <c r="J1347" s="24">
        <f>Sales[Total_Amount]</f>
        <v>1363.9184</v>
      </c>
      <c r="K1347" s="21" t="str">
        <f t="shared" si="1"/>
        <v>Jun</v>
      </c>
      <c r="L1347" s="21">
        <f t="shared" si="2"/>
        <v>2025</v>
      </c>
      <c r="N1347" s="33"/>
      <c r="O1347" s="34"/>
    </row>
    <row r="1348" ht="22.5" customHeight="1">
      <c r="A1348" s="21" t="s">
        <v>3313</v>
      </c>
      <c r="B1348" s="21" t="s">
        <v>969</v>
      </c>
      <c r="C1348" s="21" t="str">
        <f t="array" ref="C1348">XLOOKUP(B1348,Customer[Customer_ID],Customer[Name(Cleaned)])</f>
        <v>Edward Cole</v>
      </c>
      <c r="D1348" s="22" t="str">
        <f>VLOOKUP(B1348,Customer[#ALL],6)</f>
        <v>Female</v>
      </c>
      <c r="E1348" s="23">
        <f>Sales[Order_Date]</f>
        <v>45241</v>
      </c>
      <c r="F1348" s="21" t="str">
        <f>Sales[Store_ID]</f>
        <v>STORE8</v>
      </c>
      <c r="G1348" s="21" t="str">
        <f t="array" ref="G1348">INDEX(Store[Store_Name],MATCH(F1348,Store[Store_ID],0))</f>
        <v>Bean, Jones and Park</v>
      </c>
      <c r="H1348" s="21" t="str">
        <f>Sales[Product_ID]</f>
        <v>PROD23</v>
      </c>
      <c r="I1348" s="21" t="str">
        <f>VLOOKUP(H1348,Products[],2)</f>
        <v>Men's Formal Shirt</v>
      </c>
      <c r="J1348" s="24">
        <f>Sales[Total_Amount]</f>
        <v>945.2172</v>
      </c>
      <c r="K1348" s="21" t="str">
        <f t="shared" si="1"/>
        <v>Nov</v>
      </c>
      <c r="L1348" s="21">
        <f t="shared" si="2"/>
        <v>2023</v>
      </c>
      <c r="N1348" s="33"/>
      <c r="O1348" s="34"/>
    </row>
    <row r="1349" ht="22.5" customHeight="1">
      <c r="A1349" s="21" t="s">
        <v>3314</v>
      </c>
      <c r="B1349" s="21" t="s">
        <v>1236</v>
      </c>
      <c r="C1349" s="21" t="str">
        <f t="array" ref="C1349">XLOOKUP(B1349,Customer[Customer_ID],Customer[Name(Cleaned)])</f>
        <v>Heidi Tyler</v>
      </c>
      <c r="D1349" s="22" t="str">
        <f>VLOOKUP(B1349,Customer[#ALL],6)</f>
        <v>Male</v>
      </c>
      <c r="E1349" s="23">
        <f>Sales[Order_Date]</f>
        <v>45706</v>
      </c>
      <c r="F1349" s="21" t="str">
        <f>Sales[Store_ID]</f>
        <v>STORE19</v>
      </c>
      <c r="G1349" s="21" t="str">
        <f t="array" ref="G1349">INDEX(Store[Store_Name],MATCH(F1349,Store[Store_ID],0))</f>
        <v>Mann-Austin</v>
      </c>
      <c r="H1349" s="21" t="str">
        <f>Sales[Product_ID]</f>
        <v>PROD29</v>
      </c>
      <c r="I1349" s="21" t="str">
        <f>VLOOKUP(H1349,Products[],2)</f>
        <v>Fabric Sofa Throw Blanket</v>
      </c>
      <c r="J1349" s="24">
        <f>Sales[Total_Amount]</f>
        <v>1245.4304</v>
      </c>
      <c r="K1349" s="21" t="str">
        <f t="shared" si="1"/>
        <v>Feb</v>
      </c>
      <c r="L1349" s="21">
        <f t="shared" si="2"/>
        <v>2025</v>
      </c>
      <c r="N1349" s="33"/>
      <c r="O1349" s="34"/>
    </row>
    <row r="1350" ht="22.5" customHeight="1">
      <c r="A1350" s="21" t="s">
        <v>3315</v>
      </c>
      <c r="B1350" s="21" t="s">
        <v>176</v>
      </c>
      <c r="C1350" s="21" t="str">
        <f t="array" ref="C1350">XLOOKUP(B1350,Customer[Customer_ID],Customer[Name(Cleaned)])</f>
        <v>Joseph Snow</v>
      </c>
      <c r="D1350" s="22" t="str">
        <f>VLOOKUP(B1350,Customer[#ALL],6)</f>
        <v>Female</v>
      </c>
      <c r="E1350" s="23">
        <f>Sales[Order_Date]</f>
        <v>45823</v>
      </c>
      <c r="F1350" s="21" t="str">
        <f>Sales[Store_ID]</f>
        <v>STORE12</v>
      </c>
      <c r="G1350" s="21" t="str">
        <f t="array" ref="G1350">INDEX(Store[Store_Name],MATCH(F1350,Store[Store_ID],0))</f>
        <v>Thomas, Bridges and Harris</v>
      </c>
      <c r="H1350" s="21" t="str">
        <f>Sales[Product_ID]</f>
        <v>PROD39</v>
      </c>
      <c r="I1350" s="21" t="str">
        <f>VLOOKUP(H1350,Products[],2)</f>
        <v>Portable Power Bank</v>
      </c>
      <c r="J1350" s="24">
        <f>Sales[Total_Amount]</f>
        <v>693.783</v>
      </c>
      <c r="K1350" s="21" t="str">
        <f t="shared" si="1"/>
        <v>Jun</v>
      </c>
      <c r="L1350" s="21">
        <f t="shared" si="2"/>
        <v>2025</v>
      </c>
      <c r="N1350" s="33"/>
      <c r="O1350" s="34"/>
    </row>
    <row r="1351" ht="22.5" customHeight="1">
      <c r="A1351" s="21" t="s">
        <v>3316</v>
      </c>
      <c r="B1351" s="21" t="s">
        <v>1491</v>
      </c>
      <c r="C1351" s="21" t="str">
        <f t="array" ref="C1351">XLOOKUP(B1351,Customer[Customer_ID],Customer[Name(Cleaned)])</f>
        <v>Dylan Gutierrez</v>
      </c>
      <c r="D1351" s="22" t="str">
        <f>VLOOKUP(B1351,Customer[#ALL],6)</f>
        <v>Female</v>
      </c>
      <c r="E1351" s="23">
        <f>Sales[Order_Date]</f>
        <v>45518</v>
      </c>
      <c r="F1351" s="21" t="str">
        <f>Sales[Store_ID]</f>
        <v>STORE17</v>
      </c>
      <c r="G1351" s="21" t="str">
        <f t="array" ref="G1351">INDEX(Store[Store_Name],MATCH(F1351,Store[Store_ID],0))</f>
        <v>Holloway Ltd</v>
      </c>
      <c r="H1351" s="21" t="str">
        <f>Sales[Product_ID]</f>
        <v>PROD99</v>
      </c>
      <c r="I1351" s="21" t="str">
        <f>VLOOKUP(H1351,Products[],2)</f>
        <v>Stainless Steel Cookware Set</v>
      </c>
      <c r="J1351" s="24">
        <f>Sales[Total_Amount]</f>
        <v>1430.6706</v>
      </c>
      <c r="K1351" s="21" t="str">
        <f t="shared" si="1"/>
        <v>Aug</v>
      </c>
      <c r="L1351" s="21">
        <f t="shared" si="2"/>
        <v>2024</v>
      </c>
      <c r="N1351" s="33"/>
      <c r="O1351" s="34"/>
    </row>
    <row r="1352" ht="22.5" customHeight="1">
      <c r="A1352" s="21" t="s">
        <v>3317</v>
      </c>
      <c r="B1352" s="21" t="s">
        <v>622</v>
      </c>
      <c r="C1352" s="21" t="str">
        <f t="array" ref="C1352">XLOOKUP(B1352,Customer[Customer_ID],Customer[Name(Cleaned)])</f>
        <v>Brent Rivas</v>
      </c>
      <c r="D1352" s="22" t="str">
        <f>VLOOKUP(B1352,Customer[#ALL],6)</f>
        <v>Male</v>
      </c>
      <c r="E1352" s="23">
        <f>Sales[Order_Date]</f>
        <v>45863</v>
      </c>
      <c r="F1352" s="21" t="str">
        <f>Sales[Store_ID]</f>
        <v>STORE9</v>
      </c>
      <c r="G1352" s="21" t="str">
        <f t="array" ref="G1352">INDEX(Store[Store_Name],MATCH(F1352,Store[Store_ID],0))</f>
        <v>Moore, Padilla and Butler</v>
      </c>
      <c r="H1352" s="21" t="str">
        <f>Sales[Product_ID]</f>
        <v>PROD66</v>
      </c>
      <c r="I1352" s="21" t="str">
        <f>VLOOKUP(H1352,Products[],2)</f>
        <v>Women's Hair Dryer Brush</v>
      </c>
      <c r="J1352" s="24">
        <f>Sales[Total_Amount]</f>
        <v>82.5132</v>
      </c>
      <c r="K1352" s="21" t="str">
        <f t="shared" si="1"/>
        <v>Jul</v>
      </c>
      <c r="L1352" s="21">
        <f t="shared" si="2"/>
        <v>2025</v>
      </c>
      <c r="N1352" s="33"/>
      <c r="O1352" s="34"/>
    </row>
    <row r="1353" ht="22.5" customHeight="1">
      <c r="A1353" s="21" t="s">
        <v>3318</v>
      </c>
      <c r="B1353" s="21" t="s">
        <v>43</v>
      </c>
      <c r="C1353" s="21" t="str">
        <f t="array" ref="C1353">XLOOKUP(B1353,Customer[Customer_ID],Customer[Name(Cleaned)])</f>
        <v>Amber Jackson</v>
      </c>
      <c r="D1353" s="22" t="str">
        <f>VLOOKUP(B1353,Customer[#ALL],6)</f>
        <v>Male</v>
      </c>
      <c r="E1353" s="23">
        <f>Sales[Order_Date]</f>
        <v>45666</v>
      </c>
      <c r="F1353" s="21" t="str">
        <f>Sales[Store_ID]</f>
        <v>STORE4</v>
      </c>
      <c r="G1353" s="21" t="str">
        <f t="array" ref="G1353">INDEX(Store[Store_Name],MATCH(F1353,Store[Store_ID],0))</f>
        <v>Alexander Group</v>
      </c>
      <c r="H1353" s="21" t="str">
        <f>Sales[Product_ID]</f>
        <v>PROD93</v>
      </c>
      <c r="I1353" s="21" t="str">
        <f>VLOOKUP(H1353,Products[],2)</f>
        <v>USB-C Laptop Charger</v>
      </c>
      <c r="J1353" s="24">
        <f>Sales[Total_Amount]</f>
        <v>1204.6944</v>
      </c>
      <c r="K1353" s="21" t="str">
        <f t="shared" si="1"/>
        <v>Jan</v>
      </c>
      <c r="L1353" s="21">
        <f t="shared" si="2"/>
        <v>2025</v>
      </c>
      <c r="N1353" s="33"/>
      <c r="O1353" s="34"/>
    </row>
    <row r="1354" ht="22.5" customHeight="1">
      <c r="A1354" s="21" t="s">
        <v>3319</v>
      </c>
      <c r="B1354" s="21" t="s">
        <v>189</v>
      </c>
      <c r="C1354" s="21" t="str">
        <f t="array" ref="C1354">XLOOKUP(B1354,Customer[Customer_ID],Customer[Name(Cleaned)])</f>
        <v>Gina Knight</v>
      </c>
      <c r="D1354" s="22" t="str">
        <f>VLOOKUP(B1354,Customer[#ALL],6)</f>
        <v>Male</v>
      </c>
      <c r="E1354" s="23">
        <f>Sales[Order_Date]</f>
        <v>45813</v>
      </c>
      <c r="F1354" s="21" t="str">
        <f>Sales[Store_ID]</f>
        <v>STORE14</v>
      </c>
      <c r="G1354" s="21" t="str">
        <f t="array" ref="G1354">INDEX(Store[Store_Name],MATCH(F1354,Store[Store_ID],0))</f>
        <v>Mcdonald Inc</v>
      </c>
      <c r="H1354" s="21" t="str">
        <f>Sales[Product_ID]</f>
        <v>PROD70</v>
      </c>
      <c r="I1354" s="21" t="str">
        <f>VLOOKUP(H1354,Products[],2)</f>
        <v>Kitchen Storage Rack</v>
      </c>
      <c r="J1354" s="24">
        <f>Sales[Total_Amount]</f>
        <v>97.443</v>
      </c>
      <c r="K1354" s="21" t="str">
        <f t="shared" si="1"/>
        <v>Jun</v>
      </c>
      <c r="L1354" s="21">
        <f t="shared" si="2"/>
        <v>2025</v>
      </c>
      <c r="N1354" s="33"/>
      <c r="O1354" s="34"/>
    </row>
    <row r="1355" ht="22.5" customHeight="1">
      <c r="A1355" s="21" t="s">
        <v>3320</v>
      </c>
      <c r="B1355" s="21" t="s">
        <v>1104</v>
      </c>
      <c r="C1355" s="21" t="str">
        <f t="array" ref="C1355">XLOOKUP(B1355,Customer[Customer_ID],Customer[Name(Cleaned)])</f>
        <v>Justin Mason Dds</v>
      </c>
      <c r="D1355" s="22" t="str">
        <f>VLOOKUP(B1355,Customer[#ALL],6)</f>
        <v>Male</v>
      </c>
      <c r="E1355" s="23">
        <f>Sales[Order_Date]</f>
        <v>45633</v>
      </c>
      <c r="F1355" s="21" t="str">
        <f>Sales[Store_ID]</f>
        <v>STORE17</v>
      </c>
      <c r="G1355" s="21" t="str">
        <f t="array" ref="G1355">INDEX(Store[Store_Name],MATCH(F1355,Store[Store_ID],0))</f>
        <v>Holloway Ltd</v>
      </c>
      <c r="H1355" s="21" t="str">
        <f>Sales[Product_ID]</f>
        <v>PROD38</v>
      </c>
      <c r="I1355" s="21" t="str">
        <f>VLOOKUP(H1355,Products[],2)</f>
        <v>Sports Water Hydration Pack</v>
      </c>
      <c r="J1355" s="24">
        <f>Sales[Total_Amount]</f>
        <v>1325.9992</v>
      </c>
      <c r="K1355" s="21" t="str">
        <f t="shared" si="1"/>
        <v>Dec</v>
      </c>
      <c r="L1355" s="21">
        <f t="shared" si="2"/>
        <v>2024</v>
      </c>
      <c r="N1355" s="33"/>
      <c r="O1355" s="34"/>
    </row>
    <row r="1356" ht="22.5" customHeight="1">
      <c r="A1356" s="21" t="s">
        <v>3321</v>
      </c>
      <c r="B1356" s="21" t="s">
        <v>1212</v>
      </c>
      <c r="C1356" s="21" t="str">
        <f t="array" ref="C1356">XLOOKUP(B1356,Customer[Customer_ID],Customer[Name(Cleaned)])</f>
        <v>Kristine Higgins</v>
      </c>
      <c r="D1356" s="22" t="str">
        <f>VLOOKUP(B1356,Customer[#ALL],6)</f>
        <v>Male</v>
      </c>
      <c r="E1356" s="23">
        <f>Sales[Order_Date]</f>
        <v>45331</v>
      </c>
      <c r="F1356" s="21" t="str">
        <f>Sales[Store_ID]</f>
        <v>STORE10</v>
      </c>
      <c r="G1356" s="21" t="str">
        <f t="array" ref="G1356">INDEX(Store[Store_Name],MATCH(F1356,Store[Store_ID],0))</f>
        <v>Hill, Wagner and Ballard</v>
      </c>
      <c r="H1356" s="21" t="str">
        <f>Sales[Product_ID]</f>
        <v>PROD58</v>
      </c>
      <c r="I1356" s="21" t="str">
        <f>VLOOKUP(H1356,Products[],2)</f>
        <v>Womens Cotton Scarf</v>
      </c>
      <c r="J1356" s="24">
        <f>Sales[Total_Amount]</f>
        <v>829.9606</v>
      </c>
      <c r="K1356" s="21" t="str">
        <f t="shared" si="1"/>
        <v>Feb</v>
      </c>
      <c r="L1356" s="21">
        <f t="shared" si="2"/>
        <v>2024</v>
      </c>
      <c r="N1356" s="33"/>
      <c r="O1356" s="34"/>
    </row>
    <row r="1357" ht="22.5" customHeight="1">
      <c r="A1357" s="21" t="s">
        <v>3322</v>
      </c>
      <c r="B1357" s="21" t="s">
        <v>1256</v>
      </c>
      <c r="C1357" s="21" t="str">
        <f t="array" ref="C1357">XLOOKUP(B1357,Customer[Customer_ID],Customer[Name(Cleaned)])</f>
        <v>Jennifer Johnson</v>
      </c>
      <c r="D1357" s="22" t="str">
        <f>VLOOKUP(B1357,Customer[#ALL],6)</f>
        <v>Female</v>
      </c>
      <c r="E1357" s="23">
        <f>Sales[Order_Date]</f>
        <v>45942</v>
      </c>
      <c r="F1357" s="21" t="str">
        <f>Sales[Store_ID]</f>
        <v>STORE14</v>
      </c>
      <c r="G1357" s="21" t="str">
        <f t="array" ref="G1357">INDEX(Store[Store_Name],MATCH(F1357,Store[Store_ID],0))</f>
        <v>Mcdonald Inc</v>
      </c>
      <c r="H1357" s="21" t="str">
        <f>Sales[Product_ID]</f>
        <v>PROD62</v>
      </c>
      <c r="I1357" s="21" t="str">
        <f>VLOOKUP(H1357,Products[],2)</f>
        <v>Laptop Cooling Pad</v>
      </c>
      <c r="J1357" s="24">
        <f>Sales[Total_Amount]</f>
        <v>2851.3002</v>
      </c>
      <c r="K1357" s="21" t="str">
        <f t="shared" si="1"/>
        <v>Oct</v>
      </c>
      <c r="L1357" s="21">
        <f t="shared" si="2"/>
        <v>2025</v>
      </c>
      <c r="N1357" s="33"/>
      <c r="O1357" s="34"/>
    </row>
    <row r="1358" ht="22.5" customHeight="1">
      <c r="A1358" s="21" t="s">
        <v>3323</v>
      </c>
      <c r="B1358" s="21" t="s">
        <v>1311</v>
      </c>
      <c r="C1358" s="21" t="str">
        <f t="array" ref="C1358">XLOOKUP(B1358,Customer[Customer_ID],Customer[Name(Cleaned)])</f>
        <v>Karen King</v>
      </c>
      <c r="D1358" s="22" t="str">
        <f>VLOOKUP(B1358,Customer[#ALL],6)</f>
        <v>Male</v>
      </c>
      <c r="E1358" s="23">
        <f>Sales[Order_Date]</f>
        <v>45824</v>
      </c>
      <c r="F1358" s="21" t="str">
        <f>Sales[Store_ID]</f>
        <v>STORE19</v>
      </c>
      <c r="G1358" s="21" t="str">
        <f t="array" ref="G1358">INDEX(Store[Store_Name],MATCH(F1358,Store[Store_ID],0))</f>
        <v>Mann-Austin</v>
      </c>
      <c r="H1358" s="21" t="str">
        <f>Sales[Product_ID]</f>
        <v>PROD91</v>
      </c>
      <c r="I1358" s="21" t="str">
        <f>VLOOKUP(H1358,Products[],2)</f>
        <v>Women's High Heels</v>
      </c>
      <c r="J1358" s="24">
        <f>Sales[Total_Amount]</f>
        <v>1298.3026</v>
      </c>
      <c r="K1358" s="21" t="str">
        <f t="shared" si="1"/>
        <v>Jun</v>
      </c>
      <c r="L1358" s="21">
        <f t="shared" si="2"/>
        <v>2025</v>
      </c>
      <c r="N1358" s="33"/>
      <c r="O1358" s="34"/>
    </row>
    <row r="1359" ht="22.5" customHeight="1">
      <c r="A1359" s="21" t="s">
        <v>3324</v>
      </c>
      <c r="B1359" s="21" t="s">
        <v>1068</v>
      </c>
      <c r="C1359" s="21" t="str">
        <f t="array" ref="C1359">XLOOKUP(B1359,Customer[Customer_ID],Customer[Name(Cleaned)])</f>
        <v>Jennifer Woods</v>
      </c>
      <c r="D1359" s="22" t="str">
        <f>VLOOKUP(B1359,Customer[#ALL],6)</f>
        <v>Female</v>
      </c>
      <c r="E1359" s="23">
        <f>Sales[Order_Date]</f>
        <v>45649</v>
      </c>
      <c r="F1359" s="21" t="str">
        <f>Sales[Store_ID]</f>
        <v>STORE9</v>
      </c>
      <c r="G1359" s="21" t="str">
        <f t="array" ref="G1359">INDEX(Store[Store_Name],MATCH(F1359,Store[Store_ID],0))</f>
        <v>Moore, Padilla and Butler</v>
      </c>
      <c r="H1359" s="21" t="str">
        <f>Sales[Product_ID]</f>
        <v>PROD29</v>
      </c>
      <c r="I1359" s="21" t="str">
        <f>VLOOKUP(H1359,Products[],2)</f>
        <v>Fabric Sofa Throw Blanket</v>
      </c>
      <c r="J1359" s="24">
        <f>Sales[Total_Amount]</f>
        <v>1537.452</v>
      </c>
      <c r="K1359" s="21" t="str">
        <f t="shared" si="1"/>
        <v>Dec</v>
      </c>
      <c r="L1359" s="21">
        <f t="shared" si="2"/>
        <v>2024</v>
      </c>
      <c r="N1359" s="33"/>
      <c r="O1359" s="34"/>
    </row>
    <row r="1360" ht="22.5" customHeight="1">
      <c r="A1360" s="21" t="s">
        <v>3325</v>
      </c>
      <c r="B1360" s="21" t="s">
        <v>1411</v>
      </c>
      <c r="C1360" s="21" t="str">
        <f t="array" ref="C1360">XLOOKUP(B1360,Customer[Customer_ID],Customer[Name(Cleaned)])</f>
        <v>Ashley Roberts</v>
      </c>
      <c r="D1360" s="22" t="str">
        <f>VLOOKUP(B1360,Customer[#ALL],6)</f>
        <v>Female</v>
      </c>
      <c r="E1360" s="23">
        <f>Sales[Order_Date]</f>
        <v>45921</v>
      </c>
      <c r="F1360" s="21" t="str">
        <f>Sales[Store_ID]</f>
        <v>STORE11</v>
      </c>
      <c r="G1360" s="21" t="str">
        <f t="array" ref="G1360">INDEX(Store[Store_Name],MATCH(F1360,Store[Store_ID],0))</f>
        <v>Aguirre-Keller</v>
      </c>
      <c r="H1360" s="21" t="str">
        <f>Sales[Product_ID]</f>
        <v>PROD40</v>
      </c>
      <c r="I1360" s="21" t="str">
        <f>VLOOKUP(H1360,Products[],2)</f>
        <v>Noise-Canceling Headphones</v>
      </c>
      <c r="J1360" s="24">
        <f>Sales[Total_Amount]</f>
        <v>147.7674</v>
      </c>
      <c r="K1360" s="21" t="str">
        <f t="shared" si="1"/>
        <v>Sep</v>
      </c>
      <c r="L1360" s="21">
        <f t="shared" si="2"/>
        <v>2025</v>
      </c>
      <c r="N1360" s="33"/>
      <c r="O1360" s="34"/>
    </row>
    <row r="1361" ht="22.5" customHeight="1">
      <c r="A1361" s="21" t="s">
        <v>3326</v>
      </c>
      <c r="B1361" s="21" t="s">
        <v>168</v>
      </c>
      <c r="C1361" s="21" t="str">
        <f t="array" ref="C1361">XLOOKUP(B1361,Customer[Customer_ID],Customer[Name(Cleaned)])</f>
        <v>James Gibbs</v>
      </c>
      <c r="D1361" s="22" t="str">
        <f>VLOOKUP(B1361,Customer[#ALL],6)</f>
        <v>Female</v>
      </c>
      <c r="E1361" s="23">
        <f>Sales[Order_Date]</f>
        <v>45909</v>
      </c>
      <c r="F1361" s="21" t="str">
        <f>Sales[Store_ID]</f>
        <v>STORE6</v>
      </c>
      <c r="G1361" s="21" t="str">
        <f t="array" ref="G1361">INDEX(Store[Store_Name],MATCH(F1361,Store[Store_ID],0))</f>
        <v>Benson-Elliott</v>
      </c>
      <c r="H1361" s="21" t="str">
        <f>Sales[Product_ID]</f>
        <v>PROD85</v>
      </c>
      <c r="I1361" s="21" t="str">
        <f>VLOOKUP(H1361,Products[],2)</f>
        <v>Women's Beanie Hat</v>
      </c>
      <c r="J1361" s="24">
        <f>Sales[Total_Amount]</f>
        <v>1176.255</v>
      </c>
      <c r="K1361" s="21" t="str">
        <f t="shared" si="1"/>
        <v>Sep</v>
      </c>
      <c r="L1361" s="21">
        <f t="shared" si="2"/>
        <v>2025</v>
      </c>
      <c r="N1361" s="33"/>
      <c r="O1361" s="34"/>
    </row>
    <row r="1362" ht="22.5" customHeight="1">
      <c r="A1362" s="21" t="s">
        <v>3327</v>
      </c>
      <c r="B1362" s="21" t="s">
        <v>1077</v>
      </c>
      <c r="C1362" s="21" t="str">
        <f t="array" ref="C1362">XLOOKUP(B1362,Customer[Customer_ID],Customer[Name(Cleaned)])</f>
        <v>Jasmine Snyder</v>
      </c>
      <c r="D1362" s="22" t="str">
        <f>VLOOKUP(B1362,Customer[#ALL],6)</f>
        <v>Male</v>
      </c>
      <c r="E1362" s="23">
        <f>Sales[Order_Date]</f>
        <v>45853</v>
      </c>
      <c r="F1362" s="21" t="str">
        <f>Sales[Store_ID]</f>
        <v>STORE15</v>
      </c>
      <c r="G1362" s="21" t="str">
        <f t="array" ref="G1362">INDEX(Store[Store_Name],MATCH(F1362,Store[Store_ID],0))</f>
        <v>Shelton PLC</v>
      </c>
      <c r="H1362" s="21" t="str">
        <f>Sales[Product_ID]</f>
        <v>PROD13</v>
      </c>
      <c r="I1362" s="21" t="str">
        <f>VLOOKUP(H1362,Products[],2)</f>
        <v>USB-C Fast Charger</v>
      </c>
      <c r="J1362" s="24">
        <f>Sales[Total_Amount]</f>
        <v>175.4825</v>
      </c>
      <c r="K1362" s="21" t="str">
        <f t="shared" si="1"/>
        <v>Jul</v>
      </c>
      <c r="L1362" s="21">
        <f t="shared" si="2"/>
        <v>2025</v>
      </c>
      <c r="N1362" s="33"/>
      <c r="O1362" s="34"/>
    </row>
    <row r="1363" ht="22.5" customHeight="1">
      <c r="A1363" s="21" t="s">
        <v>3328</v>
      </c>
      <c r="B1363" s="21" t="s">
        <v>501</v>
      </c>
      <c r="C1363" s="21" t="str">
        <f t="array" ref="C1363">XLOOKUP(B1363,Customer[Customer_ID],Customer[Name(Cleaned)])</f>
        <v>Cameron Simpson</v>
      </c>
      <c r="D1363" s="22" t="str">
        <f>VLOOKUP(B1363,Customer[#ALL],6)</f>
        <v>Female</v>
      </c>
      <c r="E1363" s="23">
        <f>Sales[Order_Date]</f>
        <v>45580</v>
      </c>
      <c r="F1363" s="21" t="str">
        <f>Sales[Store_ID]</f>
        <v>STORE5</v>
      </c>
      <c r="G1363" s="21" t="str">
        <f t="array" ref="G1363">INDEX(Store[Store_Name],MATCH(F1363,Store[Store_ID],0))</f>
        <v>Gray Ltd</v>
      </c>
      <c r="H1363" s="21" t="str">
        <f>Sales[Product_ID]</f>
        <v>PROD69</v>
      </c>
      <c r="I1363" s="21" t="str">
        <f>VLOOKUP(H1363,Products[],2)</f>
        <v>Men's Sports Shorts</v>
      </c>
      <c r="J1363" s="24">
        <f>Sales[Total_Amount]</f>
        <v>570.871</v>
      </c>
      <c r="K1363" s="21" t="str">
        <f t="shared" si="1"/>
        <v>Oct</v>
      </c>
      <c r="L1363" s="21">
        <f t="shared" si="2"/>
        <v>2024</v>
      </c>
      <c r="N1363" s="33"/>
      <c r="O1363" s="34"/>
    </row>
    <row r="1364" ht="22.5" customHeight="1">
      <c r="A1364" s="21" t="s">
        <v>3329</v>
      </c>
      <c r="B1364" s="21" t="s">
        <v>155</v>
      </c>
      <c r="C1364" s="21" t="str">
        <f t="array" ref="C1364">XLOOKUP(B1364,Customer[Customer_ID],Customer[Name(Cleaned)])</f>
        <v>Christopher Carter</v>
      </c>
      <c r="D1364" s="22" t="str">
        <f>VLOOKUP(B1364,Customer[#ALL],6)</f>
        <v>Male</v>
      </c>
      <c r="E1364" s="23">
        <f>Sales[Order_Date]</f>
        <v>45220</v>
      </c>
      <c r="F1364" s="21" t="str">
        <f>Sales[Store_ID]</f>
        <v>STORE13</v>
      </c>
      <c r="G1364" s="21" t="str">
        <f t="array" ref="G1364">INDEX(Store[Store_Name],MATCH(F1364,Store[Store_ID],0))</f>
        <v>Gardner, Humphrey and Contreras</v>
      </c>
      <c r="H1364" s="21" t="str">
        <f>Sales[Product_ID]</f>
        <v>PROD79</v>
      </c>
      <c r="I1364" s="21" t="str">
        <f>VLOOKUP(H1364,Products[],2)</f>
        <v>Decorative Lamp Shade</v>
      </c>
      <c r="J1364" s="24">
        <f>Sales[Total_Amount]</f>
        <v>592.9992</v>
      </c>
      <c r="K1364" s="21" t="str">
        <f t="shared" si="1"/>
        <v>Oct</v>
      </c>
      <c r="L1364" s="21">
        <f t="shared" si="2"/>
        <v>2023</v>
      </c>
      <c r="N1364" s="33"/>
      <c r="O1364" s="34"/>
    </row>
    <row r="1365" ht="22.5" customHeight="1">
      <c r="A1365" s="21" t="s">
        <v>3330</v>
      </c>
      <c r="B1365" s="21" t="s">
        <v>1488</v>
      </c>
      <c r="C1365" s="21" t="str">
        <f t="array" ref="C1365">XLOOKUP(B1365,Customer[Customer_ID],Customer[Name(Cleaned)])</f>
        <v>Earl Smith Dds</v>
      </c>
      <c r="D1365" s="22" t="str">
        <f>VLOOKUP(B1365,Customer[#ALL],6)</f>
        <v>Female</v>
      </c>
      <c r="E1365" s="23">
        <f>Sales[Order_Date]</f>
        <v>45807</v>
      </c>
      <c r="F1365" s="21" t="str">
        <f>Sales[Store_ID]</f>
        <v>STORE9</v>
      </c>
      <c r="G1365" s="21" t="str">
        <f t="array" ref="G1365">INDEX(Store[Store_Name],MATCH(F1365,Store[Store_ID],0))</f>
        <v>Moore, Padilla and Butler</v>
      </c>
      <c r="H1365" s="21" t="str">
        <f>Sales[Product_ID]</f>
        <v>PROD87</v>
      </c>
      <c r="I1365" s="21" t="str">
        <f>VLOOKUP(H1365,Products[],2)</f>
        <v>LED Bedside Lamp</v>
      </c>
      <c r="J1365" s="24">
        <f>Sales[Total_Amount]</f>
        <v>419.92</v>
      </c>
      <c r="K1365" s="21" t="str">
        <f t="shared" si="1"/>
        <v>May</v>
      </c>
      <c r="L1365" s="21">
        <f t="shared" si="2"/>
        <v>2025</v>
      </c>
      <c r="N1365" s="33"/>
      <c r="O1365" s="34"/>
    </row>
    <row r="1366" ht="22.5" customHeight="1">
      <c r="A1366" s="21" t="s">
        <v>3331</v>
      </c>
      <c r="B1366" s="21" t="s">
        <v>591</v>
      </c>
      <c r="C1366" s="21" t="str">
        <f t="array" ref="C1366">XLOOKUP(B1366,Customer[Customer_ID],Customer[Name(Cleaned)])</f>
        <v>Michelle Rogers</v>
      </c>
      <c r="D1366" s="22" t="str">
        <f>VLOOKUP(B1366,Customer[#ALL],6)</f>
        <v>Female</v>
      </c>
      <c r="E1366" s="23">
        <f>Sales[Order_Date]</f>
        <v>45462</v>
      </c>
      <c r="F1366" s="21" t="str">
        <f>Sales[Store_ID]</f>
        <v>STORE16</v>
      </c>
      <c r="G1366" s="21" t="str">
        <f t="array" ref="G1366">INDEX(Store[Store_Name],MATCH(F1366,Store[Store_ID],0))</f>
        <v>Frederick-Wright</v>
      </c>
      <c r="H1366" s="21" t="str">
        <f>Sales[Product_ID]</f>
        <v>PROD0</v>
      </c>
      <c r="I1366" s="21" t="str">
        <f>VLOOKUP(H1366,Products[],2)</f>
        <v>Brother Laser Printer</v>
      </c>
      <c r="J1366" s="24">
        <f>Sales[Total_Amount]</f>
        <v>3412.134</v>
      </c>
      <c r="K1366" s="21" t="str">
        <f t="shared" si="1"/>
        <v>Jun</v>
      </c>
      <c r="L1366" s="21">
        <f t="shared" si="2"/>
        <v>2024</v>
      </c>
      <c r="N1366" s="33"/>
      <c r="O1366" s="34"/>
    </row>
    <row r="1367" ht="22.5" customHeight="1">
      <c r="A1367" s="21" t="s">
        <v>3332</v>
      </c>
      <c r="B1367" s="21" t="s">
        <v>610</v>
      </c>
      <c r="C1367" s="21" t="str">
        <f t="array" ref="C1367">XLOOKUP(B1367,Customer[Customer_ID],Customer[Name(Cleaned)])</f>
        <v>Erin Ward</v>
      </c>
      <c r="D1367" s="22" t="str">
        <f>VLOOKUP(B1367,Customer[#ALL],6)</f>
        <v>Female</v>
      </c>
      <c r="E1367" s="23">
        <f>Sales[Order_Date]</f>
        <v>45646</v>
      </c>
      <c r="F1367" s="21" t="str">
        <f>Sales[Store_ID]</f>
        <v>STORE0</v>
      </c>
      <c r="G1367" s="21" t="str">
        <f t="array" ref="G1367">INDEX(Store[Store_Name],MATCH(F1367,Store[Store_ID],0))</f>
        <v>Rivera-Warner</v>
      </c>
      <c r="H1367" s="21" t="str">
        <f>Sales[Product_ID]</f>
        <v>PROD63</v>
      </c>
      <c r="I1367" s="21" t="str">
        <f>VLOOKUP(H1367,Products[],2)</f>
        <v>Organic Sunscreen Lotion</v>
      </c>
      <c r="J1367" s="24">
        <f>Sales[Total_Amount]</f>
        <v>3111.192</v>
      </c>
      <c r="K1367" s="21" t="str">
        <f t="shared" si="1"/>
        <v>Dec</v>
      </c>
      <c r="L1367" s="21">
        <f t="shared" si="2"/>
        <v>2024</v>
      </c>
      <c r="N1367" s="33"/>
      <c r="O1367" s="34"/>
    </row>
    <row r="1368" ht="22.5" customHeight="1">
      <c r="A1368" s="21" t="s">
        <v>3333</v>
      </c>
      <c r="B1368" s="21" t="s">
        <v>312</v>
      </c>
      <c r="C1368" s="21" t="str">
        <f t="array" ref="C1368">XLOOKUP(B1368,Customer[Customer_ID],Customer[Name(Cleaned)])</f>
        <v>Christy Hoffman</v>
      </c>
      <c r="D1368" s="22" t="str">
        <f>VLOOKUP(B1368,Customer[#ALL],6)</f>
        <v>Male</v>
      </c>
      <c r="E1368" s="23">
        <f>Sales[Order_Date]</f>
        <v>45520</v>
      </c>
      <c r="F1368" s="21" t="str">
        <f>Sales[Store_ID]</f>
        <v>STORE6</v>
      </c>
      <c r="G1368" s="21" t="str">
        <f t="array" ref="G1368">INDEX(Store[Store_Name],MATCH(F1368,Store[Store_ID],0))</f>
        <v>Benson-Elliott</v>
      </c>
      <c r="H1368" s="21" t="str">
        <f>Sales[Product_ID]</f>
        <v>PROD51</v>
      </c>
      <c r="I1368" s="21" t="str">
        <f>VLOOKUP(H1368,Products[],2)</f>
        <v>HDMI Cable – 2m</v>
      </c>
      <c r="J1368" s="24">
        <f>Sales[Total_Amount]</f>
        <v>1111.7946</v>
      </c>
      <c r="K1368" s="21" t="str">
        <f t="shared" si="1"/>
        <v>Aug</v>
      </c>
      <c r="L1368" s="21">
        <f t="shared" si="2"/>
        <v>2024</v>
      </c>
      <c r="N1368" s="33"/>
      <c r="O1368" s="34"/>
    </row>
    <row r="1369" ht="22.5" customHeight="1">
      <c r="A1369" s="21" t="s">
        <v>3334</v>
      </c>
      <c r="B1369" s="21" t="s">
        <v>616</v>
      </c>
      <c r="C1369" s="21" t="str">
        <f t="array" ref="C1369">XLOOKUP(B1369,Customer[Customer_ID],Customer[Name(Cleaned)])</f>
        <v>Mario Jacobs</v>
      </c>
      <c r="D1369" s="22" t="str">
        <f>VLOOKUP(B1369,Customer[#ALL],6)</f>
        <v>Female</v>
      </c>
      <c r="E1369" s="23">
        <f>Sales[Order_Date]</f>
        <v>45731</v>
      </c>
      <c r="F1369" s="21" t="str">
        <f>Sales[Store_ID]</f>
        <v>STORE4</v>
      </c>
      <c r="G1369" s="21" t="str">
        <f t="array" ref="G1369">INDEX(Store[Store_Name],MATCH(F1369,Store[Store_ID],0))</f>
        <v>Alexander Group</v>
      </c>
      <c r="H1369" s="21" t="str">
        <f>Sales[Product_ID]</f>
        <v>PROD7</v>
      </c>
      <c r="I1369" s="21" t="str">
        <f>VLOOKUP(H1369,Products[],2)</f>
        <v>Men's Sports Shorts</v>
      </c>
      <c r="J1369" s="24">
        <f>Sales[Total_Amount]</f>
        <v>587.3336</v>
      </c>
      <c r="K1369" s="21" t="str">
        <f t="shared" si="1"/>
        <v>Mar</v>
      </c>
      <c r="L1369" s="21">
        <f t="shared" si="2"/>
        <v>2025</v>
      </c>
      <c r="N1369" s="33"/>
      <c r="O1369" s="34"/>
    </row>
    <row r="1370" ht="22.5" customHeight="1">
      <c r="A1370" s="21" t="s">
        <v>3335</v>
      </c>
      <c r="B1370" s="21" t="s">
        <v>312</v>
      </c>
      <c r="C1370" s="21" t="str">
        <f t="array" ref="C1370">XLOOKUP(B1370,Customer[Customer_ID],Customer[Name(Cleaned)])</f>
        <v>Christy Hoffman</v>
      </c>
      <c r="D1370" s="22" t="str">
        <f>VLOOKUP(B1370,Customer[#ALL],6)</f>
        <v>Male</v>
      </c>
      <c r="E1370" s="23">
        <f>Sales[Order_Date]</f>
        <v>45677</v>
      </c>
      <c r="F1370" s="21" t="str">
        <f>Sales[Store_ID]</f>
        <v>STORE17</v>
      </c>
      <c r="G1370" s="21" t="str">
        <f t="array" ref="G1370">INDEX(Store[Store_Name],MATCH(F1370,Store[Store_ID],0))</f>
        <v>Holloway Ltd</v>
      </c>
      <c r="H1370" s="21" t="str">
        <f>Sales[Product_ID]</f>
        <v>PROD33</v>
      </c>
      <c r="I1370" s="21" t="str">
        <f>VLOOKUP(H1370,Products[],2)</f>
        <v>Modern Wall Clock</v>
      </c>
      <c r="J1370" s="24">
        <f>Sales[Total_Amount]</f>
        <v>1864.3176</v>
      </c>
      <c r="K1370" s="21" t="str">
        <f t="shared" si="1"/>
        <v>Jan</v>
      </c>
      <c r="L1370" s="21">
        <f t="shared" si="2"/>
        <v>2025</v>
      </c>
      <c r="N1370" s="33"/>
      <c r="O1370" s="34"/>
    </row>
    <row r="1371" ht="22.5" customHeight="1">
      <c r="A1371" s="21" t="s">
        <v>3336</v>
      </c>
      <c r="B1371" s="21" t="s">
        <v>19</v>
      </c>
      <c r="C1371" s="21" t="str">
        <f t="array" ref="C1371">XLOOKUP(B1371,Customer[Customer_ID],Customer[Name(Cleaned)])</f>
        <v>Eugene Nelson</v>
      </c>
      <c r="D1371" s="22" t="str">
        <f>VLOOKUP(B1371,Customer[#ALL],6)</f>
        <v>Male</v>
      </c>
      <c r="E1371" s="23">
        <f>Sales[Order_Date]</f>
        <v>45445</v>
      </c>
      <c r="F1371" s="21" t="str">
        <f>Sales[Store_ID]</f>
        <v>STORE14</v>
      </c>
      <c r="G1371" s="21" t="str">
        <f t="array" ref="G1371">INDEX(Store[Store_Name],MATCH(F1371,Store[Store_ID],0))</f>
        <v>Mcdonald Inc</v>
      </c>
      <c r="H1371" s="21" t="str">
        <f>Sales[Product_ID]</f>
        <v>PROD51</v>
      </c>
      <c r="I1371" s="21" t="str">
        <f>VLOOKUP(H1371,Products[],2)</f>
        <v>HDMI Cable – 2m</v>
      </c>
      <c r="J1371" s="24">
        <f>Sales[Total_Amount]</f>
        <v>837.2361</v>
      </c>
      <c r="K1371" s="21" t="str">
        <f t="shared" si="1"/>
        <v>Jun</v>
      </c>
      <c r="L1371" s="21">
        <f t="shared" si="2"/>
        <v>2024</v>
      </c>
      <c r="N1371" s="33"/>
      <c r="O1371" s="34"/>
    </row>
    <row r="1372" ht="22.5" customHeight="1">
      <c r="A1372" s="21" t="s">
        <v>3337</v>
      </c>
      <c r="B1372" s="21" t="s">
        <v>346</v>
      </c>
      <c r="C1372" s="21" t="str">
        <f t="array" ref="C1372">XLOOKUP(B1372,Customer[Customer_ID],Customer[Name(Cleaned)])</f>
        <v>David Patterson</v>
      </c>
      <c r="D1372" s="22" t="str">
        <f>VLOOKUP(B1372,Customer[#ALL],6)</f>
        <v>Male</v>
      </c>
      <c r="E1372" s="23">
        <f>Sales[Order_Date]</f>
        <v>45860</v>
      </c>
      <c r="F1372" s="21" t="str">
        <f>Sales[Store_ID]</f>
        <v>STORE6</v>
      </c>
      <c r="G1372" s="21" t="str">
        <f t="array" ref="G1372">INDEX(Store[Store_Name],MATCH(F1372,Store[Store_ID],0))</f>
        <v>Benson-Elliott</v>
      </c>
      <c r="H1372" s="21" t="str">
        <f>Sales[Product_ID]</f>
        <v>PROD67</v>
      </c>
      <c r="I1372" s="21" t="str">
        <f>VLOOKUP(H1372,Products[],2)</f>
        <v>Smart LED Light Strip</v>
      </c>
      <c r="J1372" s="24">
        <f>Sales[Total_Amount]</f>
        <v>1597.624</v>
      </c>
      <c r="K1372" s="21" t="str">
        <f t="shared" si="1"/>
        <v>Jul</v>
      </c>
      <c r="L1372" s="21">
        <f t="shared" si="2"/>
        <v>2025</v>
      </c>
      <c r="N1372" s="33"/>
      <c r="O1372" s="34"/>
    </row>
    <row r="1373" ht="22.5" customHeight="1">
      <c r="A1373" s="21" t="s">
        <v>3338</v>
      </c>
      <c r="B1373" s="21" t="s">
        <v>82</v>
      </c>
      <c r="C1373" s="21" t="str">
        <f t="array" ref="C1373">XLOOKUP(B1373,Customer[Customer_ID],Customer[Name(Cleaned)])</f>
        <v>John Scott</v>
      </c>
      <c r="D1373" s="22" t="str">
        <f>VLOOKUP(B1373,Customer[#ALL],6)</f>
        <v>Male</v>
      </c>
      <c r="E1373" s="23">
        <f>Sales[Order_Date]</f>
        <v>45725</v>
      </c>
      <c r="F1373" s="21" t="str">
        <f>Sales[Store_ID]</f>
        <v>STORE3</v>
      </c>
      <c r="G1373" s="21" t="str">
        <f t="array" ref="G1373">INDEX(Store[Store_Name],MATCH(F1373,Store[Store_ID],0))</f>
        <v>Johnson-Wright</v>
      </c>
      <c r="H1373" s="21" t="str">
        <f>Sales[Product_ID]</f>
        <v>PROD41</v>
      </c>
      <c r="I1373" s="21" t="str">
        <f>VLOOKUP(H1373,Products[],2)</f>
        <v>Yoga Exercise Mat</v>
      </c>
      <c r="J1373" s="24">
        <f>Sales[Total_Amount]</f>
        <v>1042.3728</v>
      </c>
      <c r="K1373" s="21" t="str">
        <f t="shared" si="1"/>
        <v>Mar</v>
      </c>
      <c r="L1373" s="21">
        <f t="shared" si="2"/>
        <v>2025</v>
      </c>
      <c r="N1373" s="33"/>
      <c r="O1373" s="34"/>
    </row>
    <row r="1374" ht="22.5" customHeight="1">
      <c r="A1374" s="21" t="s">
        <v>3339</v>
      </c>
      <c r="B1374" s="21" t="s">
        <v>407</v>
      </c>
      <c r="C1374" s="21" t="str">
        <f t="array" ref="C1374">XLOOKUP(B1374,Customer[Customer_ID],Customer[Name(Cleaned)])</f>
        <v>Ryan Hernandez</v>
      </c>
      <c r="D1374" s="22" t="str">
        <f>VLOOKUP(B1374,Customer[#ALL],6)</f>
        <v>Female</v>
      </c>
      <c r="E1374" s="23">
        <f>Sales[Order_Date]</f>
        <v>45699</v>
      </c>
      <c r="F1374" s="21" t="str">
        <f>Sales[Store_ID]</f>
        <v>STORE2</v>
      </c>
      <c r="G1374" s="21" t="str">
        <f t="array" ref="G1374">INDEX(Store[Store_Name],MATCH(F1374,Store[Store_ID],0))</f>
        <v>Black-Horn</v>
      </c>
      <c r="H1374" s="21" t="str">
        <f>Sales[Product_ID]</f>
        <v>PROD59</v>
      </c>
      <c r="I1374" s="21" t="str">
        <f>VLOOKUP(H1374,Products[],2)</f>
        <v>Men's Hair Styling Gel</v>
      </c>
      <c r="J1374" s="24">
        <f>Sales[Total_Amount]</f>
        <v>129.4</v>
      </c>
      <c r="K1374" s="21" t="str">
        <f t="shared" si="1"/>
        <v>Feb</v>
      </c>
      <c r="L1374" s="21">
        <f t="shared" si="2"/>
        <v>2025</v>
      </c>
      <c r="N1374" s="33"/>
      <c r="O1374" s="34"/>
    </row>
    <row r="1375" ht="22.5" customHeight="1">
      <c r="A1375" s="21" t="s">
        <v>3340</v>
      </c>
      <c r="B1375" s="21" t="s">
        <v>510</v>
      </c>
      <c r="C1375" s="21" t="str">
        <f t="array" ref="C1375">XLOOKUP(B1375,Customer[Customer_ID],Customer[Name(Cleaned)])</f>
        <v>Theresa Campbell</v>
      </c>
      <c r="D1375" s="22" t="str">
        <f>VLOOKUP(B1375,Customer[#ALL],6)</f>
        <v>Male</v>
      </c>
      <c r="E1375" s="23">
        <f>Sales[Order_Date]</f>
        <v>45266</v>
      </c>
      <c r="F1375" s="21" t="str">
        <f>Sales[Store_ID]</f>
        <v>STORE5</v>
      </c>
      <c r="G1375" s="21" t="str">
        <f t="array" ref="G1375">INDEX(Store[Store_Name],MATCH(F1375,Store[Store_ID],0))</f>
        <v>Gray Ltd</v>
      </c>
      <c r="H1375" s="21" t="str">
        <f>Sales[Product_ID]</f>
        <v>PROD5</v>
      </c>
      <c r="I1375" s="21" t="str">
        <f>VLOOKUP(H1375,Products[],2)</f>
        <v>Men's Roll-On Perfume</v>
      </c>
      <c r="J1375" s="24">
        <f>Sales[Total_Amount]</f>
        <v>1309.4226</v>
      </c>
      <c r="K1375" s="21" t="str">
        <f t="shared" si="1"/>
        <v>Dec</v>
      </c>
      <c r="L1375" s="21">
        <f t="shared" si="2"/>
        <v>2023</v>
      </c>
      <c r="N1375" s="33"/>
      <c r="O1375" s="34"/>
    </row>
    <row r="1376" ht="22.5" customHeight="1">
      <c r="A1376" s="21" t="s">
        <v>3341</v>
      </c>
      <c r="B1376" s="21" t="s">
        <v>929</v>
      </c>
      <c r="C1376" s="21" t="str">
        <f t="array" ref="C1376">XLOOKUP(B1376,Customer[Customer_ID],Customer[Name(Cleaned)])</f>
        <v>Misty Ferguson</v>
      </c>
      <c r="D1376" s="22" t="str">
        <f>VLOOKUP(B1376,Customer[#ALL],6)</f>
        <v>Female</v>
      </c>
      <c r="E1376" s="23">
        <f>Sales[Order_Date]</f>
        <v>45889</v>
      </c>
      <c r="F1376" s="21" t="str">
        <f>Sales[Store_ID]</f>
        <v>STORE9</v>
      </c>
      <c r="G1376" s="21" t="str">
        <f t="array" ref="G1376">INDEX(Store[Store_Name],MATCH(F1376,Store[Store_ID],0))</f>
        <v>Moore, Padilla and Butler</v>
      </c>
      <c r="H1376" s="21" t="str">
        <f>Sales[Product_ID]</f>
        <v>PROD3</v>
      </c>
      <c r="I1376" s="21" t="str">
        <f>VLOOKUP(H1376,Products[],2)</f>
        <v>Fabric Sofa Throw Blanket</v>
      </c>
      <c r="J1376" s="24">
        <f>Sales[Total_Amount]</f>
        <v>2548.5264</v>
      </c>
      <c r="K1376" s="21" t="str">
        <f t="shared" si="1"/>
        <v>Aug</v>
      </c>
      <c r="L1376" s="21">
        <f t="shared" si="2"/>
        <v>2025</v>
      </c>
      <c r="N1376" s="33"/>
      <c r="O1376" s="34"/>
    </row>
    <row r="1377" ht="22.5" customHeight="1">
      <c r="A1377" s="21" t="s">
        <v>3342</v>
      </c>
      <c r="B1377" s="21" t="s">
        <v>210</v>
      </c>
      <c r="C1377" s="21" t="str">
        <f t="array" ref="C1377">XLOOKUP(B1377,Customer[Customer_ID],Customer[Name(Cleaned)])</f>
        <v>Sharon Brown</v>
      </c>
      <c r="D1377" s="22" t="str">
        <f>VLOOKUP(B1377,Customer[#ALL],6)</f>
        <v>Male</v>
      </c>
      <c r="E1377" s="23">
        <f>Sales[Order_Date]</f>
        <v>45555</v>
      </c>
      <c r="F1377" s="21" t="str">
        <f>Sales[Store_ID]</f>
        <v>STORE12</v>
      </c>
      <c r="G1377" s="21" t="str">
        <f t="array" ref="G1377">INDEX(Store[Store_Name],MATCH(F1377,Store[Store_ID],0))</f>
        <v>Thomas, Bridges and Harris</v>
      </c>
      <c r="H1377" s="21" t="str">
        <f>Sales[Product_ID]</f>
        <v>PROD37</v>
      </c>
      <c r="I1377" s="21" t="str">
        <f>VLOOKUP(H1377,Products[],2)</f>
        <v>Men's Casual Sneakers</v>
      </c>
      <c r="J1377" s="24">
        <f>Sales[Total_Amount]</f>
        <v>2721.1184</v>
      </c>
      <c r="K1377" s="21" t="str">
        <f t="shared" si="1"/>
        <v>Sep</v>
      </c>
      <c r="L1377" s="21">
        <f t="shared" si="2"/>
        <v>2024</v>
      </c>
      <c r="N1377" s="33"/>
      <c r="O1377" s="34"/>
    </row>
    <row r="1378" ht="22.5" customHeight="1">
      <c r="A1378" s="21" t="s">
        <v>3343</v>
      </c>
      <c r="B1378" s="21" t="s">
        <v>824</v>
      </c>
      <c r="C1378" s="21" t="str">
        <f t="array" ref="C1378">XLOOKUP(B1378,Customer[Customer_ID],Customer[Name(Cleaned)])</f>
        <v>Dr. Ashley Yates Md</v>
      </c>
      <c r="D1378" s="22" t="str">
        <f>VLOOKUP(B1378,Customer[#ALL],6)</f>
        <v>Female</v>
      </c>
      <c r="E1378" s="23">
        <f>Sales[Order_Date]</f>
        <v>45813</v>
      </c>
      <c r="F1378" s="21" t="str">
        <f>Sales[Store_ID]</f>
        <v>STORE17</v>
      </c>
      <c r="G1378" s="21" t="str">
        <f t="array" ref="G1378">INDEX(Store[Store_Name],MATCH(F1378,Store[Store_ID],0))</f>
        <v>Holloway Ltd</v>
      </c>
      <c r="H1378" s="21" t="str">
        <f>Sales[Product_ID]</f>
        <v>PROD40</v>
      </c>
      <c r="I1378" s="21" t="str">
        <f>VLOOKUP(H1378,Products[],2)</f>
        <v>Noise-Canceling Headphones</v>
      </c>
      <c r="J1378" s="24">
        <f>Sales[Total_Amount]</f>
        <v>1455.2208</v>
      </c>
      <c r="K1378" s="21" t="str">
        <f t="shared" si="1"/>
        <v>Jun</v>
      </c>
      <c r="L1378" s="21">
        <f t="shared" si="2"/>
        <v>2025</v>
      </c>
      <c r="N1378" s="33"/>
      <c r="O1378" s="34"/>
    </row>
    <row r="1379" ht="22.5" customHeight="1">
      <c r="A1379" s="21" t="s">
        <v>3344</v>
      </c>
      <c r="B1379" s="21" t="s">
        <v>543</v>
      </c>
      <c r="C1379" s="21" t="str">
        <f t="array" ref="C1379">XLOOKUP(B1379,Customer[Customer_ID],Customer[Name(Cleaned)])</f>
        <v>Brian Choi</v>
      </c>
      <c r="D1379" s="22" t="str">
        <f>VLOOKUP(B1379,Customer[#ALL],6)</f>
        <v>Male</v>
      </c>
      <c r="E1379" s="23">
        <f>Sales[Order_Date]</f>
        <v>45811</v>
      </c>
      <c r="F1379" s="21" t="str">
        <f>Sales[Store_ID]</f>
        <v>STORE14</v>
      </c>
      <c r="G1379" s="21" t="str">
        <f t="array" ref="G1379">INDEX(Store[Store_Name],MATCH(F1379,Store[Store_ID],0))</f>
        <v>Mcdonald Inc</v>
      </c>
      <c r="H1379" s="21" t="str">
        <f>Sales[Product_ID]</f>
        <v>PROD69</v>
      </c>
      <c r="I1379" s="21" t="str">
        <f>VLOOKUP(H1379,Products[],2)</f>
        <v>Men's Sports Shorts</v>
      </c>
      <c r="J1379" s="24">
        <f>Sales[Total_Amount]</f>
        <v>874.9196</v>
      </c>
      <c r="K1379" s="21" t="str">
        <f t="shared" si="1"/>
        <v>Jun</v>
      </c>
      <c r="L1379" s="21">
        <f t="shared" si="2"/>
        <v>2025</v>
      </c>
      <c r="N1379" s="33"/>
      <c r="O1379" s="34"/>
    </row>
    <row r="1380" ht="22.5" customHeight="1">
      <c r="A1380" s="21" t="s">
        <v>3345</v>
      </c>
      <c r="B1380" s="21" t="s">
        <v>358</v>
      </c>
      <c r="C1380" s="21" t="str">
        <f t="array" ref="C1380">XLOOKUP(B1380,Customer[Customer_ID],Customer[Name(Cleaned)])</f>
        <v>Brittney Morgan</v>
      </c>
      <c r="D1380" s="22" t="str">
        <f>VLOOKUP(B1380,Customer[#ALL],6)</f>
        <v>Female</v>
      </c>
      <c r="E1380" s="23">
        <f>Sales[Order_Date]</f>
        <v>45670</v>
      </c>
      <c r="F1380" s="21" t="str">
        <f>Sales[Store_ID]</f>
        <v>STORE5</v>
      </c>
      <c r="G1380" s="21" t="str">
        <f t="array" ref="G1380">INDEX(Store[Store_Name],MATCH(F1380,Store[Store_ID],0))</f>
        <v>Gray Ltd</v>
      </c>
      <c r="H1380" s="21" t="str">
        <f>Sales[Product_ID]</f>
        <v>PROD62</v>
      </c>
      <c r="I1380" s="21" t="str">
        <f>VLOOKUP(H1380,Products[],2)</f>
        <v>Laptop Cooling Pad</v>
      </c>
      <c r="J1380" s="24">
        <f>Sales[Total_Amount]</f>
        <v>2556.1972</v>
      </c>
      <c r="K1380" s="21" t="str">
        <f t="shared" si="1"/>
        <v>Jan</v>
      </c>
      <c r="L1380" s="21">
        <f t="shared" si="2"/>
        <v>2025</v>
      </c>
      <c r="N1380" s="33"/>
      <c r="O1380" s="34"/>
    </row>
    <row r="1381" ht="22.5" customHeight="1">
      <c r="A1381" s="21" t="s">
        <v>3346</v>
      </c>
      <c r="B1381" s="21" t="s">
        <v>675</v>
      </c>
      <c r="C1381" s="21" t="str">
        <f t="array" ref="C1381">XLOOKUP(B1381,Customer[Customer_ID],Customer[Name(Cleaned)])</f>
        <v>Sarah Brady</v>
      </c>
      <c r="D1381" s="22" t="str">
        <f>VLOOKUP(B1381,Customer[#ALL],6)</f>
        <v>Female</v>
      </c>
      <c r="E1381" s="23">
        <f>Sales[Order_Date]</f>
        <v>45538</v>
      </c>
      <c r="F1381" s="21" t="str">
        <f>Sales[Store_ID]</f>
        <v>STORE12</v>
      </c>
      <c r="G1381" s="21" t="str">
        <f t="array" ref="G1381">INDEX(Store[Store_Name],MATCH(F1381,Store[Store_ID],0))</f>
        <v>Thomas, Bridges and Harris</v>
      </c>
      <c r="H1381" s="21" t="str">
        <f>Sales[Product_ID]</f>
        <v>PROD43</v>
      </c>
      <c r="I1381" s="21" t="str">
        <f>VLOOKUP(H1381,Products[],2)</f>
        <v>USB External Hard Drive</v>
      </c>
      <c r="J1381" s="24">
        <f>Sales[Total_Amount]</f>
        <v>322.3528</v>
      </c>
      <c r="K1381" s="21" t="str">
        <f t="shared" si="1"/>
        <v>Sep</v>
      </c>
      <c r="L1381" s="21">
        <f t="shared" si="2"/>
        <v>2024</v>
      </c>
      <c r="N1381" s="33"/>
      <c r="O1381" s="34"/>
    </row>
    <row r="1382" ht="22.5" customHeight="1">
      <c r="A1382" s="21" t="s">
        <v>3347</v>
      </c>
      <c r="B1382" s="21" t="s">
        <v>47</v>
      </c>
      <c r="C1382" s="21" t="str">
        <f t="array" ref="C1382">XLOOKUP(B1382,Customer[Customer_ID],Customer[Name(Cleaned)])</f>
        <v>Daniel Boyd</v>
      </c>
      <c r="D1382" s="22" t="str">
        <f>VLOOKUP(B1382,Customer[#ALL],6)</f>
        <v>Male</v>
      </c>
      <c r="E1382" s="23">
        <f>Sales[Order_Date]</f>
        <v>45736</v>
      </c>
      <c r="F1382" s="21" t="str">
        <f>Sales[Store_ID]</f>
        <v>STORE0</v>
      </c>
      <c r="G1382" s="21" t="str">
        <f t="array" ref="G1382">INDEX(Store[Store_Name],MATCH(F1382,Store[Store_ID],0))</f>
        <v>Rivera-Warner</v>
      </c>
      <c r="H1382" s="21" t="str">
        <f>Sales[Product_ID]</f>
        <v>PROD85</v>
      </c>
      <c r="I1382" s="21" t="str">
        <f>VLOOKUP(H1382,Products[],2)</f>
        <v>Women's Beanie Hat</v>
      </c>
      <c r="J1382" s="24">
        <f>Sales[Total_Amount]</f>
        <v>439.2742</v>
      </c>
      <c r="K1382" s="21" t="str">
        <f t="shared" si="1"/>
        <v>Mar</v>
      </c>
      <c r="L1382" s="21">
        <f t="shared" si="2"/>
        <v>2025</v>
      </c>
      <c r="N1382" s="33"/>
      <c r="O1382" s="34"/>
    </row>
    <row r="1383" ht="22.5" customHeight="1">
      <c r="A1383" s="21" t="s">
        <v>3348</v>
      </c>
      <c r="B1383" s="21" t="s">
        <v>149</v>
      </c>
      <c r="C1383" s="21" t="str">
        <f t="array" ref="C1383">XLOOKUP(B1383,Customer[Customer_ID],Customer[Name(Cleaned)])</f>
        <v>Rachel Myers</v>
      </c>
      <c r="D1383" s="22" t="str">
        <f>VLOOKUP(B1383,Customer[#ALL],6)</f>
        <v>Female</v>
      </c>
      <c r="E1383" s="23">
        <f>Sales[Order_Date]</f>
        <v>45480</v>
      </c>
      <c r="F1383" s="21" t="str">
        <f>Sales[Store_ID]</f>
        <v>STORE5</v>
      </c>
      <c r="G1383" s="21" t="str">
        <f t="array" ref="G1383">INDEX(Store[Store_Name],MATCH(F1383,Store[Store_ID],0))</f>
        <v>Gray Ltd</v>
      </c>
      <c r="H1383" s="21" t="str">
        <f>Sales[Product_ID]</f>
        <v>PROD79</v>
      </c>
      <c r="I1383" s="21" t="str">
        <f>VLOOKUP(H1383,Products[],2)</f>
        <v>Decorative Lamp Shade</v>
      </c>
      <c r="J1383" s="24">
        <f>Sales[Total_Amount]</f>
        <v>513.702</v>
      </c>
      <c r="K1383" s="21" t="str">
        <f t="shared" si="1"/>
        <v>Jul</v>
      </c>
      <c r="L1383" s="21">
        <f t="shared" si="2"/>
        <v>2024</v>
      </c>
      <c r="N1383" s="33"/>
      <c r="O1383" s="34"/>
    </row>
    <row r="1384" ht="22.5" customHeight="1">
      <c r="A1384" s="21" t="s">
        <v>3349</v>
      </c>
      <c r="B1384" s="21" t="s">
        <v>1065</v>
      </c>
      <c r="C1384" s="21" t="str">
        <f t="array" ref="C1384">XLOOKUP(B1384,Customer[Customer_ID],Customer[Name(Cleaned)])</f>
        <v>Mr. Christopher Sims</v>
      </c>
      <c r="D1384" s="22" t="str">
        <f>VLOOKUP(B1384,Customer[#ALL],6)</f>
        <v>Male</v>
      </c>
      <c r="E1384" s="23">
        <f>Sales[Order_Date]</f>
        <v>45929</v>
      </c>
      <c r="F1384" s="21" t="str">
        <f>Sales[Store_ID]</f>
        <v>STORE15</v>
      </c>
      <c r="G1384" s="21" t="str">
        <f t="array" ref="G1384">INDEX(Store[Store_Name],MATCH(F1384,Store[Store_ID],0))</f>
        <v>Shelton PLC</v>
      </c>
      <c r="H1384" s="21" t="str">
        <f>Sales[Product_ID]</f>
        <v>PROD11</v>
      </c>
      <c r="I1384" s="21" t="str">
        <f>VLOOKUP(H1384,Products[],2)</f>
        <v>Men's Graphic T-Shirt</v>
      </c>
      <c r="J1384" s="24">
        <f>Sales[Total_Amount]</f>
        <v>566.219</v>
      </c>
      <c r="K1384" s="21" t="str">
        <f t="shared" si="1"/>
        <v>Sep</v>
      </c>
      <c r="L1384" s="21">
        <f t="shared" si="2"/>
        <v>2025</v>
      </c>
      <c r="N1384" s="33"/>
      <c r="O1384" s="34"/>
    </row>
    <row r="1385" ht="22.5" customHeight="1">
      <c r="A1385" s="21" t="s">
        <v>3350</v>
      </c>
      <c r="B1385" s="21" t="s">
        <v>543</v>
      </c>
      <c r="C1385" s="21" t="str">
        <f t="array" ref="C1385">XLOOKUP(B1385,Customer[Customer_ID],Customer[Name(Cleaned)])</f>
        <v>Brian Choi</v>
      </c>
      <c r="D1385" s="22" t="str">
        <f>VLOOKUP(B1385,Customer[#ALL],6)</f>
        <v>Male</v>
      </c>
      <c r="E1385" s="23">
        <f>Sales[Order_Date]</f>
        <v>45626</v>
      </c>
      <c r="F1385" s="21" t="str">
        <f>Sales[Store_ID]</f>
        <v>STORE4</v>
      </c>
      <c r="G1385" s="21" t="str">
        <f t="array" ref="G1385">INDEX(Store[Store_Name],MATCH(F1385,Store[Store_ID],0))</f>
        <v>Alexander Group</v>
      </c>
      <c r="H1385" s="21" t="str">
        <f>Sales[Product_ID]</f>
        <v>PROD40</v>
      </c>
      <c r="I1385" s="21" t="str">
        <f>VLOOKUP(H1385,Products[],2)</f>
        <v>Noise-Canceling Headphones</v>
      </c>
      <c r="J1385" s="24">
        <f>Sales[Total_Amount]</f>
        <v>2230.3304</v>
      </c>
      <c r="K1385" s="21" t="str">
        <f t="shared" si="1"/>
        <v>Nov</v>
      </c>
      <c r="L1385" s="21">
        <f t="shared" si="2"/>
        <v>2024</v>
      </c>
      <c r="N1385" s="33"/>
      <c r="O1385" s="34"/>
    </row>
    <row r="1386" ht="22.5" customHeight="1">
      <c r="A1386" s="21" t="s">
        <v>3351</v>
      </c>
      <c r="B1386" s="21" t="s">
        <v>1517</v>
      </c>
      <c r="C1386" s="21" t="str">
        <f t="array" ref="C1386">XLOOKUP(B1386,Customer[Customer_ID],Customer[Name(Cleaned)])</f>
        <v>Zachary Andrade</v>
      </c>
      <c r="D1386" s="22" t="str">
        <f>VLOOKUP(B1386,Customer[#ALL],6)</f>
        <v>Male</v>
      </c>
      <c r="E1386" s="23">
        <f>Sales[Order_Date]</f>
        <v>45460</v>
      </c>
      <c r="F1386" s="21" t="str">
        <f>Sales[Store_ID]</f>
        <v>STORE12</v>
      </c>
      <c r="G1386" s="21" t="str">
        <f t="array" ref="G1386">INDEX(Store[Store_Name],MATCH(F1386,Store[Store_ID],0))</f>
        <v>Thomas, Bridges and Harris</v>
      </c>
      <c r="H1386" s="21" t="str">
        <f>Sales[Product_ID]</f>
        <v>PROD78</v>
      </c>
      <c r="I1386" s="21" t="str">
        <f>VLOOKUP(H1386,Products[],2)</f>
        <v>Essential Oil Diffuser</v>
      </c>
      <c r="J1386" s="24">
        <f>Sales[Total_Amount]</f>
        <v>216.4474</v>
      </c>
      <c r="K1386" s="21" t="str">
        <f t="shared" si="1"/>
        <v>Jun</v>
      </c>
      <c r="L1386" s="21">
        <f t="shared" si="2"/>
        <v>2024</v>
      </c>
      <c r="N1386" s="33"/>
      <c r="O1386" s="34"/>
    </row>
    <row r="1387" ht="22.5" customHeight="1">
      <c r="A1387" s="21" t="s">
        <v>3352</v>
      </c>
      <c r="B1387" s="21" t="s">
        <v>1098</v>
      </c>
      <c r="C1387" s="21" t="str">
        <f t="array" ref="C1387">XLOOKUP(B1387,Customer[Customer_ID],Customer[Name(Cleaned)])</f>
        <v>Daniel Nelson</v>
      </c>
      <c r="D1387" s="22" t="str">
        <f>VLOOKUP(B1387,Customer[#ALL],6)</f>
        <v>Female</v>
      </c>
      <c r="E1387" s="23">
        <f>Sales[Order_Date]</f>
        <v>45709</v>
      </c>
      <c r="F1387" s="21" t="str">
        <f>Sales[Store_ID]</f>
        <v>STORE9</v>
      </c>
      <c r="G1387" s="21" t="str">
        <f t="array" ref="G1387">INDEX(Store[Store_Name],MATCH(F1387,Store[Store_ID],0))</f>
        <v>Moore, Padilla and Butler</v>
      </c>
      <c r="H1387" s="21" t="str">
        <f>Sales[Product_ID]</f>
        <v>PROD22</v>
      </c>
      <c r="I1387" s="21" t="str">
        <f>VLOOKUP(H1387,Products[],2)</f>
        <v>Carbon Fiber Tennis Racket</v>
      </c>
      <c r="J1387" s="24">
        <f>Sales[Total_Amount]</f>
        <v>649.5192</v>
      </c>
      <c r="K1387" s="21" t="str">
        <f t="shared" si="1"/>
        <v>Feb</v>
      </c>
      <c r="L1387" s="21">
        <f t="shared" si="2"/>
        <v>2025</v>
      </c>
      <c r="N1387" s="33"/>
      <c r="O1387" s="34"/>
    </row>
    <row r="1388" ht="22.5" customHeight="1">
      <c r="A1388" s="21" t="s">
        <v>3353</v>
      </c>
      <c r="B1388" s="21" t="s">
        <v>558</v>
      </c>
      <c r="C1388" s="21" t="str">
        <f t="array" ref="C1388">XLOOKUP(B1388,Customer[Customer_ID],Customer[Name(Cleaned)])</f>
        <v>Daniel Rivas</v>
      </c>
      <c r="D1388" s="22" t="str">
        <f>VLOOKUP(B1388,Customer[#ALL],6)</f>
        <v>Male</v>
      </c>
      <c r="E1388" s="23">
        <f>Sales[Order_Date]</f>
        <v>45551</v>
      </c>
      <c r="F1388" s="21" t="str">
        <f>Sales[Store_ID]</f>
        <v>STORE4</v>
      </c>
      <c r="G1388" s="21" t="str">
        <f t="array" ref="G1388">INDEX(Store[Store_Name],MATCH(F1388,Store[Store_ID],0))</f>
        <v>Alexander Group</v>
      </c>
      <c r="H1388" s="21" t="str">
        <f>Sales[Product_ID]</f>
        <v>PROD29</v>
      </c>
      <c r="I1388" s="21" t="str">
        <f>VLOOKUP(H1388,Products[],2)</f>
        <v>Fabric Sofa Throw Blanket</v>
      </c>
      <c r="J1388" s="24">
        <f>Sales[Total_Amount]</f>
        <v>865.1164</v>
      </c>
      <c r="K1388" s="21" t="str">
        <f t="shared" si="1"/>
        <v>Sep</v>
      </c>
      <c r="L1388" s="21">
        <f t="shared" si="2"/>
        <v>2024</v>
      </c>
      <c r="N1388" s="33"/>
      <c r="O1388" s="34"/>
    </row>
    <row r="1389" ht="22.5" customHeight="1">
      <c r="A1389" s="21" t="s">
        <v>3354</v>
      </c>
      <c r="B1389" s="21" t="s">
        <v>824</v>
      </c>
      <c r="C1389" s="21" t="str">
        <f t="array" ref="C1389">XLOOKUP(B1389,Customer[Customer_ID],Customer[Name(Cleaned)])</f>
        <v>Dr. Ashley Yates Md</v>
      </c>
      <c r="D1389" s="22" t="str">
        <f>VLOOKUP(B1389,Customer[#ALL],6)</f>
        <v>Female</v>
      </c>
      <c r="E1389" s="23">
        <f>Sales[Order_Date]</f>
        <v>45939</v>
      </c>
      <c r="F1389" s="21" t="str">
        <f>Sales[Store_ID]</f>
        <v>STORE13</v>
      </c>
      <c r="G1389" s="21" t="str">
        <f t="array" ref="G1389">INDEX(Store[Store_Name],MATCH(F1389,Store[Store_ID],0))</f>
        <v>Gardner, Humphrey and Contreras</v>
      </c>
      <c r="H1389" s="21" t="str">
        <f>Sales[Product_ID]</f>
        <v>PROD57</v>
      </c>
      <c r="I1389" s="21" t="str">
        <f>VLOOKUP(H1389,Products[],2)</f>
        <v>Foam Roller</v>
      </c>
      <c r="J1389" s="24">
        <f>Sales[Total_Amount]</f>
        <v>1394.5596</v>
      </c>
      <c r="K1389" s="21" t="str">
        <f t="shared" si="1"/>
        <v>Oct</v>
      </c>
      <c r="L1389" s="21">
        <f t="shared" si="2"/>
        <v>2025</v>
      </c>
      <c r="N1389" s="33"/>
      <c r="O1389" s="34"/>
    </row>
    <row r="1390" ht="22.5" customHeight="1">
      <c r="A1390" s="21" t="s">
        <v>3355</v>
      </c>
      <c r="B1390" s="21" t="s">
        <v>872</v>
      </c>
      <c r="C1390" s="21" t="str">
        <f t="array" ref="C1390">XLOOKUP(B1390,Customer[Customer_ID],Customer[Name(Cleaned)])</f>
        <v>Tyrone Olson</v>
      </c>
      <c r="D1390" s="22" t="str">
        <f>VLOOKUP(B1390,Customer[#ALL],6)</f>
        <v>Male</v>
      </c>
      <c r="E1390" s="23">
        <f>Sales[Order_Date]</f>
        <v>45553</v>
      </c>
      <c r="F1390" s="21" t="str">
        <f>Sales[Store_ID]</f>
        <v>STORE3</v>
      </c>
      <c r="G1390" s="21" t="str">
        <f t="array" ref="G1390">INDEX(Store[Store_Name],MATCH(F1390,Store[Store_ID],0))</f>
        <v>Johnson-Wright</v>
      </c>
      <c r="H1390" s="21" t="str">
        <f>Sales[Product_ID]</f>
        <v>PROD56</v>
      </c>
      <c r="I1390" s="21" t="str">
        <f>VLOOKUP(H1390,Products[],2)</f>
        <v>Premium Blanket Throw</v>
      </c>
      <c r="J1390" s="24">
        <f>Sales[Total_Amount]</f>
        <v>810.5714</v>
      </c>
      <c r="K1390" s="21" t="str">
        <f t="shared" si="1"/>
        <v>Sep</v>
      </c>
      <c r="L1390" s="21">
        <f t="shared" si="2"/>
        <v>2024</v>
      </c>
      <c r="N1390" s="33"/>
      <c r="O1390" s="34"/>
    </row>
    <row r="1391" ht="22.5" customHeight="1">
      <c r="A1391" s="21" t="s">
        <v>3356</v>
      </c>
      <c r="B1391" s="21" t="s">
        <v>269</v>
      </c>
      <c r="C1391" s="21" t="str">
        <f t="array" ref="C1391">XLOOKUP(B1391,Customer[Customer_ID],Customer[Name(Cleaned)])</f>
        <v>Andrea Perez</v>
      </c>
      <c r="D1391" s="22" t="str">
        <f>VLOOKUP(B1391,Customer[#ALL],6)</f>
        <v>Male</v>
      </c>
      <c r="E1391" s="23">
        <f>Sales[Order_Date]</f>
        <v>45806</v>
      </c>
      <c r="F1391" s="21" t="str">
        <f>Sales[Store_ID]</f>
        <v>STORE14</v>
      </c>
      <c r="G1391" s="21" t="str">
        <f t="array" ref="G1391">INDEX(Store[Store_Name],MATCH(F1391,Store[Store_ID],0))</f>
        <v>Mcdonald Inc</v>
      </c>
      <c r="H1391" s="21" t="str">
        <f>Sales[Product_ID]</f>
        <v>PROD83</v>
      </c>
      <c r="I1391" s="21" t="str">
        <f>VLOOKUP(H1391,Products[],2)</f>
        <v>Hydrating Face Cleanser</v>
      </c>
      <c r="J1391" s="24">
        <f>Sales[Total_Amount]</f>
        <v>1050.2966</v>
      </c>
      <c r="K1391" s="21" t="str">
        <f t="shared" si="1"/>
        <v>May</v>
      </c>
      <c r="L1391" s="21">
        <f t="shared" si="2"/>
        <v>2025</v>
      </c>
      <c r="N1391" s="33"/>
      <c r="O1391" s="34"/>
    </row>
    <row r="1392" ht="22.5" customHeight="1">
      <c r="A1392" s="21" t="s">
        <v>3357</v>
      </c>
      <c r="B1392" s="21" t="s">
        <v>1465</v>
      </c>
      <c r="C1392" s="21" t="str">
        <f t="array" ref="C1392">XLOOKUP(B1392,Customer[Customer_ID],Customer[Name(Cleaned)])</f>
        <v>Manuel Fisher</v>
      </c>
      <c r="D1392" s="22" t="str">
        <f>VLOOKUP(B1392,Customer[#ALL],6)</f>
        <v>Male</v>
      </c>
      <c r="E1392" s="23">
        <f>Sales[Order_Date]</f>
        <v>45606</v>
      </c>
      <c r="F1392" s="21" t="str">
        <f>Sales[Store_ID]</f>
        <v>STORE8</v>
      </c>
      <c r="G1392" s="21" t="str">
        <f t="array" ref="G1392">INDEX(Store[Store_Name],MATCH(F1392,Store[Store_ID],0))</f>
        <v>Bean, Jones and Park</v>
      </c>
      <c r="H1392" s="21" t="str">
        <f>Sales[Product_ID]</f>
        <v>PROD59</v>
      </c>
      <c r="I1392" s="21" t="str">
        <f>VLOOKUP(H1392,Products[],2)</f>
        <v>Men's Hair Styling Gel</v>
      </c>
      <c r="J1392" s="24">
        <f>Sales[Total_Amount]</f>
        <v>1050.504</v>
      </c>
      <c r="K1392" s="21" t="str">
        <f t="shared" si="1"/>
        <v>Nov</v>
      </c>
      <c r="L1392" s="21">
        <f t="shared" si="2"/>
        <v>2024</v>
      </c>
      <c r="N1392" s="33"/>
      <c r="O1392" s="34"/>
    </row>
    <row r="1393" ht="22.5" customHeight="1">
      <c r="A1393" s="21" t="s">
        <v>3358</v>
      </c>
      <c r="B1393" s="21" t="s">
        <v>1485</v>
      </c>
      <c r="C1393" s="21" t="str">
        <f t="array" ref="C1393">XLOOKUP(B1393,Customer[Customer_ID],Customer[Name(Cleaned)])</f>
        <v>Andrea Harris</v>
      </c>
      <c r="D1393" s="22" t="str">
        <f>VLOOKUP(B1393,Customer[#ALL],6)</f>
        <v>Male</v>
      </c>
      <c r="E1393" s="23">
        <f>Sales[Order_Date]</f>
        <v>45811</v>
      </c>
      <c r="F1393" s="21" t="str">
        <f>Sales[Store_ID]</f>
        <v>STORE16</v>
      </c>
      <c r="G1393" s="21" t="str">
        <f t="array" ref="G1393">INDEX(Store[Store_Name],MATCH(F1393,Store[Store_ID],0))</f>
        <v>Frederick-Wright</v>
      </c>
      <c r="H1393" s="21" t="str">
        <f>Sales[Product_ID]</f>
        <v>PROD76</v>
      </c>
      <c r="I1393" s="21" t="str">
        <f>VLOOKUP(H1393,Products[],2)</f>
        <v>Wireless Mouse</v>
      </c>
      <c r="J1393" s="24">
        <f>Sales[Total_Amount]</f>
        <v>2148.276</v>
      </c>
      <c r="K1393" s="21" t="str">
        <f t="shared" si="1"/>
        <v>Jun</v>
      </c>
      <c r="L1393" s="21">
        <f t="shared" si="2"/>
        <v>2025</v>
      </c>
      <c r="N1393" s="33"/>
      <c r="O1393" s="34"/>
    </row>
    <row r="1394" ht="22.5" customHeight="1">
      <c r="A1394" s="21" t="s">
        <v>3359</v>
      </c>
      <c r="B1394" s="21" t="s">
        <v>1326</v>
      </c>
      <c r="C1394" s="21" t="str">
        <f t="array" ref="C1394">XLOOKUP(B1394,Customer[Customer_ID],Customer[Name(Cleaned)])</f>
        <v>Brittany Edwards Dds</v>
      </c>
      <c r="D1394" s="22" t="str">
        <f>VLOOKUP(B1394,Customer[#ALL],6)</f>
        <v>Male</v>
      </c>
      <c r="E1394" s="23">
        <f>Sales[Order_Date]</f>
        <v>45508</v>
      </c>
      <c r="F1394" s="21" t="str">
        <f>Sales[Store_ID]</f>
        <v>STORE2</v>
      </c>
      <c r="G1394" s="21" t="str">
        <f t="array" ref="G1394">INDEX(Store[Store_Name],MATCH(F1394,Store[Store_ID],0))</f>
        <v>Black-Horn</v>
      </c>
      <c r="H1394" s="21" t="str">
        <f>Sales[Product_ID]</f>
        <v>PROD49</v>
      </c>
      <c r="I1394" s="21" t="str">
        <f>VLOOKUP(H1394,Products[],2)</f>
        <v>Men's Roll-On Perfume</v>
      </c>
      <c r="J1394" s="24">
        <f>Sales[Total_Amount]</f>
        <v>2952.5216</v>
      </c>
      <c r="K1394" s="21" t="str">
        <f t="shared" si="1"/>
        <v>Aug</v>
      </c>
      <c r="L1394" s="21">
        <f t="shared" si="2"/>
        <v>2024</v>
      </c>
      <c r="N1394" s="33"/>
      <c r="O1394" s="34"/>
    </row>
    <row r="1395" ht="22.5" customHeight="1">
      <c r="A1395" s="21" t="s">
        <v>3360</v>
      </c>
      <c r="B1395" s="21" t="s">
        <v>1273</v>
      </c>
      <c r="C1395" s="21" t="str">
        <f t="array" ref="C1395">XLOOKUP(B1395,Customer[Customer_ID],Customer[Name(Cleaned)])</f>
        <v>David Ross</v>
      </c>
      <c r="D1395" s="22" t="str">
        <f>VLOOKUP(B1395,Customer[#ALL],6)</f>
        <v>Male</v>
      </c>
      <c r="E1395" s="23">
        <f>Sales[Order_Date]</f>
        <v>45460</v>
      </c>
      <c r="F1395" s="21" t="str">
        <f>Sales[Store_ID]</f>
        <v>STORE16</v>
      </c>
      <c r="G1395" s="21" t="str">
        <f t="array" ref="G1395">INDEX(Store[Store_Name],MATCH(F1395,Store[Store_ID],0))</f>
        <v>Frederick-Wright</v>
      </c>
      <c r="H1395" s="21" t="str">
        <f>Sales[Product_ID]</f>
        <v>PROD23</v>
      </c>
      <c r="I1395" s="21" t="str">
        <f>VLOOKUP(H1395,Products[],2)</f>
        <v>Men's Formal Shirt</v>
      </c>
      <c r="J1395" s="24">
        <f>Sales[Total_Amount]</f>
        <v>773.6092</v>
      </c>
      <c r="K1395" s="21" t="str">
        <f t="shared" si="1"/>
        <v>Jun</v>
      </c>
      <c r="L1395" s="21">
        <f t="shared" si="2"/>
        <v>2024</v>
      </c>
      <c r="N1395" s="33"/>
      <c r="O1395" s="34"/>
    </row>
    <row r="1396" ht="22.5" customHeight="1">
      <c r="A1396" s="21" t="s">
        <v>3361</v>
      </c>
      <c r="B1396" s="21" t="s">
        <v>447</v>
      </c>
      <c r="C1396" s="21" t="str">
        <f t="array" ref="C1396">XLOOKUP(B1396,Customer[Customer_ID],Customer[Name(Cleaned)])</f>
        <v>John Mcknight</v>
      </c>
      <c r="D1396" s="22" t="str">
        <f>VLOOKUP(B1396,Customer[#ALL],6)</f>
        <v>Female</v>
      </c>
      <c r="E1396" s="23">
        <f>Sales[Order_Date]</f>
        <v>45311</v>
      </c>
      <c r="F1396" s="21" t="str">
        <f>Sales[Store_ID]</f>
        <v>STORE0</v>
      </c>
      <c r="G1396" s="21" t="str">
        <f t="array" ref="G1396">INDEX(Store[Store_Name],MATCH(F1396,Store[Store_ID],0))</f>
        <v>Rivera-Warner</v>
      </c>
      <c r="H1396" s="21" t="str">
        <f>Sales[Product_ID]</f>
        <v>PROD55</v>
      </c>
      <c r="I1396" s="21" t="str">
        <f>VLOOKUP(H1396,Products[],2)</f>
        <v>Ceramic Plant Pot</v>
      </c>
      <c r="J1396" s="24">
        <f>Sales[Total_Amount]</f>
        <v>1640.052</v>
      </c>
      <c r="K1396" s="21" t="str">
        <f t="shared" si="1"/>
        <v>Jan</v>
      </c>
      <c r="L1396" s="21">
        <f t="shared" si="2"/>
        <v>2024</v>
      </c>
      <c r="N1396" s="33"/>
      <c r="O1396" s="34"/>
    </row>
    <row r="1397" ht="22.5" customHeight="1">
      <c r="A1397" s="21" t="s">
        <v>3362</v>
      </c>
      <c r="B1397" s="21" t="s">
        <v>312</v>
      </c>
      <c r="C1397" s="21" t="str">
        <f t="array" ref="C1397">XLOOKUP(B1397,Customer[Customer_ID],Customer[Name(Cleaned)])</f>
        <v>Christy Hoffman</v>
      </c>
      <c r="D1397" s="22" t="str">
        <f>VLOOKUP(B1397,Customer[#ALL],6)</f>
        <v>Male</v>
      </c>
      <c r="E1397" s="23">
        <f>Sales[Order_Date]</f>
        <v>45906</v>
      </c>
      <c r="F1397" s="21" t="str">
        <f>Sales[Store_ID]</f>
        <v>STORE8</v>
      </c>
      <c r="G1397" s="21" t="str">
        <f t="array" ref="G1397">INDEX(Store[Store_Name],MATCH(F1397,Store[Store_ID],0))</f>
        <v>Bean, Jones and Park</v>
      </c>
      <c r="H1397" s="21" t="str">
        <f>Sales[Product_ID]</f>
        <v>PROD68</v>
      </c>
      <c r="I1397" s="21" t="str">
        <f>VLOOKUP(H1397,Products[],2)</f>
        <v>Wooden Nightstand</v>
      </c>
      <c r="J1397" s="24">
        <f>Sales[Total_Amount]</f>
        <v>1729.4748</v>
      </c>
      <c r="K1397" s="21" t="str">
        <f t="shared" si="1"/>
        <v>Sep</v>
      </c>
      <c r="L1397" s="21">
        <f t="shared" si="2"/>
        <v>2025</v>
      </c>
      <c r="N1397" s="33"/>
      <c r="O1397" s="34"/>
    </row>
    <row r="1398" ht="22.5" customHeight="1">
      <c r="A1398" s="21" t="s">
        <v>3363</v>
      </c>
      <c r="B1398" s="21" t="s">
        <v>884</v>
      </c>
      <c r="C1398" s="21" t="str">
        <f t="array" ref="C1398">XLOOKUP(B1398,Customer[Customer_ID],Customer[Name(Cleaned)])</f>
        <v>Samantha Robinson</v>
      </c>
      <c r="D1398" s="22" t="str">
        <f>VLOOKUP(B1398,Customer[#ALL],6)</f>
        <v>Female</v>
      </c>
      <c r="E1398" s="23">
        <f>Sales[Order_Date]</f>
        <v>45380</v>
      </c>
      <c r="F1398" s="21" t="str">
        <f>Sales[Store_ID]</f>
        <v>STORE10</v>
      </c>
      <c r="G1398" s="21" t="str">
        <f t="array" ref="G1398">INDEX(Store[Store_Name],MATCH(F1398,Store[Store_ID],0))</f>
        <v>Hill, Wagner and Ballard</v>
      </c>
      <c r="H1398" s="21" t="str">
        <f>Sales[Product_ID]</f>
        <v>PROD31</v>
      </c>
      <c r="I1398" s="21" t="str">
        <f>VLOOKUP(H1398,Products[],2)</f>
        <v>Basketball</v>
      </c>
      <c r="J1398" s="24">
        <f>Sales[Total_Amount]</f>
        <v>1372.888</v>
      </c>
      <c r="K1398" s="21" t="str">
        <f t="shared" si="1"/>
        <v>Mar</v>
      </c>
      <c r="L1398" s="21">
        <f t="shared" si="2"/>
        <v>2024</v>
      </c>
      <c r="N1398" s="33"/>
      <c r="O1398" s="34"/>
    </row>
    <row r="1399" ht="22.5" customHeight="1">
      <c r="A1399" s="21" t="s">
        <v>3364</v>
      </c>
      <c r="B1399" s="21" t="s">
        <v>711</v>
      </c>
      <c r="C1399" s="21" t="str">
        <f t="array" ref="C1399">XLOOKUP(B1399,Customer[Customer_ID],Customer[Name(Cleaned)])</f>
        <v>Steve Medina</v>
      </c>
      <c r="D1399" s="22" t="str">
        <f>VLOOKUP(B1399,Customer[#ALL],6)</f>
        <v>Male</v>
      </c>
      <c r="E1399" s="23">
        <f>Sales[Order_Date]</f>
        <v>45527</v>
      </c>
      <c r="F1399" s="21" t="str">
        <f>Sales[Store_ID]</f>
        <v>STORE9</v>
      </c>
      <c r="G1399" s="21" t="str">
        <f t="array" ref="G1399">INDEX(Store[Store_Name],MATCH(F1399,Store[Store_ID],0))</f>
        <v>Moore, Padilla and Butler</v>
      </c>
      <c r="H1399" s="21" t="str">
        <f>Sales[Product_ID]</f>
        <v>PROD32</v>
      </c>
      <c r="I1399" s="21" t="str">
        <f>VLOOKUP(H1399,Products[],2)</f>
        <v>Vitamin C Face Serum</v>
      </c>
      <c r="J1399" s="24">
        <f>Sales[Total_Amount]</f>
        <v>1023.678</v>
      </c>
      <c r="K1399" s="21" t="str">
        <f t="shared" si="1"/>
        <v>Aug</v>
      </c>
      <c r="L1399" s="21">
        <f t="shared" si="2"/>
        <v>2024</v>
      </c>
      <c r="N1399" s="33"/>
      <c r="O1399" s="34"/>
    </row>
    <row r="1400" ht="22.5" customHeight="1">
      <c r="A1400" s="21" t="s">
        <v>3365</v>
      </c>
      <c r="B1400" s="21" t="s">
        <v>752</v>
      </c>
      <c r="C1400" s="21" t="str">
        <f t="array" ref="C1400">XLOOKUP(B1400,Customer[Customer_ID],Customer[Name(Cleaned)])</f>
        <v>Tanner Thompson</v>
      </c>
      <c r="D1400" s="22" t="str">
        <f>VLOOKUP(B1400,Customer[#ALL],6)</f>
        <v>Male</v>
      </c>
      <c r="E1400" s="23">
        <f>Sales[Order_Date]</f>
        <v>45796</v>
      </c>
      <c r="F1400" s="21" t="str">
        <f>Sales[Store_ID]</f>
        <v>STORE9</v>
      </c>
      <c r="G1400" s="21" t="str">
        <f t="array" ref="G1400">INDEX(Store[Store_Name],MATCH(F1400,Store[Store_ID],0))</f>
        <v>Moore, Padilla and Butler</v>
      </c>
      <c r="H1400" s="21" t="str">
        <f>Sales[Product_ID]</f>
        <v>PROD52</v>
      </c>
      <c r="I1400" s="21" t="str">
        <f>VLOOKUP(H1400,Products[],2)</f>
        <v>Rugby Ball</v>
      </c>
      <c r="J1400" s="24">
        <f>Sales[Total_Amount]</f>
        <v>1182.8482</v>
      </c>
      <c r="K1400" s="21" t="str">
        <f t="shared" si="1"/>
        <v>May</v>
      </c>
      <c r="L1400" s="21">
        <f t="shared" si="2"/>
        <v>2025</v>
      </c>
      <c r="N1400" s="33"/>
      <c r="O1400" s="34"/>
    </row>
    <row r="1401" ht="22.5" customHeight="1">
      <c r="A1401" s="21" t="s">
        <v>3366</v>
      </c>
      <c r="B1401" s="21" t="s">
        <v>681</v>
      </c>
      <c r="C1401" s="21" t="str">
        <f t="array" ref="C1401">XLOOKUP(B1401,Customer[Customer_ID],Customer[Name(Cleaned)])</f>
        <v>Michelle Carpenter</v>
      </c>
      <c r="D1401" s="22" t="str">
        <f>VLOOKUP(B1401,Customer[#ALL],6)</f>
        <v>Male</v>
      </c>
      <c r="E1401" s="23">
        <f>Sales[Order_Date]</f>
        <v>45389</v>
      </c>
      <c r="F1401" s="21" t="str">
        <f>Sales[Store_ID]</f>
        <v>STORE4</v>
      </c>
      <c r="G1401" s="21" t="str">
        <f t="array" ref="G1401">INDEX(Store[Store_Name],MATCH(F1401,Store[Store_ID],0))</f>
        <v>Alexander Group</v>
      </c>
      <c r="H1401" s="21" t="str">
        <f>Sales[Product_ID]</f>
        <v>PROD84</v>
      </c>
      <c r="I1401" s="21" t="str">
        <f>VLOOKUP(H1401,Products[],2)</f>
        <v>Wooden Bookshelf</v>
      </c>
      <c r="J1401" s="24">
        <f>Sales[Total_Amount]</f>
        <v>1484.7294</v>
      </c>
      <c r="K1401" s="21" t="str">
        <f t="shared" si="1"/>
        <v>Apr</v>
      </c>
      <c r="L1401" s="21">
        <f t="shared" si="2"/>
        <v>2024</v>
      </c>
      <c r="N1401" s="33"/>
      <c r="O1401" s="34"/>
    </row>
    <row r="1402" ht="22.5" customHeight="1">
      <c r="A1402" s="21" t="s">
        <v>3367</v>
      </c>
      <c r="B1402" s="21" t="s">
        <v>1456</v>
      </c>
      <c r="C1402" s="21" t="str">
        <f t="array" ref="C1402">XLOOKUP(B1402,Customer[Customer_ID],Customer[Name(Cleaned)])</f>
        <v>Michael Foley</v>
      </c>
      <c r="D1402" s="22" t="str">
        <f>VLOOKUP(B1402,Customer[#ALL],6)</f>
        <v>Male</v>
      </c>
      <c r="E1402" s="23">
        <f>Sales[Order_Date]</f>
        <v>45315</v>
      </c>
      <c r="F1402" s="21" t="str">
        <f>Sales[Store_ID]</f>
        <v>STORE17</v>
      </c>
      <c r="G1402" s="21" t="str">
        <f t="array" ref="G1402">INDEX(Store[Store_Name],MATCH(F1402,Store[Store_ID],0))</f>
        <v>Holloway Ltd</v>
      </c>
      <c r="H1402" s="21" t="str">
        <f>Sales[Product_ID]</f>
        <v>PROD72</v>
      </c>
      <c r="I1402" s="21" t="str">
        <f>VLOOKUP(H1402,Products[],2)</f>
        <v>Professional Jump Rope</v>
      </c>
      <c r="J1402" s="24">
        <f>Sales[Total_Amount]</f>
        <v>1208.27</v>
      </c>
      <c r="K1402" s="21" t="str">
        <f t="shared" si="1"/>
        <v>Jan</v>
      </c>
      <c r="L1402" s="21">
        <f t="shared" si="2"/>
        <v>2024</v>
      </c>
      <c r="N1402" s="33"/>
      <c r="O1402" s="34"/>
    </row>
    <row r="1403" ht="22.5" customHeight="1">
      <c r="A1403" s="21" t="s">
        <v>3368</v>
      </c>
      <c r="B1403" s="21" t="s">
        <v>266</v>
      </c>
      <c r="C1403" s="21" t="str">
        <f t="array" ref="C1403">XLOOKUP(B1403,Customer[Customer_ID],Customer[Name(Cleaned)])</f>
        <v>Eric Singh</v>
      </c>
      <c r="D1403" s="22" t="str">
        <f>VLOOKUP(B1403,Customer[#ALL],6)</f>
        <v>Male</v>
      </c>
      <c r="E1403" s="23">
        <f>Sales[Order_Date]</f>
        <v>45570</v>
      </c>
      <c r="F1403" s="21" t="str">
        <f>Sales[Store_ID]</f>
        <v>STORE16</v>
      </c>
      <c r="G1403" s="21" t="str">
        <f t="array" ref="G1403">INDEX(Store[Store_Name],MATCH(F1403,Store[Store_ID],0))</f>
        <v>Frederick-Wright</v>
      </c>
      <c r="H1403" s="21" t="str">
        <f>Sales[Product_ID]</f>
        <v>PROD78</v>
      </c>
      <c r="I1403" s="21" t="str">
        <f>VLOOKUP(H1403,Products[],2)</f>
        <v>Essential Oil Diffuser</v>
      </c>
      <c r="J1403" s="24">
        <f>Sales[Total_Amount]</f>
        <v>393.5686</v>
      </c>
      <c r="K1403" s="21" t="str">
        <f t="shared" si="1"/>
        <v>Oct</v>
      </c>
      <c r="L1403" s="21">
        <f t="shared" si="2"/>
        <v>2024</v>
      </c>
      <c r="N1403" s="33"/>
      <c r="O1403" s="34"/>
    </row>
    <row r="1404" ht="22.5" customHeight="1">
      <c r="A1404" s="21" t="s">
        <v>3369</v>
      </c>
      <c r="B1404" s="21" t="s">
        <v>122</v>
      </c>
      <c r="C1404" s="21" t="str">
        <f t="array" ref="C1404">XLOOKUP(B1404,Customer[Customer_ID],Customer[Name(Cleaned)])</f>
        <v>Leslie Johnson</v>
      </c>
      <c r="D1404" s="22" t="str">
        <f>VLOOKUP(B1404,Customer[#ALL],6)</f>
        <v>Female</v>
      </c>
      <c r="E1404" s="23">
        <f>Sales[Order_Date]</f>
        <v>45311</v>
      </c>
      <c r="F1404" s="21" t="str">
        <f>Sales[Store_ID]</f>
        <v>STORE9</v>
      </c>
      <c r="G1404" s="21" t="str">
        <f t="array" ref="G1404">INDEX(Store[Store_Name],MATCH(F1404,Store[Store_ID],0))</f>
        <v>Moore, Padilla and Butler</v>
      </c>
      <c r="H1404" s="21" t="str">
        <f>Sales[Product_ID]</f>
        <v>PROD77</v>
      </c>
      <c r="I1404" s="21" t="str">
        <f>VLOOKUP(H1404,Products[],2)</f>
        <v>WiFi Mesh Router</v>
      </c>
      <c r="J1404" s="24">
        <f>Sales[Total_Amount]</f>
        <v>2240.992</v>
      </c>
      <c r="K1404" s="21" t="str">
        <f t="shared" si="1"/>
        <v>Jan</v>
      </c>
      <c r="L1404" s="21">
        <f t="shared" si="2"/>
        <v>2024</v>
      </c>
      <c r="N1404" s="33"/>
      <c r="O1404" s="34"/>
    </row>
    <row r="1405" ht="22.5" customHeight="1">
      <c r="A1405" s="21" t="s">
        <v>3370</v>
      </c>
      <c r="B1405" s="21" t="s">
        <v>453</v>
      </c>
      <c r="C1405" s="21" t="str">
        <f t="array" ref="C1405">XLOOKUP(B1405,Customer[Customer_ID],Customer[Name(Cleaned)])</f>
        <v>Jessica Mitchell</v>
      </c>
      <c r="D1405" s="22" t="str">
        <f>VLOOKUP(B1405,Customer[#ALL],6)</f>
        <v>Male</v>
      </c>
      <c r="E1405" s="23">
        <f>Sales[Order_Date]</f>
        <v>45270</v>
      </c>
      <c r="F1405" s="21" t="str">
        <f>Sales[Store_ID]</f>
        <v>STORE11</v>
      </c>
      <c r="G1405" s="21" t="str">
        <f t="array" ref="G1405">INDEX(Store[Store_Name],MATCH(F1405,Store[Store_ID],0))</f>
        <v>Aguirre-Keller</v>
      </c>
      <c r="H1405" s="21" t="str">
        <f>Sales[Product_ID]</f>
        <v>PROD91</v>
      </c>
      <c r="I1405" s="21" t="str">
        <f>VLOOKUP(H1405,Products[],2)</f>
        <v>Women's High Heels</v>
      </c>
      <c r="J1405" s="24">
        <f>Sales[Total_Amount]</f>
        <v>615.4784</v>
      </c>
      <c r="K1405" s="21" t="str">
        <f t="shared" si="1"/>
        <v>Dec</v>
      </c>
      <c r="L1405" s="21">
        <f t="shared" si="2"/>
        <v>2023</v>
      </c>
      <c r="N1405" s="33"/>
      <c r="O1405" s="34"/>
    </row>
    <row r="1406" ht="22.5" customHeight="1">
      <c r="A1406" s="21" t="s">
        <v>3371</v>
      </c>
      <c r="B1406" s="21" t="s">
        <v>861</v>
      </c>
      <c r="C1406" s="21" t="str">
        <f t="array" ref="C1406">XLOOKUP(B1406,Customer[Customer_ID],Customer[Name(Cleaned)])</f>
        <v>Tracy Kelly</v>
      </c>
      <c r="D1406" s="22" t="str">
        <f>VLOOKUP(B1406,Customer[#ALL],6)</f>
        <v>Female</v>
      </c>
      <c r="E1406" s="23">
        <f>Sales[Order_Date]</f>
        <v>45279</v>
      </c>
      <c r="F1406" s="21" t="str">
        <f>Sales[Store_ID]</f>
        <v>STORE1</v>
      </c>
      <c r="G1406" s="21" t="str">
        <f t="array" ref="G1406">INDEX(Store[Store_Name],MATCH(F1406,Store[Store_ID],0))</f>
        <v>Martinez, Adkins and Johnson</v>
      </c>
      <c r="H1406" s="21" t="str">
        <f>Sales[Product_ID]</f>
        <v>PROD87</v>
      </c>
      <c r="I1406" s="21" t="str">
        <f>VLOOKUP(H1406,Products[],2)</f>
        <v>LED Bedside Lamp</v>
      </c>
      <c r="J1406" s="24">
        <f>Sales[Total_Amount]</f>
        <v>437.76</v>
      </c>
      <c r="K1406" s="21" t="str">
        <f t="shared" si="1"/>
        <v>Dec</v>
      </c>
      <c r="L1406" s="21">
        <f t="shared" si="2"/>
        <v>2023</v>
      </c>
      <c r="N1406" s="33"/>
      <c r="O1406" s="34"/>
    </row>
    <row r="1407" ht="22.5" customHeight="1">
      <c r="A1407" s="21" t="s">
        <v>3372</v>
      </c>
      <c r="B1407" s="21" t="s">
        <v>555</v>
      </c>
      <c r="C1407" s="21" t="str">
        <f t="array" ref="C1407">XLOOKUP(B1407,Customer[Customer_ID],Customer[Name(Cleaned)])</f>
        <v>Joseph Jones</v>
      </c>
      <c r="D1407" s="22" t="str">
        <f>VLOOKUP(B1407,Customer[#ALL],6)</f>
        <v>Female</v>
      </c>
      <c r="E1407" s="23">
        <f>Sales[Order_Date]</f>
        <v>45252</v>
      </c>
      <c r="F1407" s="21" t="str">
        <f>Sales[Store_ID]</f>
        <v>STORE5</v>
      </c>
      <c r="G1407" s="21" t="str">
        <f t="array" ref="G1407">INDEX(Store[Store_Name],MATCH(F1407,Store[Store_ID],0))</f>
        <v>Gray Ltd</v>
      </c>
      <c r="H1407" s="21" t="str">
        <f>Sales[Product_ID]</f>
        <v>PROD97</v>
      </c>
      <c r="I1407" s="21" t="str">
        <f>VLOOKUP(H1407,Products[],2)</f>
        <v>Cricket Bat</v>
      </c>
      <c r="J1407" s="24">
        <f>Sales[Total_Amount]</f>
        <v>434.0568</v>
      </c>
      <c r="K1407" s="21" t="str">
        <f t="shared" si="1"/>
        <v>Nov</v>
      </c>
      <c r="L1407" s="21">
        <f t="shared" si="2"/>
        <v>2023</v>
      </c>
      <c r="N1407" s="33"/>
      <c r="O1407" s="34"/>
    </row>
    <row r="1408" ht="22.5" customHeight="1">
      <c r="A1408" s="21" t="s">
        <v>3373</v>
      </c>
      <c r="B1408" s="21" t="s">
        <v>963</v>
      </c>
      <c r="C1408" s="21" t="str">
        <f t="array" ref="C1408">XLOOKUP(B1408,Customer[Customer_ID],Customer[Name(Cleaned)])</f>
        <v>Matthew Avery</v>
      </c>
      <c r="D1408" s="22" t="str">
        <f>VLOOKUP(B1408,Customer[#ALL],6)</f>
        <v>Female</v>
      </c>
      <c r="E1408" s="23">
        <f>Sales[Order_Date]</f>
        <v>45938</v>
      </c>
      <c r="F1408" s="21" t="str">
        <f>Sales[Store_ID]</f>
        <v>STORE14</v>
      </c>
      <c r="G1408" s="21" t="str">
        <f t="array" ref="G1408">INDEX(Store[Store_Name],MATCH(F1408,Store[Store_ID],0))</f>
        <v>Mcdonald Inc</v>
      </c>
      <c r="H1408" s="21" t="str">
        <f>Sales[Product_ID]</f>
        <v>PROD36</v>
      </c>
      <c r="I1408" s="21" t="str">
        <f>VLOOKUP(H1408,Products[],2)</f>
        <v>Women's Summer Dress</v>
      </c>
      <c r="J1408" s="24">
        <f>Sales[Total_Amount]</f>
        <v>612.5976</v>
      </c>
      <c r="K1408" s="21" t="str">
        <f t="shared" si="1"/>
        <v>Oct</v>
      </c>
      <c r="L1408" s="21">
        <f t="shared" si="2"/>
        <v>2025</v>
      </c>
      <c r="N1408" s="33"/>
      <c r="O1408" s="34"/>
    </row>
    <row r="1409" ht="22.5" customHeight="1">
      <c r="A1409" s="21" t="s">
        <v>3374</v>
      </c>
      <c r="B1409" s="21" t="s">
        <v>1276</v>
      </c>
      <c r="C1409" s="21" t="str">
        <f t="array" ref="C1409">XLOOKUP(B1409,Customer[Customer_ID],Customer[Name(Cleaned)])</f>
        <v>Eric Wolfe</v>
      </c>
      <c r="D1409" s="22" t="str">
        <f>VLOOKUP(B1409,Customer[#ALL],6)</f>
        <v>Male</v>
      </c>
      <c r="E1409" s="23">
        <f>Sales[Order_Date]</f>
        <v>45711</v>
      </c>
      <c r="F1409" s="21" t="str">
        <f>Sales[Store_ID]</f>
        <v>STORE9</v>
      </c>
      <c r="G1409" s="21" t="str">
        <f t="array" ref="G1409">INDEX(Store[Store_Name],MATCH(F1409,Store[Store_ID],0))</f>
        <v>Moore, Padilla and Butler</v>
      </c>
      <c r="H1409" s="21" t="str">
        <f>Sales[Product_ID]</f>
        <v>PROD46</v>
      </c>
      <c r="I1409" s="21" t="str">
        <f>VLOOKUP(H1409,Products[],2)</f>
        <v>Men's Winter Jacket</v>
      </c>
      <c r="J1409" s="24">
        <f>Sales[Total_Amount]</f>
        <v>79.6385</v>
      </c>
      <c r="K1409" s="21" t="str">
        <f t="shared" si="1"/>
        <v>Feb</v>
      </c>
      <c r="L1409" s="21">
        <f t="shared" si="2"/>
        <v>2025</v>
      </c>
      <c r="N1409" s="33"/>
      <c r="O1409" s="34"/>
    </row>
    <row r="1410" ht="22.5" customHeight="1">
      <c r="A1410" s="21" t="s">
        <v>3375</v>
      </c>
      <c r="B1410" s="21" t="s">
        <v>43</v>
      </c>
      <c r="C1410" s="21" t="str">
        <f t="array" ref="C1410">XLOOKUP(B1410,Customer[Customer_ID],Customer[Name(Cleaned)])</f>
        <v>Amber Jackson</v>
      </c>
      <c r="D1410" s="22" t="str">
        <f>VLOOKUP(B1410,Customer[#ALL],6)</f>
        <v>Male</v>
      </c>
      <c r="E1410" s="23">
        <f>Sales[Order_Date]</f>
        <v>45713</v>
      </c>
      <c r="F1410" s="21" t="str">
        <f>Sales[Store_ID]</f>
        <v>STORE16</v>
      </c>
      <c r="G1410" s="21" t="str">
        <f t="array" ref="G1410">INDEX(Store[Store_Name],MATCH(F1410,Store[Store_ID],0))</f>
        <v>Frederick-Wright</v>
      </c>
      <c r="H1410" s="21" t="str">
        <f>Sales[Product_ID]</f>
        <v>PROD88</v>
      </c>
      <c r="I1410" s="21" t="str">
        <f>VLOOKUP(H1410,Products[],2)</f>
        <v>Sports Wrist Sweatbands</v>
      </c>
      <c r="J1410" s="24">
        <f>Sales[Total_Amount]</f>
        <v>1403.892</v>
      </c>
      <c r="K1410" s="21" t="str">
        <f t="shared" si="1"/>
        <v>Feb</v>
      </c>
      <c r="L1410" s="21">
        <f t="shared" si="2"/>
        <v>2025</v>
      </c>
      <c r="N1410" s="33"/>
      <c r="O1410" s="34"/>
    </row>
    <row r="1411" ht="22.5" customHeight="1">
      <c r="A1411" s="21" t="s">
        <v>3376</v>
      </c>
      <c r="B1411" s="21" t="s">
        <v>1161</v>
      </c>
      <c r="C1411" s="21" t="str">
        <f t="array" ref="C1411">XLOOKUP(B1411,Customer[Customer_ID],Customer[Name(Cleaned)])</f>
        <v>Mallory Allen</v>
      </c>
      <c r="D1411" s="22" t="str">
        <f>VLOOKUP(B1411,Customer[#ALL],6)</f>
        <v>Male</v>
      </c>
      <c r="E1411" s="23">
        <f>Sales[Order_Date]</f>
        <v>45565</v>
      </c>
      <c r="F1411" s="21" t="str">
        <f>Sales[Store_ID]</f>
        <v>STORE6</v>
      </c>
      <c r="G1411" s="21" t="str">
        <f t="array" ref="G1411">INDEX(Store[Store_Name],MATCH(F1411,Store[Store_ID],0))</f>
        <v>Benson-Elliott</v>
      </c>
      <c r="H1411" s="21" t="str">
        <f>Sales[Product_ID]</f>
        <v>PROD73</v>
      </c>
      <c r="I1411" s="21" t="str">
        <f>VLOOKUP(H1411,Products[],2)</f>
        <v>Shin Guards – Adult</v>
      </c>
      <c r="J1411" s="24">
        <f>Sales[Total_Amount]</f>
        <v>3066.6688</v>
      </c>
      <c r="K1411" s="21" t="str">
        <f t="shared" si="1"/>
        <v>Sep</v>
      </c>
      <c r="L1411" s="21">
        <f t="shared" si="2"/>
        <v>2024</v>
      </c>
      <c r="N1411" s="33"/>
      <c r="O1411" s="34"/>
    </row>
    <row r="1412" ht="22.5" customHeight="1">
      <c r="A1412" s="21" t="s">
        <v>3377</v>
      </c>
      <c r="B1412" s="21" t="s">
        <v>684</v>
      </c>
      <c r="C1412" s="21" t="str">
        <f t="array" ref="C1412">XLOOKUP(B1412,Customer[Customer_ID],Customer[Name(Cleaned)])</f>
        <v>Ronald Jones</v>
      </c>
      <c r="D1412" s="22" t="str">
        <f>VLOOKUP(B1412,Customer[#ALL],6)</f>
        <v>Male</v>
      </c>
      <c r="E1412" s="23">
        <f>Sales[Order_Date]</f>
        <v>45279</v>
      </c>
      <c r="F1412" s="21" t="str">
        <f>Sales[Store_ID]</f>
        <v>STORE14</v>
      </c>
      <c r="G1412" s="21" t="str">
        <f t="array" ref="G1412">INDEX(Store[Store_Name],MATCH(F1412,Store[Store_ID],0))</f>
        <v>Mcdonald Inc</v>
      </c>
      <c r="H1412" s="21" t="str">
        <f>Sales[Product_ID]</f>
        <v>PROD17</v>
      </c>
      <c r="I1412" s="21" t="str">
        <f>VLOOKUP(H1412,Products[],2)</f>
        <v>Soccer Training Cone Set</v>
      </c>
      <c r="J1412" s="24">
        <f>Sales[Total_Amount]</f>
        <v>766.3743</v>
      </c>
      <c r="K1412" s="21" t="str">
        <f t="shared" si="1"/>
        <v>Dec</v>
      </c>
      <c r="L1412" s="21">
        <f t="shared" si="2"/>
        <v>2023</v>
      </c>
      <c r="N1412" s="33"/>
      <c r="O1412" s="34"/>
    </row>
    <row r="1413" ht="22.5" customHeight="1">
      <c r="A1413" s="21" t="s">
        <v>3378</v>
      </c>
      <c r="B1413" s="21" t="s">
        <v>1485</v>
      </c>
      <c r="C1413" s="21" t="str">
        <f t="array" ref="C1413">XLOOKUP(B1413,Customer[Customer_ID],Customer[Name(Cleaned)])</f>
        <v>Andrea Harris</v>
      </c>
      <c r="D1413" s="22" t="str">
        <f>VLOOKUP(B1413,Customer[#ALL],6)</f>
        <v>Male</v>
      </c>
      <c r="E1413" s="23">
        <f>Sales[Order_Date]</f>
        <v>45614</v>
      </c>
      <c r="F1413" s="21" t="str">
        <f>Sales[Store_ID]</f>
        <v>STORE8</v>
      </c>
      <c r="G1413" s="21" t="str">
        <f t="array" ref="G1413">INDEX(Store[Store_Name],MATCH(F1413,Store[Store_ID],0))</f>
        <v>Bean, Jones and Park</v>
      </c>
      <c r="H1413" s="21" t="str">
        <f>Sales[Product_ID]</f>
        <v>PROD98</v>
      </c>
      <c r="I1413" s="21" t="str">
        <f>VLOOKUP(H1413,Products[],2)</f>
        <v>Portable Bluetooth Speaker</v>
      </c>
      <c r="J1413" s="24">
        <f>Sales[Total_Amount]</f>
        <v>2198.16</v>
      </c>
      <c r="K1413" s="21" t="str">
        <f t="shared" si="1"/>
        <v>Nov</v>
      </c>
      <c r="L1413" s="21">
        <f t="shared" si="2"/>
        <v>2024</v>
      </c>
      <c r="N1413" s="33"/>
      <c r="O1413" s="34"/>
    </row>
    <row r="1414" ht="22.5" customHeight="1">
      <c r="A1414" s="21" t="s">
        <v>3379</v>
      </c>
      <c r="B1414" s="21" t="s">
        <v>51</v>
      </c>
      <c r="C1414" s="21" t="str">
        <f t="array" ref="C1414">XLOOKUP(B1414,Customer[Customer_ID],Customer[Name(Cleaned)])</f>
        <v>Melissa Howard</v>
      </c>
      <c r="D1414" s="22" t="str">
        <f>VLOOKUP(B1414,Customer[#ALL],6)</f>
        <v>Male</v>
      </c>
      <c r="E1414" s="23">
        <f>Sales[Order_Date]</f>
        <v>45466</v>
      </c>
      <c r="F1414" s="21" t="str">
        <f>Sales[Store_ID]</f>
        <v>STORE11</v>
      </c>
      <c r="G1414" s="21" t="str">
        <f t="array" ref="G1414">INDEX(Store[Store_Name],MATCH(F1414,Store[Store_ID],0))</f>
        <v>Aguirre-Keller</v>
      </c>
      <c r="H1414" s="21" t="str">
        <f>Sales[Product_ID]</f>
        <v>PROD30</v>
      </c>
      <c r="I1414" s="21" t="str">
        <f>VLOOKUP(H1414,Products[],2)</f>
        <v>Stainless Steel Cutlery Set</v>
      </c>
      <c r="J1414" s="24">
        <f>Sales[Total_Amount]</f>
        <v>116.7708</v>
      </c>
      <c r="K1414" s="21" t="str">
        <f t="shared" si="1"/>
        <v>Jun</v>
      </c>
      <c r="L1414" s="21">
        <f t="shared" si="2"/>
        <v>2024</v>
      </c>
      <c r="N1414" s="33"/>
      <c r="O1414" s="34"/>
    </row>
    <row r="1415" ht="22.5" customHeight="1">
      <c r="A1415" s="21" t="s">
        <v>3380</v>
      </c>
      <c r="B1415" s="21" t="s">
        <v>283</v>
      </c>
      <c r="C1415" s="21" t="str">
        <f t="array" ref="C1415">XLOOKUP(B1415,Customer[Customer_ID],Customer[Name(Cleaned)])</f>
        <v>Rhonda Morales</v>
      </c>
      <c r="D1415" s="22" t="str">
        <f>VLOOKUP(B1415,Customer[#ALL],6)</f>
        <v>Male</v>
      </c>
      <c r="E1415" s="23">
        <f>Sales[Order_Date]</f>
        <v>45912</v>
      </c>
      <c r="F1415" s="21" t="str">
        <f>Sales[Store_ID]</f>
        <v>STORE18</v>
      </c>
      <c r="G1415" s="21" t="str">
        <f t="array" ref="G1415">INDEX(Store[Store_Name],MATCH(F1415,Store[Store_ID],0))</f>
        <v>Guerrero-Schmitt</v>
      </c>
      <c r="H1415" s="21" t="str">
        <f>Sales[Product_ID]</f>
        <v>PROD28</v>
      </c>
      <c r="I1415" s="21" t="str">
        <f>VLOOKUP(H1415,Products[],2)</f>
        <v>Sports Stopwatch Timer</v>
      </c>
      <c r="J1415" s="24">
        <f>Sales[Total_Amount]</f>
        <v>411.352</v>
      </c>
      <c r="K1415" s="21" t="str">
        <f t="shared" si="1"/>
        <v>Sep</v>
      </c>
      <c r="L1415" s="21">
        <f t="shared" si="2"/>
        <v>2025</v>
      </c>
      <c r="N1415" s="33"/>
      <c r="O1415" s="34"/>
    </row>
    <row r="1416" ht="22.5" customHeight="1">
      <c r="A1416" s="21" t="s">
        <v>3381</v>
      </c>
      <c r="B1416" s="21" t="s">
        <v>1259</v>
      </c>
      <c r="C1416" s="21" t="str">
        <f t="array" ref="C1416">XLOOKUP(B1416,Customer[Customer_ID],Customer[Name(Cleaned)])</f>
        <v>John Donaldson</v>
      </c>
      <c r="D1416" s="22" t="str">
        <f>VLOOKUP(B1416,Customer[#ALL],6)</f>
        <v>Female</v>
      </c>
      <c r="E1416" s="23">
        <f>Sales[Order_Date]</f>
        <v>45688</v>
      </c>
      <c r="F1416" s="21" t="str">
        <f>Sales[Store_ID]</f>
        <v>STORE13</v>
      </c>
      <c r="G1416" s="21" t="str">
        <f t="array" ref="G1416">INDEX(Store[Store_Name],MATCH(F1416,Store[Store_ID],0))</f>
        <v>Gardner, Humphrey and Contreras</v>
      </c>
      <c r="H1416" s="21" t="str">
        <f>Sales[Product_ID]</f>
        <v>PROD37</v>
      </c>
      <c r="I1416" s="21" t="str">
        <f>VLOOKUP(H1416,Products[],2)</f>
        <v>Men's Casual Sneakers</v>
      </c>
      <c r="J1416" s="24">
        <f>Sales[Total_Amount]</f>
        <v>426.036</v>
      </c>
      <c r="K1416" s="21" t="str">
        <f t="shared" si="1"/>
        <v>Jan</v>
      </c>
      <c r="L1416" s="21">
        <f t="shared" si="2"/>
        <v>2025</v>
      </c>
      <c r="N1416" s="33"/>
      <c r="O1416" s="34"/>
    </row>
    <row r="1417" ht="22.5" customHeight="1">
      <c r="A1417" s="21" t="s">
        <v>3382</v>
      </c>
      <c r="B1417" s="21" t="s">
        <v>658</v>
      </c>
      <c r="C1417" s="21" t="str">
        <f t="array" ref="C1417">XLOOKUP(B1417,Customer[Customer_ID],Customer[Name(Cleaned)])</f>
        <v>Andrea Jacobs</v>
      </c>
      <c r="D1417" s="22" t="str">
        <f>VLOOKUP(B1417,Customer[#ALL],6)</f>
        <v>Male</v>
      </c>
      <c r="E1417" s="23">
        <f>Sales[Order_Date]</f>
        <v>45591</v>
      </c>
      <c r="F1417" s="21" t="str">
        <f>Sales[Store_ID]</f>
        <v>STORE0</v>
      </c>
      <c r="G1417" s="21" t="str">
        <f t="array" ref="G1417">INDEX(Store[Store_Name],MATCH(F1417,Store[Store_ID],0))</f>
        <v>Rivera-Warner</v>
      </c>
      <c r="H1417" s="21" t="str">
        <f>Sales[Product_ID]</f>
        <v>PROD37</v>
      </c>
      <c r="I1417" s="21" t="str">
        <f>VLOOKUP(H1417,Products[],2)</f>
        <v>Men's Casual Sneakers</v>
      </c>
      <c r="J1417" s="24">
        <f>Sales[Total_Amount]</f>
        <v>1223.0694</v>
      </c>
      <c r="K1417" s="21" t="str">
        <f t="shared" si="1"/>
        <v>Oct</v>
      </c>
      <c r="L1417" s="21">
        <f t="shared" si="2"/>
        <v>2024</v>
      </c>
      <c r="N1417" s="33"/>
      <c r="O1417" s="34"/>
    </row>
    <row r="1418" ht="22.5" customHeight="1">
      <c r="A1418" s="21" t="s">
        <v>3383</v>
      </c>
      <c r="B1418" s="21" t="s">
        <v>1215</v>
      </c>
      <c r="C1418" s="21" t="str">
        <f t="array" ref="C1418">XLOOKUP(B1418,Customer[Customer_ID],Customer[Name(Cleaned)])</f>
        <v>Andrew Mason</v>
      </c>
      <c r="D1418" s="22" t="str">
        <f>VLOOKUP(B1418,Customer[#ALL],6)</f>
        <v>Male</v>
      </c>
      <c r="E1418" s="23">
        <f>Sales[Order_Date]</f>
        <v>45864</v>
      </c>
      <c r="F1418" s="21" t="str">
        <f>Sales[Store_ID]</f>
        <v>STORE10</v>
      </c>
      <c r="G1418" s="21" t="str">
        <f t="array" ref="G1418">INDEX(Store[Store_Name],MATCH(F1418,Store[Store_ID],0))</f>
        <v>Hill, Wagner and Ballard</v>
      </c>
      <c r="H1418" s="21" t="str">
        <f>Sales[Product_ID]</f>
        <v>PROD74</v>
      </c>
      <c r="I1418" s="21" t="str">
        <f>VLOOKUP(H1418,Products[],2)</f>
        <v>Bluetooth Car Audio System</v>
      </c>
      <c r="J1418" s="24">
        <f>Sales[Total_Amount]</f>
        <v>24.4426</v>
      </c>
      <c r="K1418" s="21" t="str">
        <f t="shared" si="1"/>
        <v>Jul</v>
      </c>
      <c r="L1418" s="21">
        <f t="shared" si="2"/>
        <v>2025</v>
      </c>
      <c r="N1418" s="33"/>
      <c r="O1418" s="34"/>
    </row>
    <row r="1419" ht="22.5" customHeight="1">
      <c r="A1419" s="21" t="s">
        <v>3384</v>
      </c>
      <c r="B1419" s="21" t="s">
        <v>666</v>
      </c>
      <c r="C1419" s="21" t="str">
        <f t="array" ref="C1419">XLOOKUP(B1419,Customer[Customer_ID],Customer[Name(Cleaned)])</f>
        <v>Anna Perez</v>
      </c>
      <c r="D1419" s="22" t="str">
        <f>VLOOKUP(B1419,Customer[#ALL],6)</f>
        <v>Female</v>
      </c>
      <c r="E1419" s="23">
        <f>Sales[Order_Date]</f>
        <v>45875</v>
      </c>
      <c r="F1419" s="21" t="str">
        <f>Sales[Store_ID]</f>
        <v>STORE16</v>
      </c>
      <c r="G1419" s="21" t="str">
        <f t="array" ref="G1419">INDEX(Store[Store_Name],MATCH(F1419,Store[Store_ID],0))</f>
        <v>Frederick-Wright</v>
      </c>
      <c r="H1419" s="21" t="str">
        <f>Sales[Product_ID]</f>
        <v>PROD58</v>
      </c>
      <c r="I1419" s="21" t="str">
        <f>VLOOKUP(H1419,Products[],2)</f>
        <v>Womens Cotton Scarf</v>
      </c>
      <c r="J1419" s="24">
        <f>Sales[Total_Amount]</f>
        <v>1579.3443</v>
      </c>
      <c r="K1419" s="21" t="str">
        <f t="shared" si="1"/>
        <v>Aug</v>
      </c>
      <c r="L1419" s="21">
        <f t="shared" si="2"/>
        <v>2025</v>
      </c>
      <c r="N1419" s="33"/>
      <c r="O1419" s="34"/>
    </row>
    <row r="1420" ht="22.5" customHeight="1">
      <c r="A1420" s="21" t="s">
        <v>3385</v>
      </c>
      <c r="B1420" s="21" t="s">
        <v>564</v>
      </c>
      <c r="C1420" s="21" t="str">
        <f t="array" ref="C1420">XLOOKUP(B1420,Customer[Customer_ID],Customer[Name(Cleaned)])</f>
        <v>Patricia Gardner</v>
      </c>
      <c r="D1420" s="22" t="str">
        <f>VLOOKUP(B1420,Customer[#ALL],6)</f>
        <v>Male</v>
      </c>
      <c r="E1420" s="23">
        <f>Sales[Order_Date]</f>
        <v>45797</v>
      </c>
      <c r="F1420" s="21" t="str">
        <f>Sales[Store_ID]</f>
        <v>STORE10</v>
      </c>
      <c r="G1420" s="21" t="str">
        <f t="array" ref="G1420">INDEX(Store[Store_Name],MATCH(F1420,Store[Store_ID],0))</f>
        <v>Hill, Wagner and Ballard</v>
      </c>
      <c r="H1420" s="21" t="str">
        <f>Sales[Product_ID]</f>
        <v>PROD81</v>
      </c>
      <c r="I1420" s="21" t="str">
        <f>VLOOKUP(H1420,Products[],2)</f>
        <v>Badminton Racket Set</v>
      </c>
      <c r="J1420" s="24">
        <f>Sales[Total_Amount]</f>
        <v>235.3212</v>
      </c>
      <c r="K1420" s="21" t="str">
        <f t="shared" si="1"/>
        <v>May</v>
      </c>
      <c r="L1420" s="21">
        <f t="shared" si="2"/>
        <v>2025</v>
      </c>
      <c r="N1420" s="33"/>
      <c r="O1420" s="34"/>
    </row>
    <row r="1421" ht="22.5" customHeight="1">
      <c r="A1421" s="21" t="s">
        <v>3386</v>
      </c>
      <c r="B1421" s="21" t="s">
        <v>419</v>
      </c>
      <c r="C1421" s="21" t="str">
        <f t="array" ref="C1421">XLOOKUP(B1421,Customer[Customer_ID],Customer[Name(Cleaned)])</f>
        <v>Earl Allen</v>
      </c>
      <c r="D1421" s="22" t="str">
        <f>VLOOKUP(B1421,Customer[#ALL],6)</f>
        <v>Female</v>
      </c>
      <c r="E1421" s="23">
        <f>Sales[Order_Date]</f>
        <v>45364</v>
      </c>
      <c r="F1421" s="21" t="str">
        <f>Sales[Store_ID]</f>
        <v>STORE5</v>
      </c>
      <c r="G1421" s="21" t="str">
        <f t="array" ref="G1421">INDEX(Store[Store_Name],MATCH(F1421,Store[Store_ID],0))</f>
        <v>Gray Ltd</v>
      </c>
      <c r="H1421" s="21" t="str">
        <f>Sales[Product_ID]</f>
        <v>PROD91</v>
      </c>
      <c r="I1421" s="21" t="str">
        <f>VLOOKUP(H1421,Products[],2)</f>
        <v>Women's High Heels</v>
      </c>
      <c r="J1421" s="24">
        <f>Sales[Total_Amount]</f>
        <v>2859.9408</v>
      </c>
      <c r="K1421" s="21" t="str">
        <f t="shared" si="1"/>
        <v>Mar</v>
      </c>
      <c r="L1421" s="21">
        <f t="shared" si="2"/>
        <v>2024</v>
      </c>
      <c r="N1421" s="33"/>
      <c r="O1421" s="34"/>
    </row>
    <row r="1422" ht="22.5" customHeight="1">
      <c r="A1422" s="21" t="s">
        <v>3387</v>
      </c>
      <c r="B1422" s="21" t="s">
        <v>1462</v>
      </c>
      <c r="C1422" s="21" t="str">
        <f t="array" ref="C1422">XLOOKUP(B1422,Customer[Customer_ID],Customer[Name(Cleaned)])</f>
        <v>James Foster</v>
      </c>
      <c r="D1422" s="22" t="str">
        <f>VLOOKUP(B1422,Customer[#ALL],6)</f>
        <v>Female</v>
      </c>
      <c r="E1422" s="23">
        <f>Sales[Order_Date]</f>
        <v>45700</v>
      </c>
      <c r="F1422" s="21" t="str">
        <f>Sales[Store_ID]</f>
        <v>STORE17</v>
      </c>
      <c r="G1422" s="21" t="str">
        <f t="array" ref="G1422">INDEX(Store[Store_Name],MATCH(F1422,Store[Store_ID],0))</f>
        <v>Holloway Ltd</v>
      </c>
      <c r="H1422" s="21" t="str">
        <f>Sales[Product_ID]</f>
        <v>PROD46</v>
      </c>
      <c r="I1422" s="21" t="str">
        <f>VLOOKUP(H1422,Products[],2)</f>
        <v>Men's Winter Jacket</v>
      </c>
      <c r="J1422" s="24">
        <f>Sales[Total_Amount]</f>
        <v>645.0808</v>
      </c>
      <c r="K1422" s="21" t="str">
        <f t="shared" si="1"/>
        <v>Feb</v>
      </c>
      <c r="L1422" s="21">
        <f t="shared" si="2"/>
        <v>2025</v>
      </c>
      <c r="N1422" s="33"/>
      <c r="O1422" s="34"/>
    </row>
    <row r="1423" ht="22.5" customHeight="1">
      <c r="A1423" s="21" t="s">
        <v>3388</v>
      </c>
      <c r="B1423" s="21" t="s">
        <v>984</v>
      </c>
      <c r="C1423" s="21" t="str">
        <f t="array" ref="C1423">XLOOKUP(B1423,Customer[Customer_ID],Customer[Name(Cleaned)])</f>
        <v>Brandy Thompson</v>
      </c>
      <c r="D1423" s="22" t="str">
        <f>VLOOKUP(B1423,Customer[#ALL],6)</f>
        <v>Male</v>
      </c>
      <c r="E1423" s="23">
        <f>Sales[Order_Date]</f>
        <v>45924</v>
      </c>
      <c r="F1423" s="21" t="str">
        <f>Sales[Store_ID]</f>
        <v>STORE2</v>
      </c>
      <c r="G1423" s="21" t="str">
        <f t="array" ref="G1423">INDEX(Store[Store_Name],MATCH(F1423,Store[Store_ID],0))</f>
        <v>Black-Horn</v>
      </c>
      <c r="H1423" s="21" t="str">
        <f>Sales[Product_ID]</f>
        <v>PROD30</v>
      </c>
      <c r="I1423" s="21" t="str">
        <f>VLOOKUP(H1423,Products[],2)</f>
        <v>Stainless Steel Cutlery Set</v>
      </c>
      <c r="J1423" s="24">
        <f>Sales[Total_Amount]</f>
        <v>600.9548</v>
      </c>
      <c r="K1423" s="21" t="str">
        <f t="shared" si="1"/>
        <v>Sep</v>
      </c>
      <c r="L1423" s="21">
        <f t="shared" si="2"/>
        <v>2025</v>
      </c>
      <c r="N1423" s="33"/>
      <c r="O1423" s="34"/>
    </row>
    <row r="1424" ht="22.5" customHeight="1">
      <c r="A1424" s="21" t="s">
        <v>3389</v>
      </c>
      <c r="B1424" s="21" t="s">
        <v>1405</v>
      </c>
      <c r="C1424" s="21" t="str">
        <f t="array" ref="C1424">XLOOKUP(B1424,Customer[Customer_ID],Customer[Name(Cleaned)])</f>
        <v>William Cortez</v>
      </c>
      <c r="D1424" s="22" t="str">
        <f>VLOOKUP(B1424,Customer[#ALL],6)</f>
        <v>Female</v>
      </c>
      <c r="E1424" s="23">
        <f>Sales[Order_Date]</f>
        <v>45574</v>
      </c>
      <c r="F1424" s="21" t="str">
        <f>Sales[Store_ID]</f>
        <v>STORE9</v>
      </c>
      <c r="G1424" s="21" t="str">
        <f t="array" ref="G1424">INDEX(Store[Store_Name],MATCH(F1424,Store[Store_ID],0))</f>
        <v>Moore, Padilla and Butler</v>
      </c>
      <c r="H1424" s="21" t="str">
        <f>Sales[Product_ID]</f>
        <v>PROD15</v>
      </c>
      <c r="I1424" s="21" t="str">
        <f>VLOOKUP(H1424,Products[],2)</f>
        <v>4K Home Projector</v>
      </c>
      <c r="J1424" s="24">
        <f>Sales[Total_Amount]</f>
        <v>1733.9049</v>
      </c>
      <c r="K1424" s="21" t="str">
        <f t="shared" si="1"/>
        <v>Oct</v>
      </c>
      <c r="L1424" s="21">
        <f t="shared" si="2"/>
        <v>2024</v>
      </c>
      <c r="N1424" s="33"/>
      <c r="O1424" s="34"/>
    </row>
    <row r="1425" ht="22.5" customHeight="1">
      <c r="A1425" s="21" t="s">
        <v>3390</v>
      </c>
      <c r="B1425" s="21" t="s">
        <v>675</v>
      </c>
      <c r="C1425" s="21" t="str">
        <f t="array" ref="C1425">XLOOKUP(B1425,Customer[Customer_ID],Customer[Name(Cleaned)])</f>
        <v>Sarah Brady</v>
      </c>
      <c r="D1425" s="22" t="str">
        <f>VLOOKUP(B1425,Customer[#ALL],6)</f>
        <v>Female</v>
      </c>
      <c r="E1425" s="23">
        <f>Sales[Order_Date]</f>
        <v>45218</v>
      </c>
      <c r="F1425" s="21" t="str">
        <f>Sales[Store_ID]</f>
        <v>STORE17</v>
      </c>
      <c r="G1425" s="21" t="str">
        <f t="array" ref="G1425">INDEX(Store[Store_Name],MATCH(F1425,Store[Store_ID],0))</f>
        <v>Holloway Ltd</v>
      </c>
      <c r="H1425" s="21" t="str">
        <f>Sales[Product_ID]</f>
        <v>PROD44</v>
      </c>
      <c r="I1425" s="21" t="str">
        <f>VLOOKUP(H1425,Products[],2)</f>
        <v>Adjustable Jump Rope</v>
      </c>
      <c r="J1425" s="24">
        <f>Sales[Total_Amount]</f>
        <v>372.3336</v>
      </c>
      <c r="K1425" s="21" t="str">
        <f t="shared" si="1"/>
        <v>Oct</v>
      </c>
      <c r="L1425" s="21">
        <f t="shared" si="2"/>
        <v>2023</v>
      </c>
      <c r="N1425" s="33"/>
      <c r="O1425" s="34"/>
    </row>
    <row r="1426" ht="22.5" customHeight="1">
      <c r="A1426" s="21" t="s">
        <v>3391</v>
      </c>
      <c r="B1426" s="21" t="s">
        <v>864</v>
      </c>
      <c r="C1426" s="21" t="str">
        <f t="array" ref="C1426">XLOOKUP(B1426,Customer[Customer_ID],Customer[Name(Cleaned)])</f>
        <v>Cynthia Payne</v>
      </c>
      <c r="D1426" s="22" t="str">
        <f>VLOOKUP(B1426,Customer[#ALL],6)</f>
        <v>Male</v>
      </c>
      <c r="E1426" s="23">
        <f>Sales[Order_Date]</f>
        <v>45233</v>
      </c>
      <c r="F1426" s="21" t="str">
        <f>Sales[Store_ID]</f>
        <v>STORE14</v>
      </c>
      <c r="G1426" s="21" t="str">
        <f t="array" ref="G1426">INDEX(Store[Store_Name],MATCH(F1426,Store[Store_ID],0))</f>
        <v>Mcdonald Inc</v>
      </c>
      <c r="H1426" s="21" t="str">
        <f>Sales[Product_ID]</f>
        <v>PROD93</v>
      </c>
      <c r="I1426" s="21" t="str">
        <f>VLOOKUP(H1426,Products[],2)</f>
        <v>USB-C Laptop Charger</v>
      </c>
      <c r="J1426" s="24">
        <f>Sales[Total_Amount]</f>
        <v>633.148</v>
      </c>
      <c r="K1426" s="21" t="str">
        <f t="shared" si="1"/>
        <v>Nov</v>
      </c>
      <c r="L1426" s="21">
        <f t="shared" si="2"/>
        <v>2023</v>
      </c>
      <c r="N1426" s="33"/>
      <c r="O1426" s="34"/>
    </row>
    <row r="1427" ht="22.5" customHeight="1">
      <c r="A1427" s="21" t="s">
        <v>3392</v>
      </c>
      <c r="B1427" s="21" t="s">
        <v>616</v>
      </c>
      <c r="C1427" s="21" t="str">
        <f t="array" ref="C1427">XLOOKUP(B1427,Customer[Customer_ID],Customer[Name(Cleaned)])</f>
        <v>Mario Jacobs</v>
      </c>
      <c r="D1427" s="22" t="str">
        <f>VLOOKUP(B1427,Customer[#ALL],6)</f>
        <v>Female</v>
      </c>
      <c r="E1427" s="23">
        <f>Sales[Order_Date]</f>
        <v>45745</v>
      </c>
      <c r="F1427" s="21" t="str">
        <f>Sales[Store_ID]</f>
        <v>STORE1</v>
      </c>
      <c r="G1427" s="21" t="str">
        <f t="array" ref="G1427">INDEX(Store[Store_Name],MATCH(F1427,Store[Store_ID],0))</f>
        <v>Martinez, Adkins and Johnson</v>
      </c>
      <c r="H1427" s="21" t="str">
        <f>Sales[Product_ID]</f>
        <v>PROD28</v>
      </c>
      <c r="I1427" s="21" t="str">
        <f>VLOOKUP(H1427,Products[],2)</f>
        <v>Sports Stopwatch Timer</v>
      </c>
      <c r="J1427" s="24">
        <f>Sales[Total_Amount]</f>
        <v>462.015</v>
      </c>
      <c r="K1427" s="21" t="str">
        <f t="shared" si="1"/>
        <v>Mar</v>
      </c>
      <c r="L1427" s="21">
        <f t="shared" si="2"/>
        <v>2025</v>
      </c>
      <c r="N1427" s="33"/>
      <c r="O1427" s="34"/>
    </row>
    <row r="1428" ht="22.5" customHeight="1">
      <c r="A1428" s="21" t="s">
        <v>3393</v>
      </c>
      <c r="B1428" s="21" t="s">
        <v>1317</v>
      </c>
      <c r="C1428" s="21" t="str">
        <f t="array" ref="C1428">XLOOKUP(B1428,Customer[Customer_ID],Customer[Name(Cleaned)])</f>
        <v>Monica Miller</v>
      </c>
      <c r="D1428" s="22" t="str">
        <f>VLOOKUP(B1428,Customer[#ALL],6)</f>
        <v>Female</v>
      </c>
      <c r="E1428" s="23">
        <f>Sales[Order_Date]</f>
        <v>45851</v>
      </c>
      <c r="F1428" s="21" t="str">
        <f>Sales[Store_ID]</f>
        <v>STORE8</v>
      </c>
      <c r="G1428" s="21" t="str">
        <f t="array" ref="G1428">INDEX(Store[Store_Name],MATCH(F1428,Store[Store_ID],0))</f>
        <v>Bean, Jones and Park</v>
      </c>
      <c r="H1428" s="21" t="str">
        <f>Sales[Product_ID]</f>
        <v>PROD29</v>
      </c>
      <c r="I1428" s="21" t="str">
        <f>VLOOKUP(H1428,Products[],2)</f>
        <v>Fabric Sofa Throw Blanket</v>
      </c>
      <c r="J1428" s="24">
        <f>Sales[Total_Amount]</f>
        <v>1286.56</v>
      </c>
      <c r="K1428" s="21" t="str">
        <f t="shared" si="1"/>
        <v>Jul</v>
      </c>
      <c r="L1428" s="21">
        <f t="shared" si="2"/>
        <v>2025</v>
      </c>
      <c r="N1428" s="33"/>
      <c r="O1428" s="34"/>
    </row>
    <row r="1429" ht="22.5" customHeight="1">
      <c r="A1429" s="21" t="s">
        <v>3394</v>
      </c>
      <c r="B1429" s="21" t="s">
        <v>180</v>
      </c>
      <c r="C1429" s="21" t="str">
        <f t="array" ref="C1429">XLOOKUP(B1429,Customer[Customer_ID],Customer[Name(Cleaned)])</f>
        <v>Denise Williams</v>
      </c>
      <c r="D1429" s="22" t="str">
        <f>VLOOKUP(B1429,Customer[#ALL],6)</f>
        <v>Female</v>
      </c>
      <c r="E1429" s="23">
        <f>Sales[Order_Date]</f>
        <v>45308</v>
      </c>
      <c r="F1429" s="21" t="str">
        <f>Sales[Store_ID]</f>
        <v>STORE10</v>
      </c>
      <c r="G1429" s="21" t="str">
        <f t="array" ref="G1429">INDEX(Store[Store_Name],MATCH(F1429,Store[Store_ID],0))</f>
        <v>Hill, Wagner and Ballard</v>
      </c>
      <c r="H1429" s="21" t="str">
        <f>Sales[Product_ID]</f>
        <v>PROD21</v>
      </c>
      <c r="I1429" s="21" t="str">
        <f>VLOOKUP(H1429,Products[],2)</f>
        <v>Multi-Purpose Storage Box</v>
      </c>
      <c r="J1429" s="24">
        <f>Sales[Total_Amount]</f>
        <v>617.384</v>
      </c>
      <c r="K1429" s="21" t="str">
        <f t="shared" si="1"/>
        <v>Jan</v>
      </c>
      <c r="L1429" s="21">
        <f t="shared" si="2"/>
        <v>2024</v>
      </c>
      <c r="N1429" s="33"/>
      <c r="O1429" s="34"/>
    </row>
    <row r="1430" ht="22.5" customHeight="1">
      <c r="A1430" s="21" t="s">
        <v>3395</v>
      </c>
      <c r="B1430" s="21" t="s">
        <v>1491</v>
      </c>
      <c r="C1430" s="21" t="str">
        <f t="array" ref="C1430">XLOOKUP(B1430,Customer[Customer_ID],Customer[Name(Cleaned)])</f>
        <v>Dylan Gutierrez</v>
      </c>
      <c r="D1430" s="22" t="str">
        <f>VLOOKUP(B1430,Customer[#ALL],6)</f>
        <v>Female</v>
      </c>
      <c r="E1430" s="23">
        <f>Sales[Order_Date]</f>
        <v>45639</v>
      </c>
      <c r="F1430" s="21" t="str">
        <f>Sales[Store_ID]</f>
        <v>STORE17</v>
      </c>
      <c r="G1430" s="21" t="str">
        <f t="array" ref="G1430">INDEX(Store[Store_Name],MATCH(F1430,Store[Store_ID],0))</f>
        <v>Holloway Ltd</v>
      </c>
      <c r="H1430" s="21" t="str">
        <f>Sales[Product_ID]</f>
        <v>PROD66</v>
      </c>
      <c r="I1430" s="21" t="str">
        <f>VLOOKUP(H1430,Products[],2)</f>
        <v>Women's Hair Dryer Brush</v>
      </c>
      <c r="J1430" s="24">
        <f>Sales[Total_Amount]</f>
        <v>426.9843</v>
      </c>
      <c r="K1430" s="21" t="str">
        <f t="shared" si="1"/>
        <v>Dec</v>
      </c>
      <c r="L1430" s="21">
        <f t="shared" si="2"/>
        <v>2024</v>
      </c>
      <c r="N1430" s="33"/>
      <c r="O1430" s="34"/>
    </row>
    <row r="1431" ht="22.5" customHeight="1">
      <c r="A1431" s="21" t="s">
        <v>3396</v>
      </c>
      <c r="B1431" s="21" t="s">
        <v>189</v>
      </c>
      <c r="C1431" s="21" t="str">
        <f t="array" ref="C1431">XLOOKUP(B1431,Customer[Customer_ID],Customer[Name(Cleaned)])</f>
        <v>Gina Knight</v>
      </c>
      <c r="D1431" s="22" t="str">
        <f>VLOOKUP(B1431,Customer[#ALL],6)</f>
        <v>Male</v>
      </c>
      <c r="E1431" s="23">
        <f>Sales[Order_Date]</f>
        <v>45919</v>
      </c>
      <c r="F1431" s="21" t="str">
        <f>Sales[Store_ID]</f>
        <v>STORE2</v>
      </c>
      <c r="G1431" s="21" t="str">
        <f t="array" ref="G1431">INDEX(Store[Store_Name],MATCH(F1431,Store[Store_ID],0))</f>
        <v>Black-Horn</v>
      </c>
      <c r="H1431" s="21" t="str">
        <f>Sales[Product_ID]</f>
        <v>PROD4</v>
      </c>
      <c r="I1431" s="21" t="str">
        <f>VLOOKUP(H1431,Products[],2)</f>
        <v>Portable Power Bank</v>
      </c>
      <c r="J1431" s="24">
        <f>Sales[Total_Amount]</f>
        <v>678.94</v>
      </c>
      <c r="K1431" s="21" t="str">
        <f t="shared" si="1"/>
        <v>Sep</v>
      </c>
      <c r="L1431" s="21">
        <f t="shared" si="2"/>
        <v>2025</v>
      </c>
      <c r="N1431" s="33"/>
      <c r="O1431" s="34"/>
    </row>
    <row r="1432" ht="22.5" customHeight="1">
      <c r="A1432" s="21" t="s">
        <v>3397</v>
      </c>
      <c r="B1432" s="21" t="s">
        <v>1092</v>
      </c>
      <c r="C1432" s="21" t="str">
        <f t="array" ref="C1432">XLOOKUP(B1432,Customer[Customer_ID],Customer[Name(Cleaned)])</f>
        <v>Ryan Moore</v>
      </c>
      <c r="D1432" s="22" t="str">
        <f>VLOOKUP(B1432,Customer[#ALL],6)</f>
        <v>Female</v>
      </c>
      <c r="E1432" s="23">
        <f>Sales[Order_Date]</f>
        <v>45333</v>
      </c>
      <c r="F1432" s="21" t="str">
        <f>Sales[Store_ID]</f>
        <v>STORE19</v>
      </c>
      <c r="G1432" s="21" t="str">
        <f t="array" ref="G1432">INDEX(Store[Store_Name],MATCH(F1432,Store[Store_ID],0))</f>
        <v>Mann-Austin</v>
      </c>
      <c r="H1432" s="21" t="str">
        <f>Sales[Product_ID]</f>
        <v>PROD38</v>
      </c>
      <c r="I1432" s="21" t="str">
        <f>VLOOKUP(H1432,Products[],2)</f>
        <v>Sports Water Hydration Pack</v>
      </c>
      <c r="J1432" s="24">
        <f>Sales[Total_Amount]</f>
        <v>387.5904</v>
      </c>
      <c r="K1432" s="21" t="str">
        <f t="shared" si="1"/>
        <v>Feb</v>
      </c>
      <c r="L1432" s="21">
        <f t="shared" si="2"/>
        <v>2024</v>
      </c>
      <c r="N1432" s="33"/>
      <c r="O1432" s="34"/>
    </row>
    <row r="1433" ht="22.5" customHeight="1">
      <c r="A1433" s="21" t="s">
        <v>3398</v>
      </c>
      <c r="B1433" s="21" t="s">
        <v>1107</v>
      </c>
      <c r="C1433" s="21" t="str">
        <f t="array" ref="C1433">XLOOKUP(B1433,Customer[Customer_ID],Customer[Name(Cleaned)])</f>
        <v>Sherry Cabrera</v>
      </c>
      <c r="D1433" s="22" t="str">
        <f>VLOOKUP(B1433,Customer[#ALL],6)</f>
        <v>Female</v>
      </c>
      <c r="E1433" s="23">
        <f>Sales[Order_Date]</f>
        <v>45811</v>
      </c>
      <c r="F1433" s="21" t="str">
        <f>Sales[Store_ID]</f>
        <v>STORE7</v>
      </c>
      <c r="G1433" s="21" t="str">
        <f t="array" ref="G1433">INDEX(Store[Store_Name],MATCH(F1433,Store[Store_ID],0))</f>
        <v>Martinez-Mullins</v>
      </c>
      <c r="H1433" s="21" t="str">
        <f>Sales[Product_ID]</f>
        <v>PROD39</v>
      </c>
      <c r="I1433" s="21" t="str">
        <f>VLOOKUP(H1433,Products[],2)</f>
        <v>Portable Power Bank</v>
      </c>
      <c r="J1433" s="24">
        <f>Sales[Total_Amount]</f>
        <v>1115.0048</v>
      </c>
      <c r="K1433" s="21" t="str">
        <f t="shared" si="1"/>
        <v>Jun</v>
      </c>
      <c r="L1433" s="21">
        <f t="shared" si="2"/>
        <v>2025</v>
      </c>
      <c r="N1433" s="33"/>
      <c r="O1433" s="34"/>
    </row>
    <row r="1434" ht="22.5" customHeight="1">
      <c r="A1434" s="21" t="s">
        <v>3399</v>
      </c>
      <c r="B1434" s="21" t="s">
        <v>1276</v>
      </c>
      <c r="C1434" s="21" t="str">
        <f t="array" ref="C1434">XLOOKUP(B1434,Customer[Customer_ID],Customer[Name(Cleaned)])</f>
        <v>Eric Wolfe</v>
      </c>
      <c r="D1434" s="22" t="str">
        <f>VLOOKUP(B1434,Customer[#ALL],6)</f>
        <v>Male</v>
      </c>
      <c r="E1434" s="23">
        <f>Sales[Order_Date]</f>
        <v>45726</v>
      </c>
      <c r="F1434" s="21" t="str">
        <f>Sales[Store_ID]</f>
        <v>STORE13</v>
      </c>
      <c r="G1434" s="21" t="str">
        <f t="array" ref="G1434">INDEX(Store[Store_Name],MATCH(F1434,Store[Store_ID],0))</f>
        <v>Gardner, Humphrey and Contreras</v>
      </c>
      <c r="H1434" s="21" t="str">
        <f>Sales[Product_ID]</f>
        <v>PROD73</v>
      </c>
      <c r="I1434" s="21" t="str">
        <f>VLOOKUP(H1434,Products[],2)</f>
        <v>Shin Guards – Adult</v>
      </c>
      <c r="J1434" s="24">
        <f>Sales[Total_Amount]</f>
        <v>3100.2384</v>
      </c>
      <c r="K1434" s="21" t="str">
        <f t="shared" si="1"/>
        <v>Mar</v>
      </c>
      <c r="L1434" s="21">
        <f t="shared" si="2"/>
        <v>2025</v>
      </c>
      <c r="N1434" s="33"/>
      <c r="O1434" s="34"/>
    </row>
    <row r="1435" ht="22.5" customHeight="1">
      <c r="A1435" s="21" t="s">
        <v>3400</v>
      </c>
      <c r="B1435" s="21" t="s">
        <v>890</v>
      </c>
      <c r="C1435" s="21" t="str">
        <f t="array" ref="C1435">XLOOKUP(B1435,Customer[Customer_ID],Customer[Name(Cleaned)])</f>
        <v>Shannon Miller</v>
      </c>
      <c r="D1435" s="22" t="str">
        <f>VLOOKUP(B1435,Customer[#ALL],6)</f>
        <v>Female</v>
      </c>
      <c r="E1435" s="23">
        <f>Sales[Order_Date]</f>
        <v>45644</v>
      </c>
      <c r="F1435" s="21" t="str">
        <f>Sales[Store_ID]</f>
        <v>STORE6</v>
      </c>
      <c r="G1435" s="21" t="str">
        <f t="array" ref="G1435">INDEX(Store[Store_Name],MATCH(F1435,Store[Store_ID],0))</f>
        <v>Benson-Elliott</v>
      </c>
      <c r="H1435" s="21" t="str">
        <f>Sales[Product_ID]</f>
        <v>PROD36</v>
      </c>
      <c r="I1435" s="21" t="str">
        <f>VLOOKUP(H1435,Products[],2)</f>
        <v>Women's Summer Dress</v>
      </c>
      <c r="J1435" s="24">
        <f>Sales[Total_Amount]</f>
        <v>1429.272</v>
      </c>
      <c r="K1435" s="21" t="str">
        <f t="shared" si="1"/>
        <v>Dec</v>
      </c>
      <c r="L1435" s="21">
        <f t="shared" si="2"/>
        <v>2024</v>
      </c>
      <c r="N1435" s="33"/>
      <c r="O1435" s="34"/>
    </row>
    <row r="1436" ht="22.5" customHeight="1">
      <c r="A1436" s="21" t="s">
        <v>3401</v>
      </c>
      <c r="B1436" s="21" t="s">
        <v>1320</v>
      </c>
      <c r="C1436" s="21" t="str">
        <f t="array" ref="C1436">XLOOKUP(B1436,Customer[Customer_ID],Customer[Name(Cleaned)])</f>
        <v>Dr. Tamara White Md</v>
      </c>
      <c r="D1436" s="22" t="str">
        <f>VLOOKUP(B1436,Customer[#ALL],6)</f>
        <v>Female</v>
      </c>
      <c r="E1436" s="23">
        <f>Sales[Order_Date]</f>
        <v>45607</v>
      </c>
      <c r="F1436" s="21" t="str">
        <f>Sales[Store_ID]</f>
        <v>STORE16</v>
      </c>
      <c r="G1436" s="21" t="str">
        <f t="array" ref="G1436">INDEX(Store[Store_Name],MATCH(F1436,Store[Store_ID],0))</f>
        <v>Frederick-Wright</v>
      </c>
      <c r="H1436" s="21" t="str">
        <f>Sales[Product_ID]</f>
        <v>PROD21</v>
      </c>
      <c r="I1436" s="21" t="str">
        <f>VLOOKUP(H1436,Products[],2)</f>
        <v>Multi-Purpose Storage Box</v>
      </c>
      <c r="J1436" s="24">
        <f>Sales[Total_Amount]</f>
        <v>707.7744</v>
      </c>
      <c r="K1436" s="21" t="str">
        <f t="shared" si="1"/>
        <v>Nov</v>
      </c>
      <c r="L1436" s="21">
        <f t="shared" si="2"/>
        <v>2024</v>
      </c>
      <c r="N1436" s="33"/>
      <c r="O1436" s="34"/>
    </row>
    <row r="1437" ht="22.5" customHeight="1">
      <c r="A1437" s="21" t="s">
        <v>3402</v>
      </c>
      <c r="B1437" s="21" t="s">
        <v>1314</v>
      </c>
      <c r="C1437" s="21" t="str">
        <f t="array" ref="C1437">XLOOKUP(B1437,Customer[Customer_ID],Customer[Name(Cleaned)])</f>
        <v>Luke Parks</v>
      </c>
      <c r="D1437" s="22" t="str">
        <f>VLOOKUP(B1437,Customer[#ALL],6)</f>
        <v>Male</v>
      </c>
      <c r="E1437" s="23">
        <f>Sales[Order_Date]</f>
        <v>45371</v>
      </c>
      <c r="F1437" s="21" t="str">
        <f>Sales[Store_ID]</f>
        <v>STORE18</v>
      </c>
      <c r="G1437" s="21" t="str">
        <f t="array" ref="G1437">INDEX(Store[Store_Name],MATCH(F1437,Store[Store_ID],0))</f>
        <v>Guerrero-Schmitt</v>
      </c>
      <c r="H1437" s="21" t="str">
        <f>Sales[Product_ID]</f>
        <v>PROD89</v>
      </c>
      <c r="I1437" s="21" t="str">
        <f>VLOOKUP(H1437,Products[],2)</f>
        <v>Face Foundation Kit</v>
      </c>
      <c r="J1437" s="24">
        <f>Sales[Total_Amount]</f>
        <v>165.3171</v>
      </c>
      <c r="K1437" s="21" t="str">
        <f t="shared" si="1"/>
        <v>Mar</v>
      </c>
      <c r="L1437" s="21">
        <f t="shared" si="2"/>
        <v>2024</v>
      </c>
      <c r="N1437" s="33"/>
      <c r="O1437" s="34"/>
    </row>
    <row r="1438" ht="22.5" customHeight="1">
      <c r="A1438" s="21" t="s">
        <v>3403</v>
      </c>
      <c r="B1438" s="21" t="s">
        <v>736</v>
      </c>
      <c r="C1438" s="21" t="str">
        <f t="array" ref="C1438">XLOOKUP(B1438,Customer[Customer_ID],Customer[Name(Cleaned)])</f>
        <v>Robert Harris</v>
      </c>
      <c r="D1438" s="22" t="str">
        <f>VLOOKUP(B1438,Customer[#ALL],6)</f>
        <v>Female</v>
      </c>
      <c r="E1438" s="23">
        <f>Sales[Order_Date]</f>
        <v>45462</v>
      </c>
      <c r="F1438" s="21" t="str">
        <f>Sales[Store_ID]</f>
        <v>STORE2</v>
      </c>
      <c r="G1438" s="21" t="str">
        <f t="array" ref="G1438">INDEX(Store[Store_Name],MATCH(F1438,Store[Store_ID],0))</f>
        <v>Black-Horn</v>
      </c>
      <c r="H1438" s="21" t="str">
        <f>Sales[Product_ID]</f>
        <v>PROD72</v>
      </c>
      <c r="I1438" s="21" t="str">
        <f>VLOOKUP(H1438,Products[],2)</f>
        <v>Professional Jump Rope</v>
      </c>
      <c r="J1438" s="24">
        <f>Sales[Total_Amount]</f>
        <v>1398.2841</v>
      </c>
      <c r="K1438" s="21" t="str">
        <f t="shared" si="1"/>
        <v>Jun</v>
      </c>
      <c r="L1438" s="21">
        <f t="shared" si="2"/>
        <v>2024</v>
      </c>
      <c r="N1438" s="33"/>
      <c r="O1438" s="34"/>
    </row>
    <row r="1439" ht="22.5" customHeight="1">
      <c r="A1439" s="21" t="s">
        <v>3404</v>
      </c>
      <c r="B1439" s="21" t="s">
        <v>534</v>
      </c>
      <c r="C1439" s="21" t="str">
        <f t="array" ref="C1439">XLOOKUP(B1439,Customer[Customer_ID],Customer[Name(Cleaned)])</f>
        <v>Maria Sanchez</v>
      </c>
      <c r="D1439" s="22" t="str">
        <f>VLOOKUP(B1439,Customer[#ALL],6)</f>
        <v>Female</v>
      </c>
      <c r="E1439" s="23">
        <f>Sales[Order_Date]</f>
        <v>45632</v>
      </c>
      <c r="F1439" s="21" t="str">
        <f>Sales[Store_ID]</f>
        <v>STORE7</v>
      </c>
      <c r="G1439" s="21" t="str">
        <f t="array" ref="G1439">INDEX(Store[Store_Name],MATCH(F1439,Store[Store_ID],0))</f>
        <v>Martinez-Mullins</v>
      </c>
      <c r="H1439" s="21" t="str">
        <f>Sales[Product_ID]</f>
        <v>PROD49</v>
      </c>
      <c r="I1439" s="21" t="str">
        <f>VLOOKUP(H1439,Products[],2)</f>
        <v>Men's Roll-On Perfume</v>
      </c>
      <c r="J1439" s="24">
        <f>Sales[Total_Amount]</f>
        <v>1357.0372</v>
      </c>
      <c r="K1439" s="21" t="str">
        <f t="shared" si="1"/>
        <v>Dec</v>
      </c>
      <c r="L1439" s="21">
        <f t="shared" si="2"/>
        <v>2024</v>
      </c>
      <c r="N1439" s="33"/>
      <c r="O1439" s="34"/>
    </row>
    <row r="1440" ht="22.5" customHeight="1">
      <c r="A1440" s="21" t="s">
        <v>3405</v>
      </c>
      <c r="B1440" s="21" t="s">
        <v>1411</v>
      </c>
      <c r="C1440" s="21" t="str">
        <f t="array" ref="C1440">XLOOKUP(B1440,Customer[Customer_ID],Customer[Name(Cleaned)])</f>
        <v>Ashley Roberts</v>
      </c>
      <c r="D1440" s="22" t="str">
        <f>VLOOKUP(B1440,Customer[#ALL],6)</f>
        <v>Female</v>
      </c>
      <c r="E1440" s="23">
        <f>Sales[Order_Date]</f>
        <v>45863</v>
      </c>
      <c r="F1440" s="21" t="str">
        <f>Sales[Store_ID]</f>
        <v>STORE0</v>
      </c>
      <c r="G1440" s="21" t="str">
        <f t="array" ref="G1440">INDEX(Store[Store_Name],MATCH(F1440,Store[Store_ID],0))</f>
        <v>Rivera-Warner</v>
      </c>
      <c r="H1440" s="21" t="str">
        <f>Sales[Product_ID]</f>
        <v>PROD72</v>
      </c>
      <c r="I1440" s="21" t="str">
        <f>VLOOKUP(H1440,Products[],2)</f>
        <v>Professional Jump Rope</v>
      </c>
      <c r="J1440" s="24">
        <f>Sales[Total_Amount]</f>
        <v>712.5092</v>
      </c>
      <c r="K1440" s="21" t="str">
        <f t="shared" si="1"/>
        <v>Jul</v>
      </c>
      <c r="L1440" s="21">
        <f t="shared" si="2"/>
        <v>2025</v>
      </c>
      <c r="N1440" s="33"/>
      <c r="O1440" s="34"/>
    </row>
    <row r="1441" ht="22.5" customHeight="1">
      <c r="A1441" s="21" t="s">
        <v>3406</v>
      </c>
      <c r="B1441" s="21" t="s">
        <v>785</v>
      </c>
      <c r="C1441" s="21" t="str">
        <f t="array" ref="C1441">XLOOKUP(B1441,Customer[Customer_ID],Customer[Name(Cleaned)])</f>
        <v>William Hull</v>
      </c>
      <c r="D1441" s="22" t="str">
        <f>VLOOKUP(B1441,Customer[#ALL],6)</f>
        <v>Male</v>
      </c>
      <c r="E1441" s="23">
        <f>Sales[Order_Date]</f>
        <v>45501</v>
      </c>
      <c r="F1441" s="21" t="str">
        <f>Sales[Store_ID]</f>
        <v>STORE0</v>
      </c>
      <c r="G1441" s="21" t="str">
        <f t="array" ref="G1441">INDEX(Store[Store_Name],MATCH(F1441,Store[Store_ID],0))</f>
        <v>Rivera-Warner</v>
      </c>
      <c r="H1441" s="21" t="str">
        <f>Sales[Product_ID]</f>
        <v>PROD18</v>
      </c>
      <c r="I1441" s="21" t="str">
        <f>VLOOKUP(H1441,Products[],2)</f>
        <v>Women's Denim Jeans</v>
      </c>
      <c r="J1441" s="24">
        <f>Sales[Total_Amount]</f>
        <v>797.9379</v>
      </c>
      <c r="K1441" s="21" t="str">
        <f t="shared" si="1"/>
        <v>Jul</v>
      </c>
      <c r="L1441" s="21">
        <f t="shared" si="2"/>
        <v>2024</v>
      </c>
      <c r="N1441" s="33"/>
      <c r="O1441" s="34"/>
    </row>
    <row r="1442" ht="22.5" customHeight="1">
      <c r="A1442" s="21" t="s">
        <v>3407</v>
      </c>
      <c r="B1442" s="21" t="s">
        <v>1035</v>
      </c>
      <c r="C1442" s="21" t="str">
        <f t="array" ref="C1442">XLOOKUP(B1442,Customer[Customer_ID],Customer[Name(Cleaned)])</f>
        <v>Alex Mann Ii</v>
      </c>
      <c r="D1442" s="22" t="str">
        <f>VLOOKUP(B1442,Customer[#ALL],6)</f>
        <v>Female</v>
      </c>
      <c r="E1442" s="23">
        <f>Sales[Order_Date]</f>
        <v>45568</v>
      </c>
      <c r="F1442" s="21" t="str">
        <f>Sales[Store_ID]</f>
        <v>STORE5</v>
      </c>
      <c r="G1442" s="21" t="str">
        <f t="array" ref="G1442">INDEX(Store[Store_Name],MATCH(F1442,Store[Store_ID],0))</f>
        <v>Gray Ltd</v>
      </c>
      <c r="H1442" s="21" t="str">
        <f>Sales[Product_ID]</f>
        <v>PROD8</v>
      </c>
      <c r="I1442" s="21" t="str">
        <f>VLOOKUP(H1442,Products[],2)</f>
        <v>Decorative Lamp Shade</v>
      </c>
      <c r="J1442" s="24">
        <f>Sales[Total_Amount]</f>
        <v>569.044</v>
      </c>
      <c r="K1442" s="21" t="str">
        <f t="shared" si="1"/>
        <v>Oct</v>
      </c>
      <c r="L1442" s="21">
        <f t="shared" si="2"/>
        <v>2024</v>
      </c>
      <c r="N1442" s="33"/>
      <c r="O1442" s="34"/>
    </row>
    <row r="1443" ht="22.5" customHeight="1">
      <c r="A1443" s="21" t="s">
        <v>3408</v>
      </c>
      <c r="B1443" s="21" t="s">
        <v>761</v>
      </c>
      <c r="C1443" s="21" t="str">
        <f t="array" ref="C1443">XLOOKUP(B1443,Customer[Customer_ID],Customer[Name(Cleaned)])</f>
        <v>Christy Hill</v>
      </c>
      <c r="D1443" s="22" t="str">
        <f>VLOOKUP(B1443,Customer[#ALL],6)</f>
        <v>Male</v>
      </c>
      <c r="E1443" s="23">
        <f>Sales[Order_Date]</f>
        <v>45238</v>
      </c>
      <c r="F1443" s="21" t="str">
        <f>Sales[Store_ID]</f>
        <v>STORE0</v>
      </c>
      <c r="G1443" s="21" t="str">
        <f t="array" ref="G1443">INDEX(Store[Store_Name],MATCH(F1443,Store[Store_ID],0))</f>
        <v>Rivera-Warner</v>
      </c>
      <c r="H1443" s="21" t="str">
        <f>Sales[Product_ID]</f>
        <v>PROD95</v>
      </c>
      <c r="I1443" s="21" t="str">
        <f>VLOOKUP(H1443,Products[],2)</f>
        <v>Sports Stopwatch Basic</v>
      </c>
      <c r="J1443" s="24">
        <f>Sales[Total_Amount]</f>
        <v>470.6142</v>
      </c>
      <c r="K1443" s="21" t="str">
        <f t="shared" si="1"/>
        <v>Nov</v>
      </c>
      <c r="L1443" s="21">
        <f t="shared" si="2"/>
        <v>2023</v>
      </c>
      <c r="N1443" s="33"/>
      <c r="O1443" s="34"/>
    </row>
    <row r="1444" ht="22.5" customHeight="1">
      <c r="A1444" s="21" t="s">
        <v>3409</v>
      </c>
      <c r="B1444" s="21" t="s">
        <v>640</v>
      </c>
      <c r="C1444" s="21" t="str">
        <f t="array" ref="C1444">XLOOKUP(B1444,Customer[Customer_ID],Customer[Name(Cleaned)])</f>
        <v>Todd Poole</v>
      </c>
      <c r="D1444" s="22" t="str">
        <f>VLOOKUP(B1444,Customer[#ALL],6)</f>
        <v>Male</v>
      </c>
      <c r="E1444" s="23">
        <f>Sales[Order_Date]</f>
        <v>45754</v>
      </c>
      <c r="F1444" s="21" t="str">
        <f>Sales[Store_ID]</f>
        <v>STORE16</v>
      </c>
      <c r="G1444" s="21" t="str">
        <f t="array" ref="G1444">INDEX(Store[Store_Name],MATCH(F1444,Store[Store_ID],0))</f>
        <v>Frederick-Wright</v>
      </c>
      <c r="H1444" s="21" t="str">
        <f>Sales[Product_ID]</f>
        <v>PROD68</v>
      </c>
      <c r="I1444" s="21" t="str">
        <f>VLOOKUP(H1444,Products[],2)</f>
        <v>Wooden Nightstand</v>
      </c>
      <c r="J1444" s="24">
        <f>Sales[Total_Amount]</f>
        <v>323.6766</v>
      </c>
      <c r="K1444" s="21" t="str">
        <f t="shared" si="1"/>
        <v>Apr</v>
      </c>
      <c r="L1444" s="21">
        <f t="shared" si="2"/>
        <v>2025</v>
      </c>
      <c r="N1444" s="33"/>
      <c r="O1444" s="34"/>
    </row>
    <row r="1445" ht="22.5" customHeight="1">
      <c r="A1445" s="21" t="s">
        <v>3410</v>
      </c>
      <c r="B1445" s="21" t="s">
        <v>504</v>
      </c>
      <c r="C1445" s="21" t="str">
        <f t="array" ref="C1445">XLOOKUP(B1445,Customer[Customer_ID],Customer[Name(Cleaned)])</f>
        <v>Edward Rivera</v>
      </c>
      <c r="D1445" s="22" t="str">
        <f>VLOOKUP(B1445,Customer[#ALL],6)</f>
        <v>Male</v>
      </c>
      <c r="E1445" s="23">
        <f>Sales[Order_Date]</f>
        <v>45280</v>
      </c>
      <c r="F1445" s="21" t="str">
        <f>Sales[Store_ID]</f>
        <v>STORE12</v>
      </c>
      <c r="G1445" s="21" t="str">
        <f t="array" ref="G1445">INDEX(Store[Store_Name],MATCH(F1445,Store[Store_ID],0))</f>
        <v>Thomas, Bridges and Harris</v>
      </c>
      <c r="H1445" s="21" t="str">
        <f>Sales[Product_ID]</f>
        <v>PROD25</v>
      </c>
      <c r="I1445" s="21" t="str">
        <f>VLOOKUP(H1445,Products[],2)</f>
        <v>Women's Scarf Set</v>
      </c>
      <c r="J1445" s="24">
        <f>Sales[Total_Amount]</f>
        <v>933.616</v>
      </c>
      <c r="K1445" s="21" t="str">
        <f t="shared" si="1"/>
        <v>Dec</v>
      </c>
      <c r="L1445" s="21">
        <f t="shared" si="2"/>
        <v>2023</v>
      </c>
      <c r="N1445" s="33"/>
      <c r="O1445" s="34"/>
    </row>
    <row r="1446" ht="22.5" customHeight="1">
      <c r="A1446" s="21" t="s">
        <v>3411</v>
      </c>
      <c r="B1446" s="21" t="s">
        <v>62</v>
      </c>
      <c r="C1446" s="21" t="str">
        <f t="array" ref="C1446">XLOOKUP(B1446,Customer[Customer_ID],Customer[Name(Cleaned)])</f>
        <v>Brian Lopez</v>
      </c>
      <c r="D1446" s="22" t="str">
        <f>VLOOKUP(B1446,Customer[#ALL],6)</f>
        <v>Male</v>
      </c>
      <c r="E1446" s="23">
        <f>Sales[Order_Date]</f>
        <v>45911</v>
      </c>
      <c r="F1446" s="21" t="str">
        <f>Sales[Store_ID]</f>
        <v>STORE17</v>
      </c>
      <c r="G1446" s="21" t="str">
        <f t="array" ref="G1446">INDEX(Store[Store_Name],MATCH(F1446,Store[Store_ID],0))</f>
        <v>Holloway Ltd</v>
      </c>
      <c r="H1446" s="21" t="str">
        <f>Sales[Product_ID]</f>
        <v>PROD31</v>
      </c>
      <c r="I1446" s="21" t="str">
        <f>VLOOKUP(H1446,Products[],2)</f>
        <v>Basketball</v>
      </c>
      <c r="J1446" s="24">
        <f>Sales[Total_Amount]</f>
        <v>560.3795</v>
      </c>
      <c r="K1446" s="21" t="str">
        <f t="shared" si="1"/>
        <v>Sep</v>
      </c>
      <c r="L1446" s="21">
        <f t="shared" si="2"/>
        <v>2025</v>
      </c>
      <c r="N1446" s="33"/>
      <c r="O1446" s="34"/>
    </row>
    <row r="1447" ht="22.5" customHeight="1">
      <c r="A1447" s="21" t="s">
        <v>3412</v>
      </c>
      <c r="B1447" s="21" t="s">
        <v>413</v>
      </c>
      <c r="C1447" s="21" t="str">
        <f t="array" ref="C1447">XLOOKUP(B1447,Customer[Customer_ID],Customer[Name(Cleaned)])</f>
        <v>Anthony Phillips</v>
      </c>
      <c r="D1447" s="22" t="str">
        <f>VLOOKUP(B1447,Customer[#ALL],6)</f>
        <v>Male</v>
      </c>
      <c r="E1447" s="23">
        <f>Sales[Order_Date]</f>
        <v>45499</v>
      </c>
      <c r="F1447" s="21" t="str">
        <f>Sales[Store_ID]</f>
        <v>STORE7</v>
      </c>
      <c r="G1447" s="21" t="str">
        <f t="array" ref="G1447">INDEX(Store[Store_Name],MATCH(F1447,Store[Store_ID],0))</f>
        <v>Martinez-Mullins</v>
      </c>
      <c r="H1447" s="21" t="str">
        <f>Sales[Product_ID]</f>
        <v>PROD15</v>
      </c>
      <c r="I1447" s="21" t="str">
        <f>VLOOKUP(H1447,Products[],2)</f>
        <v>4K Home Projector</v>
      </c>
      <c r="J1447" s="24">
        <f>Sales[Total_Amount]</f>
        <v>357.2343</v>
      </c>
      <c r="K1447" s="21" t="str">
        <f t="shared" si="1"/>
        <v>Jul</v>
      </c>
      <c r="L1447" s="21">
        <f t="shared" si="2"/>
        <v>2024</v>
      </c>
      <c r="N1447" s="33"/>
      <c r="O1447" s="34"/>
    </row>
    <row r="1448" ht="22.5" customHeight="1">
      <c r="A1448" s="21" t="s">
        <v>3413</v>
      </c>
      <c r="B1448" s="21" t="s">
        <v>266</v>
      </c>
      <c r="C1448" s="21" t="str">
        <f t="array" ref="C1448">XLOOKUP(B1448,Customer[Customer_ID],Customer[Name(Cleaned)])</f>
        <v>Eric Singh</v>
      </c>
      <c r="D1448" s="22" t="str">
        <f>VLOOKUP(B1448,Customer[#ALL],6)</f>
        <v>Male</v>
      </c>
      <c r="E1448" s="23">
        <f>Sales[Order_Date]</f>
        <v>45291</v>
      </c>
      <c r="F1448" s="21" t="str">
        <f>Sales[Store_ID]</f>
        <v>STORE9</v>
      </c>
      <c r="G1448" s="21" t="str">
        <f t="array" ref="G1448">INDEX(Store[Store_Name],MATCH(F1448,Store[Store_ID],0))</f>
        <v>Moore, Padilla and Butler</v>
      </c>
      <c r="H1448" s="21" t="str">
        <f>Sales[Product_ID]</f>
        <v>PROD52</v>
      </c>
      <c r="I1448" s="21" t="str">
        <f>VLOOKUP(H1448,Products[],2)</f>
        <v>Rugby Ball</v>
      </c>
      <c r="J1448" s="24">
        <f>Sales[Total_Amount]</f>
        <v>190.836</v>
      </c>
      <c r="K1448" s="21" t="str">
        <f t="shared" si="1"/>
        <v>Dec</v>
      </c>
      <c r="L1448" s="21">
        <f t="shared" si="2"/>
        <v>2023</v>
      </c>
      <c r="N1448" s="33"/>
      <c r="O1448" s="34"/>
    </row>
    <row r="1449" ht="22.5" customHeight="1">
      <c r="A1449" s="21" t="s">
        <v>3414</v>
      </c>
      <c r="B1449" s="21" t="s">
        <v>1393</v>
      </c>
      <c r="C1449" s="21" t="str">
        <f t="array" ref="C1449">XLOOKUP(B1449,Customer[Customer_ID],Customer[Name(Cleaned)])</f>
        <v>Gene Lee</v>
      </c>
      <c r="D1449" s="22" t="str">
        <f>VLOOKUP(B1449,Customer[#ALL],6)</f>
        <v>Male</v>
      </c>
      <c r="E1449" s="23">
        <f>Sales[Order_Date]</f>
        <v>45627</v>
      </c>
      <c r="F1449" s="21" t="str">
        <f>Sales[Store_ID]</f>
        <v>STORE4</v>
      </c>
      <c r="G1449" s="21" t="str">
        <f t="array" ref="G1449">INDEX(Store[Store_Name],MATCH(F1449,Store[Store_ID],0))</f>
        <v>Alexander Group</v>
      </c>
      <c r="H1449" s="21" t="str">
        <f>Sales[Product_ID]</f>
        <v>PROD2</v>
      </c>
      <c r="I1449" s="21" t="str">
        <f>VLOOKUP(H1449,Products[],2)</f>
        <v>Knee Support Brace</v>
      </c>
      <c r="J1449" s="24">
        <f>Sales[Total_Amount]</f>
        <v>341.312</v>
      </c>
      <c r="K1449" s="21" t="str">
        <f t="shared" si="1"/>
        <v>Dec</v>
      </c>
      <c r="L1449" s="21">
        <f t="shared" si="2"/>
        <v>2024</v>
      </c>
      <c r="N1449" s="33"/>
      <c r="O1449" s="34"/>
    </row>
    <row r="1450" ht="22.5" customHeight="1">
      <c r="A1450" s="21" t="s">
        <v>3415</v>
      </c>
      <c r="B1450" s="21" t="s">
        <v>555</v>
      </c>
      <c r="C1450" s="21" t="str">
        <f t="array" ref="C1450">XLOOKUP(B1450,Customer[Customer_ID],Customer[Name(Cleaned)])</f>
        <v>Joseph Jones</v>
      </c>
      <c r="D1450" s="22" t="str">
        <f>VLOOKUP(B1450,Customer[#ALL],6)</f>
        <v>Female</v>
      </c>
      <c r="E1450" s="23">
        <f>Sales[Order_Date]</f>
        <v>45617</v>
      </c>
      <c r="F1450" s="21" t="str">
        <f>Sales[Store_ID]</f>
        <v>STORE5</v>
      </c>
      <c r="G1450" s="21" t="str">
        <f t="array" ref="G1450">INDEX(Store[Store_Name],MATCH(F1450,Store[Store_ID],0))</f>
        <v>Gray Ltd</v>
      </c>
      <c r="H1450" s="21" t="str">
        <f>Sales[Product_ID]</f>
        <v>PROD10</v>
      </c>
      <c r="I1450" s="21" t="str">
        <f>VLOOKUP(H1450,Products[],2)</f>
        <v>Men's Graphic T-Shirt</v>
      </c>
      <c r="J1450" s="24">
        <f>Sales[Total_Amount]</f>
        <v>573.07</v>
      </c>
      <c r="K1450" s="21" t="str">
        <f t="shared" si="1"/>
        <v>Nov</v>
      </c>
      <c r="L1450" s="21">
        <f t="shared" si="2"/>
        <v>2024</v>
      </c>
      <c r="N1450" s="33"/>
      <c r="O1450" s="34"/>
    </row>
    <row r="1451" ht="22.5" customHeight="1">
      <c r="A1451" s="21" t="s">
        <v>3416</v>
      </c>
      <c r="B1451" s="21" t="s">
        <v>1517</v>
      </c>
      <c r="C1451" s="21" t="str">
        <f t="array" ref="C1451">XLOOKUP(B1451,Customer[Customer_ID],Customer[Name(Cleaned)])</f>
        <v>Zachary Andrade</v>
      </c>
      <c r="D1451" s="22" t="str">
        <f>VLOOKUP(B1451,Customer[#ALL],6)</f>
        <v>Male</v>
      </c>
      <c r="E1451" s="23">
        <f>Sales[Order_Date]</f>
        <v>45899</v>
      </c>
      <c r="F1451" s="21" t="str">
        <f>Sales[Store_ID]</f>
        <v>STORE2</v>
      </c>
      <c r="G1451" s="21" t="str">
        <f t="array" ref="G1451">INDEX(Store[Store_Name],MATCH(F1451,Store[Store_ID],0))</f>
        <v>Black-Horn</v>
      </c>
      <c r="H1451" s="21" t="str">
        <f>Sales[Product_ID]</f>
        <v>PROD44</v>
      </c>
      <c r="I1451" s="21" t="str">
        <f>VLOOKUP(H1451,Products[],2)</f>
        <v>Adjustable Jump Rope</v>
      </c>
      <c r="J1451" s="24">
        <f>Sales[Total_Amount]</f>
        <v>216.6982</v>
      </c>
      <c r="K1451" s="21" t="str">
        <f t="shared" si="1"/>
        <v>Aug</v>
      </c>
      <c r="L1451" s="21">
        <f t="shared" si="2"/>
        <v>2025</v>
      </c>
      <c r="N1451" s="33"/>
      <c r="O1451" s="34"/>
    </row>
    <row r="1452" ht="22.5" customHeight="1">
      <c r="A1452" s="21" t="s">
        <v>3417</v>
      </c>
      <c r="B1452" s="21" t="s">
        <v>47</v>
      </c>
      <c r="C1452" s="21" t="str">
        <f t="array" ref="C1452">XLOOKUP(B1452,Customer[Customer_ID],Customer[Name(Cleaned)])</f>
        <v>Daniel Boyd</v>
      </c>
      <c r="D1452" s="22" t="str">
        <f>VLOOKUP(B1452,Customer[#ALL],6)</f>
        <v>Male</v>
      </c>
      <c r="E1452" s="23">
        <f>Sales[Order_Date]</f>
        <v>45889</v>
      </c>
      <c r="F1452" s="21" t="str">
        <f>Sales[Store_ID]</f>
        <v>STORE1</v>
      </c>
      <c r="G1452" s="21" t="str">
        <f t="array" ref="G1452">INDEX(Store[Store_Name],MATCH(F1452,Store[Store_ID],0))</f>
        <v>Martinez, Adkins and Johnson</v>
      </c>
      <c r="H1452" s="21" t="str">
        <f>Sales[Product_ID]</f>
        <v>PROD54</v>
      </c>
      <c r="I1452" s="21" t="str">
        <f>VLOOKUP(H1452,Products[],2)</f>
        <v>Sports Stopwatch Pro</v>
      </c>
      <c r="J1452" s="24">
        <f>Sales[Total_Amount]</f>
        <v>618.4134</v>
      </c>
      <c r="K1452" s="21" t="str">
        <f t="shared" si="1"/>
        <v>Aug</v>
      </c>
      <c r="L1452" s="21">
        <f t="shared" si="2"/>
        <v>2025</v>
      </c>
      <c r="N1452" s="33"/>
      <c r="O1452" s="34"/>
    </row>
    <row r="1453" ht="22.5" customHeight="1">
      <c r="A1453" s="21" t="s">
        <v>3418</v>
      </c>
      <c r="B1453" s="21" t="s">
        <v>567</v>
      </c>
      <c r="C1453" s="21" t="str">
        <f t="array" ref="C1453">XLOOKUP(B1453,Customer[Customer_ID],Customer[Name(Cleaned)])</f>
        <v>Antonio Wade</v>
      </c>
      <c r="D1453" s="22" t="str">
        <f>VLOOKUP(B1453,Customer[#ALL],6)</f>
        <v>Male</v>
      </c>
      <c r="E1453" s="23">
        <f>Sales[Order_Date]</f>
        <v>45943</v>
      </c>
      <c r="F1453" s="21" t="str">
        <f>Sales[Store_ID]</f>
        <v>STORE2</v>
      </c>
      <c r="G1453" s="21" t="str">
        <f t="array" ref="G1453">INDEX(Store[Store_Name],MATCH(F1453,Store[Store_ID],0))</f>
        <v>Black-Horn</v>
      </c>
      <c r="H1453" s="21" t="str">
        <f>Sales[Product_ID]</f>
        <v>PROD47</v>
      </c>
      <c r="I1453" s="21" t="str">
        <f>VLOOKUP(H1453,Products[],2)</f>
        <v>Makeup Brush Set</v>
      </c>
      <c r="J1453" s="24">
        <f>Sales[Total_Amount]</f>
        <v>1973.6496</v>
      </c>
      <c r="K1453" s="21" t="str">
        <f t="shared" si="1"/>
        <v>Oct</v>
      </c>
      <c r="L1453" s="21">
        <f t="shared" si="2"/>
        <v>2025</v>
      </c>
      <c r="N1453" s="33"/>
      <c r="O1453" s="34"/>
    </row>
    <row r="1454" ht="22.5" customHeight="1">
      <c r="A1454" s="21" t="s">
        <v>3419</v>
      </c>
      <c r="B1454" s="21" t="s">
        <v>555</v>
      </c>
      <c r="C1454" s="21" t="str">
        <f t="array" ref="C1454">XLOOKUP(B1454,Customer[Customer_ID],Customer[Name(Cleaned)])</f>
        <v>Joseph Jones</v>
      </c>
      <c r="D1454" s="22" t="str">
        <f>VLOOKUP(B1454,Customer[#ALL],6)</f>
        <v>Female</v>
      </c>
      <c r="E1454" s="23">
        <f>Sales[Order_Date]</f>
        <v>45306</v>
      </c>
      <c r="F1454" s="21" t="str">
        <f>Sales[Store_ID]</f>
        <v>STORE1</v>
      </c>
      <c r="G1454" s="21" t="str">
        <f t="array" ref="G1454">INDEX(Store[Store_Name],MATCH(F1454,Store[Store_ID],0))</f>
        <v>Martinez, Adkins and Johnson</v>
      </c>
      <c r="H1454" s="21" t="str">
        <f>Sales[Product_ID]</f>
        <v>PROD95</v>
      </c>
      <c r="I1454" s="21" t="str">
        <f>VLOOKUP(H1454,Products[],2)</f>
        <v>Sports Stopwatch Basic</v>
      </c>
      <c r="J1454" s="24">
        <f>Sales[Total_Amount]</f>
        <v>220.168</v>
      </c>
      <c r="K1454" s="21" t="str">
        <f t="shared" si="1"/>
        <v>Jan</v>
      </c>
      <c r="L1454" s="21">
        <f t="shared" si="2"/>
        <v>2024</v>
      </c>
      <c r="N1454" s="33"/>
      <c r="O1454" s="34"/>
    </row>
    <row r="1455" ht="22.5" customHeight="1">
      <c r="A1455" s="21" t="s">
        <v>3420</v>
      </c>
      <c r="B1455" s="21" t="s">
        <v>172</v>
      </c>
      <c r="C1455" s="21" t="str">
        <f t="array" ref="C1455">XLOOKUP(B1455,Customer[Customer_ID],Customer[Name(Cleaned)])</f>
        <v>William Martin</v>
      </c>
      <c r="D1455" s="22" t="str">
        <f>VLOOKUP(B1455,Customer[#ALL],6)</f>
        <v>Female</v>
      </c>
      <c r="E1455" s="23">
        <f>Sales[Order_Date]</f>
        <v>45772</v>
      </c>
      <c r="F1455" s="21" t="str">
        <f>Sales[Store_ID]</f>
        <v>STORE2</v>
      </c>
      <c r="G1455" s="21" t="str">
        <f t="array" ref="G1455">INDEX(Store[Store_Name],MATCH(F1455,Store[Store_ID],0))</f>
        <v>Black-Horn</v>
      </c>
      <c r="H1455" s="21" t="str">
        <f>Sales[Product_ID]</f>
        <v>PROD89</v>
      </c>
      <c r="I1455" s="21" t="str">
        <f>VLOOKUP(H1455,Products[],2)</f>
        <v>Face Foundation Kit</v>
      </c>
      <c r="J1455" s="24">
        <f>Sales[Total_Amount]</f>
        <v>54.4068</v>
      </c>
      <c r="K1455" s="21" t="str">
        <f t="shared" si="1"/>
        <v>Apr</v>
      </c>
      <c r="L1455" s="21">
        <f t="shared" si="2"/>
        <v>2025</v>
      </c>
      <c r="N1455" s="33"/>
      <c r="O1455" s="34"/>
    </row>
    <row r="1456" ht="22.5" customHeight="1">
      <c r="A1456" s="21" t="s">
        <v>3421</v>
      </c>
      <c r="B1456" s="21" t="s">
        <v>702</v>
      </c>
      <c r="C1456" s="21" t="str">
        <f t="array" ref="C1456">XLOOKUP(B1456,Customer[Customer_ID],Customer[Name(Cleaned)])</f>
        <v>Blake Harrison</v>
      </c>
      <c r="D1456" s="22" t="str">
        <f>VLOOKUP(B1456,Customer[#ALL],6)</f>
        <v>Male</v>
      </c>
      <c r="E1456" s="23">
        <f>Sales[Order_Date]</f>
        <v>45346</v>
      </c>
      <c r="F1456" s="21" t="str">
        <f>Sales[Store_ID]</f>
        <v>STORE2</v>
      </c>
      <c r="G1456" s="21" t="str">
        <f t="array" ref="G1456">INDEX(Store[Store_Name],MATCH(F1456,Store[Store_ID],0))</f>
        <v>Black-Horn</v>
      </c>
      <c r="H1456" s="21" t="str">
        <f>Sales[Product_ID]</f>
        <v>PROD13</v>
      </c>
      <c r="I1456" s="21" t="str">
        <f>VLOOKUP(H1456,Products[],2)</f>
        <v>USB-C Fast Charger</v>
      </c>
      <c r="J1456" s="24">
        <f>Sales[Total_Amount]</f>
        <v>1034.6336</v>
      </c>
      <c r="K1456" s="21" t="str">
        <f t="shared" si="1"/>
        <v>Feb</v>
      </c>
      <c r="L1456" s="21">
        <f t="shared" si="2"/>
        <v>2024</v>
      </c>
      <c r="N1456" s="33"/>
      <c r="O1456" s="34"/>
    </row>
    <row r="1457" ht="22.5" customHeight="1">
      <c r="A1457" s="21" t="s">
        <v>3422</v>
      </c>
      <c r="B1457" s="21" t="s">
        <v>1167</v>
      </c>
      <c r="C1457" s="21" t="str">
        <f t="array" ref="C1457">XLOOKUP(B1457,Customer[Customer_ID],Customer[Name(Cleaned)])</f>
        <v>Miranda King</v>
      </c>
      <c r="D1457" s="22" t="str">
        <f>VLOOKUP(B1457,Customer[#ALL],6)</f>
        <v>Male</v>
      </c>
      <c r="E1457" s="23">
        <f>Sales[Order_Date]</f>
        <v>45656</v>
      </c>
      <c r="F1457" s="21" t="str">
        <f>Sales[Store_ID]</f>
        <v>STORE9</v>
      </c>
      <c r="G1457" s="21" t="str">
        <f t="array" ref="G1457">INDEX(Store[Store_Name],MATCH(F1457,Store[Store_ID],0))</f>
        <v>Moore, Padilla and Butler</v>
      </c>
      <c r="H1457" s="21" t="str">
        <f>Sales[Product_ID]</f>
        <v>PROD5</v>
      </c>
      <c r="I1457" s="21" t="str">
        <f>VLOOKUP(H1457,Products[],2)</f>
        <v>Men's Roll-On Perfume</v>
      </c>
      <c r="J1457" s="24">
        <f>Sales[Total_Amount]</f>
        <v>139.868</v>
      </c>
      <c r="K1457" s="21" t="str">
        <f t="shared" si="1"/>
        <v>Dec</v>
      </c>
      <c r="L1457" s="21">
        <f t="shared" si="2"/>
        <v>2024</v>
      </c>
      <c r="N1457" s="33"/>
      <c r="O1457" s="34"/>
    </row>
    <row r="1458" ht="22.5" customHeight="1">
      <c r="A1458" s="21" t="s">
        <v>3423</v>
      </c>
      <c r="B1458" s="21" t="s">
        <v>996</v>
      </c>
      <c r="C1458" s="21" t="str">
        <f t="array" ref="C1458">XLOOKUP(B1458,Customer[Customer_ID],Customer[Name(Cleaned)])</f>
        <v>Kevin Larson</v>
      </c>
      <c r="D1458" s="22" t="str">
        <f>VLOOKUP(B1458,Customer[#ALL],6)</f>
        <v>Female</v>
      </c>
      <c r="E1458" s="23">
        <f>Sales[Order_Date]</f>
        <v>45762</v>
      </c>
      <c r="F1458" s="21" t="str">
        <f>Sales[Store_ID]</f>
        <v>STORE12</v>
      </c>
      <c r="G1458" s="21" t="str">
        <f t="array" ref="G1458">INDEX(Store[Store_Name],MATCH(F1458,Store[Store_ID],0))</f>
        <v>Thomas, Bridges and Harris</v>
      </c>
      <c r="H1458" s="21" t="str">
        <f>Sales[Product_ID]</f>
        <v>PROD78</v>
      </c>
      <c r="I1458" s="21" t="str">
        <f>VLOOKUP(H1458,Products[],2)</f>
        <v>Essential Oil Diffuser</v>
      </c>
      <c r="J1458" s="24">
        <f>Sales[Total_Amount]</f>
        <v>962.4732</v>
      </c>
      <c r="K1458" s="21" t="str">
        <f t="shared" si="1"/>
        <v>Apr</v>
      </c>
      <c r="L1458" s="21">
        <f t="shared" si="2"/>
        <v>2025</v>
      </c>
      <c r="N1458" s="33"/>
      <c r="O1458" s="34"/>
    </row>
    <row r="1459" ht="22.5" customHeight="1">
      <c r="A1459" s="21" t="s">
        <v>3424</v>
      </c>
      <c r="B1459" s="21" t="s">
        <v>492</v>
      </c>
      <c r="C1459" s="21" t="str">
        <f t="array" ref="C1459">XLOOKUP(B1459,Customer[Customer_ID],Customer[Name(Cleaned)])</f>
        <v>Maria Ramirez</v>
      </c>
      <c r="D1459" s="22" t="str">
        <f>VLOOKUP(B1459,Customer[#ALL],6)</f>
        <v>Female</v>
      </c>
      <c r="E1459" s="23">
        <f>Sales[Order_Date]</f>
        <v>45689</v>
      </c>
      <c r="F1459" s="21" t="str">
        <f>Sales[Store_ID]</f>
        <v>STORE7</v>
      </c>
      <c r="G1459" s="21" t="str">
        <f t="array" ref="G1459">INDEX(Store[Store_Name],MATCH(F1459,Store[Store_ID],0))</f>
        <v>Martinez-Mullins</v>
      </c>
      <c r="H1459" s="21" t="str">
        <f>Sales[Product_ID]</f>
        <v>PROD69</v>
      </c>
      <c r="I1459" s="21" t="str">
        <f>VLOOKUP(H1459,Products[],2)</f>
        <v>Men's Sports Shorts</v>
      </c>
      <c r="J1459" s="24">
        <f>Sales[Total_Amount]</f>
        <v>169.9854</v>
      </c>
      <c r="K1459" s="21" t="str">
        <f t="shared" si="1"/>
        <v>Feb</v>
      </c>
      <c r="L1459" s="21">
        <f t="shared" si="2"/>
        <v>2025</v>
      </c>
      <c r="N1459" s="33"/>
      <c r="O1459" s="34"/>
    </row>
    <row r="1460" ht="22.5" customHeight="1">
      <c r="A1460" s="21" t="s">
        <v>3425</v>
      </c>
      <c r="B1460" s="21" t="s">
        <v>570</v>
      </c>
      <c r="C1460" s="21" t="str">
        <f t="array" ref="C1460">XLOOKUP(B1460,Customer[Customer_ID],Customer[Name(Cleaned)])</f>
        <v>Daniel Contreras</v>
      </c>
      <c r="D1460" s="22" t="str">
        <f>VLOOKUP(B1460,Customer[#ALL],6)</f>
        <v>Male</v>
      </c>
      <c r="E1460" s="23">
        <f>Sales[Order_Date]</f>
        <v>45580</v>
      </c>
      <c r="F1460" s="21" t="str">
        <f>Sales[Store_ID]</f>
        <v>STORE10</v>
      </c>
      <c r="G1460" s="21" t="str">
        <f t="array" ref="G1460">INDEX(Store[Store_Name],MATCH(F1460,Store[Store_ID],0))</f>
        <v>Hill, Wagner and Ballard</v>
      </c>
      <c r="H1460" s="21" t="str">
        <f>Sales[Product_ID]</f>
        <v>PROD28</v>
      </c>
      <c r="I1460" s="21" t="str">
        <f>VLOOKUP(H1460,Products[],2)</f>
        <v>Sports Stopwatch Timer</v>
      </c>
      <c r="J1460" s="24">
        <f>Sales[Total_Amount]</f>
        <v>279.0096</v>
      </c>
      <c r="K1460" s="21" t="str">
        <f t="shared" si="1"/>
        <v>Oct</v>
      </c>
      <c r="L1460" s="21">
        <f t="shared" si="2"/>
        <v>2024</v>
      </c>
      <c r="N1460" s="33"/>
      <c r="O1460" s="34"/>
    </row>
    <row r="1461" ht="22.5" customHeight="1">
      <c r="A1461" s="21" t="s">
        <v>3426</v>
      </c>
      <c r="B1461" s="21" t="s">
        <v>1119</v>
      </c>
      <c r="C1461" s="21" t="str">
        <f t="array" ref="C1461">XLOOKUP(B1461,Customer[Customer_ID],Customer[Name(Cleaned)])</f>
        <v>Michael Greene</v>
      </c>
      <c r="D1461" s="22" t="str">
        <f>VLOOKUP(B1461,Customer[#ALL],6)</f>
        <v>Male</v>
      </c>
      <c r="E1461" s="23">
        <f>Sales[Order_Date]</f>
        <v>45676</v>
      </c>
      <c r="F1461" s="21" t="str">
        <f>Sales[Store_ID]</f>
        <v>STORE4</v>
      </c>
      <c r="G1461" s="21" t="str">
        <f t="array" ref="G1461">INDEX(Store[Store_Name],MATCH(F1461,Store[Store_ID],0))</f>
        <v>Alexander Group</v>
      </c>
      <c r="H1461" s="21" t="str">
        <f>Sales[Product_ID]</f>
        <v>PROD43</v>
      </c>
      <c r="I1461" s="21" t="str">
        <f>VLOOKUP(H1461,Products[],2)</f>
        <v>USB External Hard Drive</v>
      </c>
      <c r="J1461" s="24">
        <f>Sales[Total_Amount]</f>
        <v>701.0544</v>
      </c>
      <c r="K1461" s="21" t="str">
        <f t="shared" si="1"/>
        <v>Jan</v>
      </c>
      <c r="L1461" s="21">
        <f t="shared" si="2"/>
        <v>2025</v>
      </c>
      <c r="N1461" s="33"/>
      <c r="O1461" s="34"/>
    </row>
    <row r="1462" ht="22.5" customHeight="1">
      <c r="A1462" s="21" t="s">
        <v>3427</v>
      </c>
      <c r="B1462" s="21" t="s">
        <v>957</v>
      </c>
      <c r="C1462" s="21" t="str">
        <f t="array" ref="C1462">XLOOKUP(B1462,Customer[Customer_ID],Customer[Name(Cleaned)])</f>
        <v>Tracy Stephens</v>
      </c>
      <c r="D1462" s="22" t="str">
        <f>VLOOKUP(B1462,Customer[#ALL],6)</f>
        <v>Female</v>
      </c>
      <c r="E1462" s="23">
        <f>Sales[Order_Date]</f>
        <v>45495</v>
      </c>
      <c r="F1462" s="21" t="str">
        <f>Sales[Store_ID]</f>
        <v>STORE19</v>
      </c>
      <c r="G1462" s="21" t="str">
        <f t="array" ref="G1462">INDEX(Store[Store_Name],MATCH(F1462,Store[Store_ID],0))</f>
        <v>Mann-Austin</v>
      </c>
      <c r="H1462" s="21" t="str">
        <f>Sales[Product_ID]</f>
        <v>PROD2</v>
      </c>
      <c r="I1462" s="21" t="str">
        <f>VLOOKUP(H1462,Products[],2)</f>
        <v>Knee Support Brace</v>
      </c>
      <c r="J1462" s="24">
        <f>Sales[Total_Amount]</f>
        <v>449.6547</v>
      </c>
      <c r="K1462" s="21" t="str">
        <f t="shared" si="1"/>
        <v>Jul</v>
      </c>
      <c r="L1462" s="21">
        <f t="shared" si="2"/>
        <v>2024</v>
      </c>
      <c r="N1462" s="33"/>
      <c r="O1462" s="34"/>
    </row>
    <row r="1463" ht="22.5" customHeight="1">
      <c r="A1463" s="21" t="s">
        <v>3428</v>
      </c>
      <c r="B1463" s="21" t="s">
        <v>1158</v>
      </c>
      <c r="C1463" s="21" t="str">
        <f t="array" ref="C1463">XLOOKUP(B1463,Customer[Customer_ID],Customer[Name(Cleaned)])</f>
        <v>Brandon Mcbride</v>
      </c>
      <c r="D1463" s="22" t="str">
        <f>VLOOKUP(B1463,Customer[#ALL],6)</f>
        <v>Male</v>
      </c>
      <c r="E1463" s="23">
        <f>Sales[Order_Date]</f>
        <v>45735</v>
      </c>
      <c r="F1463" s="21" t="str">
        <f>Sales[Store_ID]</f>
        <v>STORE16</v>
      </c>
      <c r="G1463" s="21" t="str">
        <f t="array" ref="G1463">INDEX(Store[Store_Name],MATCH(F1463,Store[Store_ID],0))</f>
        <v>Frederick-Wright</v>
      </c>
      <c r="H1463" s="21" t="str">
        <f>Sales[Product_ID]</f>
        <v>PROD45</v>
      </c>
      <c r="I1463" s="21" t="str">
        <f>VLOOKUP(H1463,Products[],2)</f>
        <v>High-Grip Football</v>
      </c>
      <c r="J1463" s="24">
        <f>Sales[Total_Amount]</f>
        <v>691.0272</v>
      </c>
      <c r="K1463" s="21" t="str">
        <f t="shared" si="1"/>
        <v>Mar</v>
      </c>
      <c r="L1463" s="21">
        <f t="shared" si="2"/>
        <v>2025</v>
      </c>
      <c r="N1463" s="33"/>
      <c r="O1463" s="34"/>
    </row>
    <row r="1464" ht="22.5" customHeight="1">
      <c r="A1464" s="21" t="s">
        <v>3429</v>
      </c>
      <c r="B1464" s="21" t="s">
        <v>453</v>
      </c>
      <c r="C1464" s="21" t="str">
        <f t="array" ref="C1464">XLOOKUP(B1464,Customer[Customer_ID],Customer[Name(Cleaned)])</f>
        <v>Jessica Mitchell</v>
      </c>
      <c r="D1464" s="22" t="str">
        <f>VLOOKUP(B1464,Customer[#ALL],6)</f>
        <v>Male</v>
      </c>
      <c r="E1464" s="23">
        <f>Sales[Order_Date]</f>
        <v>45312</v>
      </c>
      <c r="F1464" s="21" t="str">
        <f>Sales[Store_ID]</f>
        <v>STORE7</v>
      </c>
      <c r="G1464" s="21" t="str">
        <f t="array" ref="G1464">INDEX(Store[Store_Name],MATCH(F1464,Store[Store_ID],0))</f>
        <v>Martinez-Mullins</v>
      </c>
      <c r="H1464" s="21" t="str">
        <f>Sales[Product_ID]</f>
        <v>PROD0</v>
      </c>
      <c r="I1464" s="21" t="str">
        <f>VLOOKUP(H1464,Products[],2)</f>
        <v>Brother Laser Printer</v>
      </c>
      <c r="J1464" s="24">
        <f>Sales[Total_Amount]</f>
        <v>620.946</v>
      </c>
      <c r="K1464" s="21" t="str">
        <f t="shared" si="1"/>
        <v>Jan</v>
      </c>
      <c r="L1464" s="21">
        <f t="shared" si="2"/>
        <v>2024</v>
      </c>
      <c r="N1464" s="33"/>
      <c r="O1464" s="34"/>
    </row>
    <row r="1465" ht="22.5" customHeight="1">
      <c r="A1465" s="21" t="s">
        <v>3430</v>
      </c>
      <c r="B1465" s="21" t="s">
        <v>546</v>
      </c>
      <c r="C1465" s="21" t="str">
        <f t="array" ref="C1465">XLOOKUP(B1465,Customer[Customer_ID],Customer[Name(Cleaned)])</f>
        <v>John Lawson</v>
      </c>
      <c r="D1465" s="22" t="str">
        <f>VLOOKUP(B1465,Customer[#ALL],6)</f>
        <v>Male</v>
      </c>
      <c r="E1465" s="23">
        <f>Sales[Order_Date]</f>
        <v>45286</v>
      </c>
      <c r="F1465" s="21" t="str">
        <f>Sales[Store_ID]</f>
        <v>STORE3</v>
      </c>
      <c r="G1465" s="21" t="str">
        <f t="array" ref="G1465">INDEX(Store[Store_Name],MATCH(F1465,Store[Store_ID],0))</f>
        <v>Johnson-Wright</v>
      </c>
      <c r="H1465" s="21" t="str">
        <f>Sales[Product_ID]</f>
        <v>PROD47</v>
      </c>
      <c r="I1465" s="21" t="str">
        <f>VLOOKUP(H1465,Products[],2)</f>
        <v>Makeup Brush Set</v>
      </c>
      <c r="J1465" s="24">
        <f>Sales[Total_Amount]</f>
        <v>132.3582</v>
      </c>
      <c r="K1465" s="21" t="str">
        <f t="shared" si="1"/>
        <v>Dec</v>
      </c>
      <c r="L1465" s="21">
        <f t="shared" si="2"/>
        <v>2023</v>
      </c>
      <c r="N1465" s="33"/>
      <c r="O1465" s="34"/>
    </row>
    <row r="1466" ht="22.5" customHeight="1">
      <c r="A1466" s="21" t="s">
        <v>3431</v>
      </c>
      <c r="B1466" s="21" t="s">
        <v>591</v>
      </c>
      <c r="C1466" s="21" t="str">
        <f t="array" ref="C1466">XLOOKUP(B1466,Customer[Customer_ID],Customer[Name(Cleaned)])</f>
        <v>Michelle Rogers</v>
      </c>
      <c r="D1466" s="22" t="str">
        <f>VLOOKUP(B1466,Customer[#ALL],6)</f>
        <v>Female</v>
      </c>
      <c r="E1466" s="23">
        <f>Sales[Order_Date]</f>
        <v>45372</v>
      </c>
      <c r="F1466" s="21" t="str">
        <f>Sales[Store_ID]</f>
        <v>STORE14</v>
      </c>
      <c r="G1466" s="21" t="str">
        <f t="array" ref="G1466">INDEX(Store[Store_Name],MATCH(F1466,Store[Store_ID],0))</f>
        <v>Mcdonald Inc</v>
      </c>
      <c r="H1466" s="21" t="str">
        <f>Sales[Product_ID]</f>
        <v>PROD62</v>
      </c>
      <c r="I1466" s="21" t="str">
        <f>VLOOKUP(H1466,Products[],2)</f>
        <v>Laptop Cooling Pad</v>
      </c>
      <c r="J1466" s="24">
        <f>Sales[Total_Amount]</f>
        <v>133.7956</v>
      </c>
      <c r="K1466" s="21" t="str">
        <f t="shared" si="1"/>
        <v>Mar</v>
      </c>
      <c r="L1466" s="21">
        <f t="shared" si="2"/>
        <v>2024</v>
      </c>
      <c r="N1466" s="33"/>
      <c r="O1466" s="34"/>
    </row>
    <row r="1467" ht="22.5" customHeight="1">
      <c r="A1467" s="21" t="s">
        <v>3432</v>
      </c>
      <c r="B1467" s="21" t="s">
        <v>312</v>
      </c>
      <c r="C1467" s="21" t="str">
        <f t="array" ref="C1467">XLOOKUP(B1467,Customer[Customer_ID],Customer[Name(Cleaned)])</f>
        <v>Christy Hoffman</v>
      </c>
      <c r="D1467" s="22" t="str">
        <f>VLOOKUP(B1467,Customer[#ALL],6)</f>
        <v>Male</v>
      </c>
      <c r="E1467" s="23">
        <f>Sales[Order_Date]</f>
        <v>45633</v>
      </c>
      <c r="F1467" s="21" t="str">
        <f>Sales[Store_ID]</f>
        <v>STORE12</v>
      </c>
      <c r="G1467" s="21" t="str">
        <f t="array" ref="G1467">INDEX(Store[Store_Name],MATCH(F1467,Store[Store_ID],0))</f>
        <v>Thomas, Bridges and Harris</v>
      </c>
      <c r="H1467" s="21" t="str">
        <f>Sales[Product_ID]</f>
        <v>PROD93</v>
      </c>
      <c r="I1467" s="21" t="str">
        <f>VLOOKUP(H1467,Products[],2)</f>
        <v>USB-C Laptop Charger</v>
      </c>
      <c r="J1467" s="24">
        <f>Sales[Total_Amount]</f>
        <v>2750.122</v>
      </c>
      <c r="K1467" s="21" t="str">
        <f t="shared" si="1"/>
        <v>Dec</v>
      </c>
      <c r="L1467" s="21">
        <f t="shared" si="2"/>
        <v>2024</v>
      </c>
      <c r="N1467" s="33"/>
      <c r="O1467" s="34"/>
    </row>
    <row r="1468" ht="22.5" customHeight="1">
      <c r="A1468" s="21" t="s">
        <v>3433</v>
      </c>
      <c r="B1468" s="21" t="s">
        <v>1149</v>
      </c>
      <c r="C1468" s="21" t="str">
        <f t="array" ref="C1468">XLOOKUP(B1468,Customer[Customer_ID],Customer[Name(Cleaned)])</f>
        <v>Joshua Smith Dvm</v>
      </c>
      <c r="D1468" s="22" t="str">
        <f>VLOOKUP(B1468,Customer[#ALL],6)</f>
        <v>Female</v>
      </c>
      <c r="E1468" s="23">
        <f>Sales[Order_Date]</f>
        <v>45598</v>
      </c>
      <c r="F1468" s="21" t="str">
        <f>Sales[Store_ID]</f>
        <v>STORE7</v>
      </c>
      <c r="G1468" s="21" t="str">
        <f t="array" ref="G1468">INDEX(Store[Store_Name],MATCH(F1468,Store[Store_ID],0))</f>
        <v>Martinez-Mullins</v>
      </c>
      <c r="H1468" s="21" t="str">
        <f>Sales[Product_ID]</f>
        <v>PROD95</v>
      </c>
      <c r="I1468" s="21" t="str">
        <f>VLOOKUP(H1468,Products[],2)</f>
        <v>Sports Stopwatch Basic</v>
      </c>
      <c r="J1468" s="24">
        <f>Sales[Total_Amount]</f>
        <v>798.2172</v>
      </c>
      <c r="K1468" s="21" t="str">
        <f t="shared" si="1"/>
        <v>Nov</v>
      </c>
      <c r="L1468" s="21">
        <f t="shared" si="2"/>
        <v>2024</v>
      </c>
      <c r="N1468" s="33"/>
      <c r="O1468" s="34"/>
    </row>
    <row r="1469" ht="22.5" customHeight="1">
      <c r="A1469" s="21" t="s">
        <v>3434</v>
      </c>
      <c r="B1469" s="21" t="s">
        <v>764</v>
      </c>
      <c r="C1469" s="21" t="str">
        <f t="array" ref="C1469">XLOOKUP(B1469,Customer[Customer_ID],Customer[Name(Cleaned)])</f>
        <v>Michelle Gonzalez</v>
      </c>
      <c r="D1469" s="22" t="str">
        <f>VLOOKUP(B1469,Customer[#ALL],6)</f>
        <v>Female</v>
      </c>
      <c r="E1469" s="23">
        <f>Sales[Order_Date]</f>
        <v>45495</v>
      </c>
      <c r="F1469" s="21" t="str">
        <f>Sales[Store_ID]</f>
        <v>STORE0</v>
      </c>
      <c r="G1469" s="21" t="str">
        <f t="array" ref="G1469">INDEX(Store[Store_Name],MATCH(F1469,Store[Store_ID],0))</f>
        <v>Rivera-Warner</v>
      </c>
      <c r="H1469" s="21" t="str">
        <f>Sales[Product_ID]</f>
        <v>PROD88</v>
      </c>
      <c r="I1469" s="21" t="str">
        <f>VLOOKUP(H1469,Products[],2)</f>
        <v>Sports Wrist Sweatbands</v>
      </c>
      <c r="J1469" s="24">
        <f>Sales[Total_Amount]</f>
        <v>1154.6808</v>
      </c>
      <c r="K1469" s="21" t="str">
        <f t="shared" si="1"/>
        <v>Jul</v>
      </c>
      <c r="L1469" s="21">
        <f t="shared" si="2"/>
        <v>2024</v>
      </c>
      <c r="N1469" s="33"/>
      <c r="O1469" s="34"/>
    </row>
    <row r="1470" ht="22.5" customHeight="1">
      <c r="A1470" s="21" t="s">
        <v>3435</v>
      </c>
      <c r="B1470" s="21" t="s">
        <v>510</v>
      </c>
      <c r="C1470" s="21" t="str">
        <f t="array" ref="C1470">XLOOKUP(B1470,Customer[Customer_ID],Customer[Name(Cleaned)])</f>
        <v>Theresa Campbell</v>
      </c>
      <c r="D1470" s="22" t="str">
        <f>VLOOKUP(B1470,Customer[#ALL],6)</f>
        <v>Male</v>
      </c>
      <c r="E1470" s="23">
        <f>Sales[Order_Date]</f>
        <v>45894</v>
      </c>
      <c r="F1470" s="21" t="str">
        <f>Sales[Store_ID]</f>
        <v>STORE6</v>
      </c>
      <c r="G1470" s="21" t="str">
        <f t="array" ref="G1470">INDEX(Store[Store_Name],MATCH(F1470,Store[Store_ID],0))</f>
        <v>Benson-Elliott</v>
      </c>
      <c r="H1470" s="21" t="str">
        <f>Sales[Product_ID]</f>
        <v>PROD89</v>
      </c>
      <c r="I1470" s="21" t="str">
        <f>VLOOKUP(H1470,Products[],2)</f>
        <v>Face Foundation Kit</v>
      </c>
      <c r="J1470" s="24">
        <f>Sales[Total_Amount]</f>
        <v>486.0633</v>
      </c>
      <c r="K1470" s="21" t="str">
        <f t="shared" si="1"/>
        <v>Aug</v>
      </c>
      <c r="L1470" s="21">
        <f t="shared" si="2"/>
        <v>2025</v>
      </c>
      <c r="N1470" s="33"/>
      <c r="O1470" s="34"/>
    </row>
    <row r="1471" ht="22.5" customHeight="1">
      <c r="A1471" s="21" t="s">
        <v>3436</v>
      </c>
      <c r="B1471" s="21" t="s">
        <v>824</v>
      </c>
      <c r="C1471" s="21" t="str">
        <f t="array" ref="C1471">XLOOKUP(B1471,Customer[Customer_ID],Customer[Name(Cleaned)])</f>
        <v>Dr. Ashley Yates Md</v>
      </c>
      <c r="D1471" s="22" t="str">
        <f>VLOOKUP(B1471,Customer[#ALL],6)</f>
        <v>Female</v>
      </c>
      <c r="E1471" s="23">
        <f>Sales[Order_Date]</f>
        <v>45229</v>
      </c>
      <c r="F1471" s="21" t="str">
        <f>Sales[Store_ID]</f>
        <v>STORE6</v>
      </c>
      <c r="G1471" s="21" t="str">
        <f t="array" ref="G1471">INDEX(Store[Store_Name],MATCH(F1471,Store[Store_ID],0))</f>
        <v>Benson-Elliott</v>
      </c>
      <c r="H1471" s="21" t="str">
        <f>Sales[Product_ID]</f>
        <v>PROD78</v>
      </c>
      <c r="I1471" s="21" t="str">
        <f>VLOOKUP(H1471,Products[],2)</f>
        <v>Essential Oil Diffuser</v>
      </c>
      <c r="J1471" s="24">
        <f>Sales[Total_Amount]</f>
        <v>1813.5174</v>
      </c>
      <c r="K1471" s="21" t="str">
        <f t="shared" si="1"/>
        <v>Oct</v>
      </c>
      <c r="L1471" s="21">
        <f t="shared" si="2"/>
        <v>2023</v>
      </c>
      <c r="N1471" s="33"/>
      <c r="O1471" s="34"/>
    </row>
    <row r="1472" ht="22.5" customHeight="1">
      <c r="A1472" s="21" t="s">
        <v>3437</v>
      </c>
      <c r="B1472" s="21" t="s">
        <v>1182</v>
      </c>
      <c r="C1472" s="21" t="str">
        <f t="array" ref="C1472">XLOOKUP(B1472,Customer[Customer_ID],Customer[Name(Cleaned)])</f>
        <v>James Orozco</v>
      </c>
      <c r="D1472" s="22" t="str">
        <f>VLOOKUP(B1472,Customer[#ALL],6)</f>
        <v>Male</v>
      </c>
      <c r="E1472" s="23">
        <f>Sales[Order_Date]</f>
        <v>45433</v>
      </c>
      <c r="F1472" s="21" t="str">
        <f>Sales[Store_ID]</f>
        <v>STORE0</v>
      </c>
      <c r="G1472" s="21" t="str">
        <f t="array" ref="G1472">INDEX(Store[Store_Name],MATCH(F1472,Store[Store_ID],0))</f>
        <v>Rivera-Warner</v>
      </c>
      <c r="H1472" s="21" t="str">
        <f>Sales[Product_ID]</f>
        <v>PROD73</v>
      </c>
      <c r="I1472" s="21" t="str">
        <f>VLOOKUP(H1472,Products[],2)</f>
        <v>Shin Guards – Adult</v>
      </c>
      <c r="J1472" s="24">
        <f>Sales[Total_Amount]</f>
        <v>2107.863</v>
      </c>
      <c r="K1472" s="21" t="str">
        <f t="shared" si="1"/>
        <v>May</v>
      </c>
      <c r="L1472" s="21">
        <f t="shared" si="2"/>
        <v>2024</v>
      </c>
      <c r="N1472" s="33"/>
      <c r="O1472" s="34"/>
    </row>
    <row r="1473" ht="22.5" customHeight="1">
      <c r="A1473" s="21" t="s">
        <v>3438</v>
      </c>
      <c r="B1473" s="21" t="s">
        <v>848</v>
      </c>
      <c r="C1473" s="21" t="str">
        <f t="array" ref="C1473">XLOOKUP(B1473,Customer[Customer_ID],Customer[Name(Cleaned)])</f>
        <v>Carol Bishop</v>
      </c>
      <c r="D1473" s="22" t="str">
        <f>VLOOKUP(B1473,Customer[#ALL],6)</f>
        <v>Male</v>
      </c>
      <c r="E1473" s="23">
        <f>Sales[Order_Date]</f>
        <v>45766</v>
      </c>
      <c r="F1473" s="21" t="str">
        <f>Sales[Store_ID]</f>
        <v>STORE2</v>
      </c>
      <c r="G1473" s="21" t="str">
        <f t="array" ref="G1473">INDEX(Store[Store_Name],MATCH(F1473,Store[Store_ID],0))</f>
        <v>Black-Horn</v>
      </c>
      <c r="H1473" s="21" t="str">
        <f>Sales[Product_ID]</f>
        <v>PROD42</v>
      </c>
      <c r="I1473" s="21" t="str">
        <f>VLOOKUP(H1473,Products[],2)</f>
        <v>Smart Home WiFi Camera</v>
      </c>
      <c r="J1473" s="24">
        <f>Sales[Total_Amount]</f>
        <v>70.4708</v>
      </c>
      <c r="K1473" s="21" t="str">
        <f t="shared" si="1"/>
        <v>Apr</v>
      </c>
      <c r="L1473" s="21">
        <f t="shared" si="2"/>
        <v>2025</v>
      </c>
      <c r="N1473" s="33"/>
      <c r="O1473" s="34"/>
    </row>
    <row r="1474" ht="22.5" customHeight="1">
      <c r="A1474" s="21" t="s">
        <v>3439</v>
      </c>
      <c r="B1474" s="21" t="s">
        <v>923</v>
      </c>
      <c r="C1474" s="21" t="str">
        <f t="array" ref="C1474">XLOOKUP(B1474,Customer[Customer_ID],Customer[Name(Cleaned)])</f>
        <v>Tommy Roberts</v>
      </c>
      <c r="D1474" s="22" t="str">
        <f>VLOOKUP(B1474,Customer[#ALL],6)</f>
        <v>Female</v>
      </c>
      <c r="E1474" s="23">
        <f>Sales[Order_Date]</f>
        <v>45639</v>
      </c>
      <c r="F1474" s="21" t="str">
        <f>Sales[Store_ID]</f>
        <v>STORE0</v>
      </c>
      <c r="G1474" s="21" t="str">
        <f t="array" ref="G1474">INDEX(Store[Store_Name],MATCH(F1474,Store[Store_ID],0))</f>
        <v>Rivera-Warner</v>
      </c>
      <c r="H1474" s="21" t="str">
        <f>Sales[Product_ID]</f>
        <v>PROD82</v>
      </c>
      <c r="I1474" s="21" t="str">
        <f>VLOOKUP(H1474,Products[],2)</f>
        <v>Fitness Resistance Bands</v>
      </c>
      <c r="J1474" s="24">
        <f>Sales[Total_Amount]</f>
        <v>3178.2564</v>
      </c>
      <c r="K1474" s="21" t="str">
        <f t="shared" si="1"/>
        <v>Dec</v>
      </c>
      <c r="L1474" s="21">
        <f t="shared" si="2"/>
        <v>2024</v>
      </c>
      <c r="N1474" s="33"/>
      <c r="O1474" s="34"/>
    </row>
    <row r="1475" ht="22.5" customHeight="1">
      <c r="A1475" s="21" t="s">
        <v>3440</v>
      </c>
      <c r="B1475" s="21" t="s">
        <v>364</v>
      </c>
      <c r="C1475" s="21" t="str">
        <f t="array" ref="C1475">XLOOKUP(B1475,Customer[Customer_ID],Customer[Name(Cleaned)])</f>
        <v>Diane Watson</v>
      </c>
      <c r="D1475" s="22" t="str">
        <f>VLOOKUP(B1475,Customer[#ALL],6)</f>
        <v>Male</v>
      </c>
      <c r="E1475" s="23">
        <f>Sales[Order_Date]</f>
        <v>45774</v>
      </c>
      <c r="F1475" s="21" t="str">
        <f>Sales[Store_ID]</f>
        <v>STORE16</v>
      </c>
      <c r="G1475" s="21" t="str">
        <f t="array" ref="G1475">INDEX(Store[Store_Name],MATCH(F1475,Store[Store_ID],0))</f>
        <v>Frederick-Wright</v>
      </c>
      <c r="H1475" s="21" t="str">
        <f>Sales[Product_ID]</f>
        <v>PROD24</v>
      </c>
      <c r="I1475" s="21" t="str">
        <f>VLOOKUP(H1475,Products[],2)</f>
        <v>Foldable Camping Chair</v>
      </c>
      <c r="J1475" s="24">
        <f>Sales[Total_Amount]</f>
        <v>769.8976</v>
      </c>
      <c r="K1475" s="21" t="str">
        <f t="shared" si="1"/>
        <v>Apr</v>
      </c>
      <c r="L1475" s="21">
        <f t="shared" si="2"/>
        <v>2025</v>
      </c>
      <c r="N1475" s="33"/>
      <c r="O1475" s="34"/>
    </row>
    <row r="1476" ht="22.5" customHeight="1">
      <c r="A1476" s="21" t="s">
        <v>3441</v>
      </c>
      <c r="B1476" s="21" t="s">
        <v>558</v>
      </c>
      <c r="C1476" s="21" t="str">
        <f t="array" ref="C1476">XLOOKUP(B1476,Customer[Customer_ID],Customer[Name(Cleaned)])</f>
        <v>Daniel Rivas</v>
      </c>
      <c r="D1476" s="22" t="str">
        <f>VLOOKUP(B1476,Customer[#ALL],6)</f>
        <v>Male</v>
      </c>
      <c r="E1476" s="23">
        <f>Sales[Order_Date]</f>
        <v>45569</v>
      </c>
      <c r="F1476" s="21" t="str">
        <f>Sales[Store_ID]</f>
        <v>STORE10</v>
      </c>
      <c r="G1476" s="21" t="str">
        <f t="array" ref="G1476">INDEX(Store[Store_Name],MATCH(F1476,Store[Store_ID],0))</f>
        <v>Hill, Wagner and Ballard</v>
      </c>
      <c r="H1476" s="21" t="str">
        <f>Sales[Product_ID]</f>
        <v>PROD74</v>
      </c>
      <c r="I1476" s="21" t="str">
        <f>VLOOKUP(H1476,Products[],2)</f>
        <v>Bluetooth Car Audio System</v>
      </c>
      <c r="J1476" s="24">
        <f>Sales[Total_Amount]</f>
        <v>643.7868</v>
      </c>
      <c r="K1476" s="21" t="str">
        <f t="shared" si="1"/>
        <v>Oct</v>
      </c>
      <c r="L1476" s="21">
        <f t="shared" si="2"/>
        <v>2024</v>
      </c>
      <c r="N1476" s="33"/>
      <c r="O1476" s="34"/>
    </row>
    <row r="1477" ht="22.5" customHeight="1">
      <c r="A1477" s="21" t="s">
        <v>3442</v>
      </c>
      <c r="B1477" s="21" t="s">
        <v>750</v>
      </c>
      <c r="C1477" s="21" t="str">
        <f t="array" ref="C1477">XLOOKUP(B1477,Customer[Customer_ID],Customer[Name(Cleaned)])</f>
        <v>Casey Flores</v>
      </c>
      <c r="D1477" s="22" t="str">
        <f>VLOOKUP(B1477,Customer[#ALL],6)</f>
        <v>Male</v>
      </c>
      <c r="E1477" s="23">
        <f>Sales[Order_Date]</f>
        <v>45856</v>
      </c>
      <c r="F1477" s="21" t="str">
        <f>Sales[Store_ID]</f>
        <v>STORE8</v>
      </c>
      <c r="G1477" s="21" t="str">
        <f t="array" ref="G1477">INDEX(Store[Store_Name],MATCH(F1477,Store[Store_ID],0))</f>
        <v>Bean, Jones and Park</v>
      </c>
      <c r="H1477" s="21" t="str">
        <f>Sales[Product_ID]</f>
        <v>PROD4</v>
      </c>
      <c r="I1477" s="21" t="str">
        <f>VLOOKUP(H1477,Products[],2)</f>
        <v>Portable Power Bank</v>
      </c>
      <c r="J1477" s="24">
        <f>Sales[Total_Amount]</f>
        <v>524.7648</v>
      </c>
      <c r="K1477" s="21" t="str">
        <f t="shared" si="1"/>
        <v>Jul</v>
      </c>
      <c r="L1477" s="21">
        <f t="shared" si="2"/>
        <v>2025</v>
      </c>
      <c r="N1477" s="33"/>
      <c r="O1477" s="34"/>
    </row>
    <row r="1478" ht="22.5" customHeight="1">
      <c r="A1478" s="21" t="s">
        <v>3443</v>
      </c>
      <c r="B1478" s="21" t="s">
        <v>1416</v>
      </c>
      <c r="C1478" s="21" t="str">
        <f t="array" ref="C1478">XLOOKUP(B1478,Customer[Customer_ID],Customer[Name(Cleaned)])</f>
        <v>April Phillips</v>
      </c>
      <c r="D1478" s="22" t="str">
        <f>VLOOKUP(B1478,Customer[#ALL],6)</f>
        <v>Male</v>
      </c>
      <c r="E1478" s="23">
        <f>Sales[Order_Date]</f>
        <v>45362</v>
      </c>
      <c r="F1478" s="21" t="str">
        <f>Sales[Store_ID]</f>
        <v>STORE6</v>
      </c>
      <c r="G1478" s="21" t="str">
        <f t="array" ref="G1478">INDEX(Store[Store_Name],MATCH(F1478,Store[Store_ID],0))</f>
        <v>Benson-Elliott</v>
      </c>
      <c r="H1478" s="21" t="str">
        <f>Sales[Product_ID]</f>
        <v>PROD78</v>
      </c>
      <c r="I1478" s="21" t="str">
        <f>VLOOKUP(H1478,Products[],2)</f>
        <v>Essential Oil Diffuser</v>
      </c>
      <c r="J1478" s="24">
        <f>Sales[Total_Amount]</f>
        <v>1719.4432</v>
      </c>
      <c r="K1478" s="21" t="str">
        <f t="shared" si="1"/>
        <v>Mar</v>
      </c>
      <c r="L1478" s="21">
        <f t="shared" si="2"/>
        <v>2024</v>
      </c>
      <c r="N1478" s="33"/>
      <c r="O1478" s="34"/>
    </row>
    <row r="1479" ht="22.5" customHeight="1">
      <c r="A1479" s="21" t="s">
        <v>3444</v>
      </c>
      <c r="B1479" s="21" t="s">
        <v>340</v>
      </c>
      <c r="C1479" s="21" t="str">
        <f t="array" ref="C1479">XLOOKUP(B1479,Customer[Customer_ID],Customer[Name(Cleaned)])</f>
        <v>Robert Jackson</v>
      </c>
      <c r="D1479" s="22" t="str">
        <f>VLOOKUP(B1479,Customer[#ALL],6)</f>
        <v>Male</v>
      </c>
      <c r="E1479" s="23">
        <f>Sales[Order_Date]</f>
        <v>45457</v>
      </c>
      <c r="F1479" s="21" t="str">
        <f>Sales[Store_ID]</f>
        <v>STORE11</v>
      </c>
      <c r="G1479" s="21" t="str">
        <f t="array" ref="G1479">INDEX(Store[Store_Name],MATCH(F1479,Store[Store_ID],0))</f>
        <v>Aguirre-Keller</v>
      </c>
      <c r="H1479" s="21" t="str">
        <f>Sales[Product_ID]</f>
        <v>PROD10</v>
      </c>
      <c r="I1479" s="21" t="str">
        <f>VLOOKUP(H1479,Products[],2)</f>
        <v>Men's Graphic T-Shirt</v>
      </c>
      <c r="J1479" s="24">
        <f>Sales[Total_Amount]</f>
        <v>50.4078</v>
      </c>
      <c r="K1479" s="21" t="str">
        <f t="shared" si="1"/>
        <v>Jun</v>
      </c>
      <c r="L1479" s="21">
        <f t="shared" si="2"/>
        <v>2024</v>
      </c>
      <c r="N1479" s="33"/>
      <c r="O1479" s="34"/>
    </row>
    <row r="1480" ht="22.5" customHeight="1">
      <c r="A1480" s="21" t="s">
        <v>3445</v>
      </c>
      <c r="B1480" s="21" t="s">
        <v>1095</v>
      </c>
      <c r="C1480" s="21" t="str">
        <f t="array" ref="C1480">XLOOKUP(B1480,Customer[Customer_ID],Customer[Name(Cleaned)])</f>
        <v>Evelyn Brown</v>
      </c>
      <c r="D1480" s="22" t="str">
        <f>VLOOKUP(B1480,Customer[#ALL],6)</f>
        <v>Female</v>
      </c>
      <c r="E1480" s="23">
        <f>Sales[Order_Date]</f>
        <v>45338</v>
      </c>
      <c r="F1480" s="21" t="str">
        <f>Sales[Store_ID]</f>
        <v>STORE17</v>
      </c>
      <c r="G1480" s="21" t="str">
        <f t="array" ref="G1480">INDEX(Store[Store_Name],MATCH(F1480,Store[Store_ID],0))</f>
        <v>Holloway Ltd</v>
      </c>
      <c r="H1480" s="21" t="str">
        <f>Sales[Product_ID]</f>
        <v>PROD49</v>
      </c>
      <c r="I1480" s="21" t="str">
        <f>VLOOKUP(H1480,Products[],2)</f>
        <v>Men's Roll-On Perfume</v>
      </c>
      <c r="J1480" s="24">
        <f>Sales[Total_Amount]</f>
        <v>421.278</v>
      </c>
      <c r="K1480" s="21" t="str">
        <f t="shared" si="1"/>
        <v>Feb</v>
      </c>
      <c r="L1480" s="21">
        <f t="shared" si="2"/>
        <v>2024</v>
      </c>
      <c r="N1480" s="33"/>
      <c r="O1480" s="34"/>
    </row>
    <row r="1481" ht="22.5" customHeight="1">
      <c r="A1481" s="21" t="s">
        <v>3446</v>
      </c>
      <c r="B1481" s="21" t="s">
        <v>1035</v>
      </c>
      <c r="C1481" s="21" t="str">
        <f t="array" ref="C1481">XLOOKUP(B1481,Customer[Customer_ID],Customer[Name(Cleaned)])</f>
        <v>Alex Mann Ii</v>
      </c>
      <c r="D1481" s="22" t="str">
        <f>VLOOKUP(B1481,Customer[#ALL],6)</f>
        <v>Female</v>
      </c>
      <c r="E1481" s="23">
        <f>Sales[Order_Date]</f>
        <v>45677</v>
      </c>
      <c r="F1481" s="21" t="str">
        <f>Sales[Store_ID]</f>
        <v>STORE8</v>
      </c>
      <c r="G1481" s="21" t="str">
        <f t="array" ref="G1481">INDEX(Store[Store_Name],MATCH(F1481,Store[Store_ID],0))</f>
        <v>Bean, Jones and Park</v>
      </c>
      <c r="H1481" s="21" t="str">
        <f>Sales[Product_ID]</f>
        <v>PROD20</v>
      </c>
      <c r="I1481" s="21" t="str">
        <f>VLOOKUP(H1481,Products[],2)</f>
        <v>Outdoor Sports Water Bottle</v>
      </c>
      <c r="J1481" s="24">
        <f>Sales[Total_Amount]</f>
        <v>783.3045</v>
      </c>
      <c r="K1481" s="21" t="str">
        <f t="shared" si="1"/>
        <v>Jan</v>
      </c>
      <c r="L1481" s="21">
        <f t="shared" si="2"/>
        <v>2025</v>
      </c>
      <c r="N1481" s="33"/>
      <c r="O1481" s="34"/>
    </row>
    <row r="1482" ht="22.5" customHeight="1">
      <c r="A1482" s="21" t="s">
        <v>3447</v>
      </c>
      <c r="B1482" s="21" t="s">
        <v>289</v>
      </c>
      <c r="C1482" s="21" t="str">
        <f t="array" ref="C1482">XLOOKUP(B1482,Customer[Customer_ID],Customer[Name(Cleaned)])</f>
        <v>Katherine Young</v>
      </c>
      <c r="D1482" s="22" t="str">
        <f>VLOOKUP(B1482,Customer[#ALL],6)</f>
        <v>Female</v>
      </c>
      <c r="E1482" s="23">
        <f>Sales[Order_Date]</f>
        <v>45552</v>
      </c>
      <c r="F1482" s="21" t="str">
        <f>Sales[Store_ID]</f>
        <v>STORE19</v>
      </c>
      <c r="G1482" s="21" t="str">
        <f t="array" ref="G1482">INDEX(Store[Store_Name],MATCH(F1482,Store[Store_ID],0))</f>
        <v>Mann-Austin</v>
      </c>
      <c r="H1482" s="21" t="str">
        <f>Sales[Product_ID]</f>
        <v>PROD8</v>
      </c>
      <c r="I1482" s="21" t="str">
        <f>VLOOKUP(H1482,Products[],2)</f>
        <v>Decorative Lamp Shade</v>
      </c>
      <c r="J1482" s="24">
        <f>Sales[Total_Amount]</f>
        <v>2775.352</v>
      </c>
      <c r="K1482" s="21" t="str">
        <f t="shared" si="1"/>
        <v>Sep</v>
      </c>
      <c r="L1482" s="21">
        <f t="shared" si="2"/>
        <v>2024</v>
      </c>
      <c r="N1482" s="33"/>
      <c r="O1482" s="34"/>
    </row>
    <row r="1483" ht="22.5" customHeight="1">
      <c r="A1483" s="21" t="s">
        <v>3448</v>
      </c>
      <c r="B1483" s="21" t="s">
        <v>601</v>
      </c>
      <c r="C1483" s="21" t="str">
        <f t="array" ref="C1483">XLOOKUP(B1483,Customer[Customer_ID],Customer[Name(Cleaned)])</f>
        <v>Michelle Myers</v>
      </c>
      <c r="D1483" s="22" t="str">
        <f>VLOOKUP(B1483,Customer[#ALL],6)</f>
        <v>Male</v>
      </c>
      <c r="E1483" s="23">
        <f>Sales[Order_Date]</f>
        <v>45895</v>
      </c>
      <c r="F1483" s="21" t="str">
        <f>Sales[Store_ID]</f>
        <v>STORE8</v>
      </c>
      <c r="G1483" s="21" t="str">
        <f t="array" ref="G1483">INDEX(Store[Store_Name],MATCH(F1483,Store[Store_ID],0))</f>
        <v>Bean, Jones and Park</v>
      </c>
      <c r="H1483" s="21" t="str">
        <f>Sales[Product_ID]</f>
        <v>PROD42</v>
      </c>
      <c r="I1483" s="21" t="str">
        <f>VLOOKUP(H1483,Products[],2)</f>
        <v>Smart Home WiFi Camera</v>
      </c>
      <c r="J1483" s="24">
        <f>Sales[Total_Amount]</f>
        <v>2589.8644</v>
      </c>
      <c r="K1483" s="21" t="str">
        <f t="shared" si="1"/>
        <v>Aug</v>
      </c>
      <c r="L1483" s="21">
        <f t="shared" si="2"/>
        <v>2025</v>
      </c>
      <c r="N1483" s="33"/>
      <c r="O1483" s="34"/>
    </row>
    <row r="1484" ht="22.5" customHeight="1">
      <c r="A1484" s="21" t="s">
        <v>3449</v>
      </c>
      <c r="B1484" s="21" t="s">
        <v>579</v>
      </c>
      <c r="C1484" s="21" t="str">
        <f t="array" ref="C1484">XLOOKUP(B1484,Customer[Customer_ID],Customer[Name(Cleaned)])</f>
        <v>Amy Wilson</v>
      </c>
      <c r="D1484" s="22" t="str">
        <f>VLOOKUP(B1484,Customer[#ALL],6)</f>
        <v>Male</v>
      </c>
      <c r="E1484" s="23">
        <f>Sales[Order_Date]</f>
        <v>45447</v>
      </c>
      <c r="F1484" s="21" t="str">
        <f>Sales[Store_ID]</f>
        <v>STORE13</v>
      </c>
      <c r="G1484" s="21" t="str">
        <f t="array" ref="G1484">INDEX(Store[Store_Name],MATCH(F1484,Store[Store_ID],0))</f>
        <v>Gardner, Humphrey and Contreras</v>
      </c>
      <c r="H1484" s="21" t="str">
        <f>Sales[Product_ID]</f>
        <v>PROD86</v>
      </c>
      <c r="I1484" s="21" t="str">
        <f>VLOOKUP(H1484,Products[],2)</f>
        <v>Kitchen Cutting Board</v>
      </c>
      <c r="J1484" s="24">
        <f>Sales[Total_Amount]</f>
        <v>2584.6272</v>
      </c>
      <c r="K1484" s="21" t="str">
        <f t="shared" si="1"/>
        <v>Jun</v>
      </c>
      <c r="L1484" s="21">
        <f t="shared" si="2"/>
        <v>2024</v>
      </c>
      <c r="N1484" s="33"/>
      <c r="O1484" s="34"/>
    </row>
    <row r="1485" ht="22.5" customHeight="1">
      <c r="A1485" s="21" t="s">
        <v>3450</v>
      </c>
      <c r="B1485" s="21" t="s">
        <v>1038</v>
      </c>
      <c r="C1485" s="21" t="str">
        <f t="array" ref="C1485">XLOOKUP(B1485,Customer[Customer_ID],Customer[Name(Cleaned)])</f>
        <v>Andrew Smith</v>
      </c>
      <c r="D1485" s="22" t="str">
        <f>VLOOKUP(B1485,Customer[#ALL],6)</f>
        <v>Female</v>
      </c>
      <c r="E1485" s="23">
        <f>Sales[Order_Date]</f>
        <v>45578</v>
      </c>
      <c r="F1485" s="21" t="str">
        <f>Sales[Store_ID]</f>
        <v>STORE7</v>
      </c>
      <c r="G1485" s="21" t="str">
        <f t="array" ref="G1485">INDEX(Store[Store_Name],MATCH(F1485,Store[Store_ID],0))</f>
        <v>Martinez-Mullins</v>
      </c>
      <c r="H1485" s="21" t="str">
        <f>Sales[Product_ID]</f>
        <v>PROD38</v>
      </c>
      <c r="I1485" s="21" t="str">
        <f>VLOOKUP(H1485,Products[],2)</f>
        <v>Sports Water Hydration Pack</v>
      </c>
      <c r="J1485" s="24">
        <f>Sales[Total_Amount]</f>
        <v>666.717</v>
      </c>
      <c r="K1485" s="21" t="str">
        <f t="shared" si="1"/>
        <v>Oct</v>
      </c>
      <c r="L1485" s="21">
        <f t="shared" si="2"/>
        <v>2024</v>
      </c>
      <c r="N1485" s="33"/>
      <c r="O1485" s="34"/>
    </row>
    <row r="1486" ht="22.5" customHeight="1">
      <c r="A1486" s="21" t="s">
        <v>3451</v>
      </c>
      <c r="B1486" s="21" t="s">
        <v>669</v>
      </c>
      <c r="C1486" s="21" t="str">
        <f t="array" ref="C1486">XLOOKUP(B1486,Customer[Customer_ID],Customer[Name(Cleaned)])</f>
        <v>Mary Boyd</v>
      </c>
      <c r="D1486" s="22" t="str">
        <f>VLOOKUP(B1486,Customer[#ALL],6)</f>
        <v>Male</v>
      </c>
      <c r="E1486" s="23">
        <f>Sales[Order_Date]</f>
        <v>45697</v>
      </c>
      <c r="F1486" s="21" t="str">
        <f>Sales[Store_ID]</f>
        <v>STORE9</v>
      </c>
      <c r="G1486" s="21" t="str">
        <f t="array" ref="G1486">INDEX(Store[Store_Name],MATCH(F1486,Store[Store_ID],0))</f>
        <v>Moore, Padilla and Butler</v>
      </c>
      <c r="H1486" s="21" t="str">
        <f>Sales[Product_ID]</f>
        <v>PROD87</v>
      </c>
      <c r="I1486" s="21" t="str">
        <f>VLOOKUP(H1486,Products[],2)</f>
        <v>LED Bedside Lamp</v>
      </c>
      <c r="J1486" s="24">
        <f>Sales[Total_Amount]</f>
        <v>680.442</v>
      </c>
      <c r="K1486" s="21" t="str">
        <f t="shared" si="1"/>
        <v>Feb</v>
      </c>
      <c r="L1486" s="21">
        <f t="shared" si="2"/>
        <v>2025</v>
      </c>
      <c r="N1486" s="33"/>
      <c r="O1486" s="34"/>
    </row>
    <row r="1487" ht="22.5" customHeight="1">
      <c r="A1487" s="21" t="s">
        <v>3452</v>
      </c>
      <c r="B1487" s="21" t="s">
        <v>138</v>
      </c>
      <c r="C1487" s="21" t="str">
        <f t="array" ref="C1487">XLOOKUP(B1487,Customer[Customer_ID],Customer[Name(Cleaned)])</f>
        <v>Mike Jennings</v>
      </c>
      <c r="D1487" s="22" t="str">
        <f>VLOOKUP(B1487,Customer[#ALL],6)</f>
        <v>Male</v>
      </c>
      <c r="E1487" s="23">
        <f>Sales[Order_Date]</f>
        <v>45281</v>
      </c>
      <c r="F1487" s="21" t="str">
        <f>Sales[Store_ID]</f>
        <v>STORE0</v>
      </c>
      <c r="G1487" s="21" t="str">
        <f t="array" ref="G1487">INDEX(Store[Store_Name],MATCH(F1487,Store[Store_ID],0))</f>
        <v>Rivera-Warner</v>
      </c>
      <c r="H1487" s="21" t="str">
        <f>Sales[Product_ID]</f>
        <v>PROD16</v>
      </c>
      <c r="I1487" s="21" t="str">
        <f>VLOOKUP(H1487,Products[],2)</f>
        <v>Beard Grooming Kit</v>
      </c>
      <c r="J1487" s="24">
        <f>Sales[Total_Amount]</f>
        <v>743.8784</v>
      </c>
      <c r="K1487" s="21" t="str">
        <f t="shared" si="1"/>
        <v>Dec</v>
      </c>
      <c r="L1487" s="21">
        <f t="shared" si="2"/>
        <v>2023</v>
      </c>
      <c r="N1487" s="33"/>
      <c r="O1487" s="34"/>
    </row>
    <row r="1488" ht="22.5" customHeight="1">
      <c r="A1488" s="21" t="s">
        <v>3453</v>
      </c>
      <c r="B1488" s="21" t="s">
        <v>1005</v>
      </c>
      <c r="C1488" s="21" t="str">
        <f t="array" ref="C1488">XLOOKUP(B1488,Customer[Customer_ID],Customer[Name(Cleaned)])</f>
        <v>Elizabeth Johnson</v>
      </c>
      <c r="D1488" s="22" t="str">
        <f>VLOOKUP(B1488,Customer[#ALL],6)</f>
        <v>Male</v>
      </c>
      <c r="E1488" s="23">
        <f>Sales[Order_Date]</f>
        <v>45855</v>
      </c>
      <c r="F1488" s="21" t="str">
        <f>Sales[Store_ID]</f>
        <v>STORE5</v>
      </c>
      <c r="G1488" s="21" t="str">
        <f t="array" ref="G1488">INDEX(Store[Store_Name],MATCH(F1488,Store[Store_ID],0))</f>
        <v>Gray Ltd</v>
      </c>
      <c r="H1488" s="21" t="str">
        <f>Sales[Product_ID]</f>
        <v>PROD64</v>
      </c>
      <c r="I1488" s="21" t="str">
        <f>VLOOKUP(H1488,Products[],2)</f>
        <v>Matte Lipstick Set</v>
      </c>
      <c r="J1488" s="24">
        <f>Sales[Total_Amount]</f>
        <v>2485.364</v>
      </c>
      <c r="K1488" s="21" t="str">
        <f t="shared" si="1"/>
        <v>Jul</v>
      </c>
      <c r="L1488" s="21">
        <f t="shared" si="2"/>
        <v>2025</v>
      </c>
      <c r="N1488" s="33"/>
      <c r="O1488" s="34"/>
    </row>
    <row r="1489" ht="22.5" customHeight="1">
      <c r="A1489" s="21" t="s">
        <v>3454</v>
      </c>
      <c r="B1489" s="21" t="s">
        <v>830</v>
      </c>
      <c r="C1489" s="21" t="str">
        <f t="array" ref="C1489">XLOOKUP(B1489,Customer[Customer_ID],Customer[Name(Cleaned)])</f>
        <v>Damon Perez</v>
      </c>
      <c r="D1489" s="22" t="str">
        <f>VLOOKUP(B1489,Customer[#ALL],6)</f>
        <v>Female</v>
      </c>
      <c r="E1489" s="23">
        <f>Sales[Order_Date]</f>
        <v>45793</v>
      </c>
      <c r="F1489" s="21" t="str">
        <f>Sales[Store_ID]</f>
        <v>STORE2</v>
      </c>
      <c r="G1489" s="21" t="str">
        <f t="array" ref="G1489">INDEX(Store[Store_Name],MATCH(F1489,Store[Store_ID],0))</f>
        <v>Black-Horn</v>
      </c>
      <c r="H1489" s="21" t="str">
        <f>Sales[Product_ID]</f>
        <v>PROD72</v>
      </c>
      <c r="I1489" s="21" t="str">
        <f>VLOOKUP(H1489,Products[],2)</f>
        <v>Professional Jump Rope</v>
      </c>
      <c r="J1489" s="24">
        <f>Sales[Total_Amount]</f>
        <v>437.0256</v>
      </c>
      <c r="K1489" s="21" t="str">
        <f t="shared" si="1"/>
        <v>May</v>
      </c>
      <c r="L1489" s="21">
        <f t="shared" si="2"/>
        <v>2025</v>
      </c>
      <c r="N1489" s="33"/>
      <c r="O1489" s="34"/>
    </row>
    <row r="1490" ht="22.5" customHeight="1">
      <c r="A1490" s="21" t="s">
        <v>3455</v>
      </c>
      <c r="B1490" s="21" t="s">
        <v>1227</v>
      </c>
      <c r="C1490" s="21" t="str">
        <f t="array" ref="C1490">XLOOKUP(B1490,Customer[Customer_ID],Customer[Name(Cleaned)])</f>
        <v>Timothy Valenzuela</v>
      </c>
      <c r="D1490" s="22" t="str">
        <f>VLOOKUP(B1490,Customer[#ALL],6)</f>
        <v>Female</v>
      </c>
      <c r="E1490" s="23">
        <f>Sales[Order_Date]</f>
        <v>45881</v>
      </c>
      <c r="F1490" s="21" t="str">
        <f>Sales[Store_ID]</f>
        <v>STORE8</v>
      </c>
      <c r="G1490" s="21" t="str">
        <f t="array" ref="G1490">INDEX(Store[Store_Name],MATCH(F1490,Store[Store_ID],0))</f>
        <v>Bean, Jones and Park</v>
      </c>
      <c r="H1490" s="21" t="str">
        <f>Sales[Product_ID]</f>
        <v>PROD82</v>
      </c>
      <c r="I1490" s="21" t="str">
        <f>VLOOKUP(H1490,Products[],2)</f>
        <v>Fitness Resistance Bands</v>
      </c>
      <c r="J1490" s="24">
        <f>Sales[Total_Amount]</f>
        <v>2221.9062</v>
      </c>
      <c r="K1490" s="21" t="str">
        <f t="shared" si="1"/>
        <v>Aug</v>
      </c>
      <c r="L1490" s="21">
        <f t="shared" si="2"/>
        <v>2025</v>
      </c>
      <c r="N1490" s="33"/>
      <c r="O1490" s="34"/>
    </row>
    <row r="1491" ht="22.5" customHeight="1">
      <c r="A1491" s="21" t="s">
        <v>3456</v>
      </c>
      <c r="B1491" s="21" t="s">
        <v>210</v>
      </c>
      <c r="C1491" s="21" t="str">
        <f t="array" ref="C1491">XLOOKUP(B1491,Customer[Customer_ID],Customer[Name(Cleaned)])</f>
        <v>Sharon Brown</v>
      </c>
      <c r="D1491" s="22" t="str">
        <f>VLOOKUP(B1491,Customer[#ALL],6)</f>
        <v>Male</v>
      </c>
      <c r="E1491" s="23">
        <f>Sales[Order_Date]</f>
        <v>45890</v>
      </c>
      <c r="F1491" s="21" t="str">
        <f>Sales[Store_ID]</f>
        <v>STORE4</v>
      </c>
      <c r="G1491" s="21" t="str">
        <f t="array" ref="G1491">INDEX(Store[Store_Name],MATCH(F1491,Store[Store_ID],0))</f>
        <v>Alexander Group</v>
      </c>
      <c r="H1491" s="21" t="str">
        <f>Sales[Product_ID]</f>
        <v>PROD75</v>
      </c>
      <c r="I1491" s="21" t="str">
        <f>VLOOKUP(H1491,Products[],2)</f>
        <v>Women's Ankle Boots</v>
      </c>
      <c r="J1491" s="24">
        <f>Sales[Total_Amount]</f>
        <v>1106.3052</v>
      </c>
      <c r="K1491" s="21" t="str">
        <f t="shared" si="1"/>
        <v>Aug</v>
      </c>
      <c r="L1491" s="21">
        <f t="shared" si="2"/>
        <v>2025</v>
      </c>
      <c r="N1491" s="33"/>
      <c r="O1491" s="34"/>
    </row>
    <row r="1492" ht="22.5" customHeight="1">
      <c r="A1492" s="21" t="s">
        <v>3457</v>
      </c>
      <c r="B1492" s="21" t="s">
        <v>349</v>
      </c>
      <c r="C1492" s="21" t="str">
        <f t="array" ref="C1492">XLOOKUP(B1492,Customer[Customer_ID],Customer[Name(Cleaned)])</f>
        <v>Amy Fowler</v>
      </c>
      <c r="D1492" s="22" t="str">
        <f>VLOOKUP(B1492,Customer[#ALL],6)</f>
        <v>Male</v>
      </c>
      <c r="E1492" s="23">
        <f>Sales[Order_Date]</f>
        <v>45706</v>
      </c>
      <c r="F1492" s="21" t="str">
        <f>Sales[Store_ID]</f>
        <v>STORE10</v>
      </c>
      <c r="G1492" s="21" t="str">
        <f t="array" ref="G1492">INDEX(Store[Store_Name],MATCH(F1492,Store[Store_ID],0))</f>
        <v>Hill, Wagner and Ballard</v>
      </c>
      <c r="H1492" s="21" t="str">
        <f>Sales[Product_ID]</f>
        <v>PROD40</v>
      </c>
      <c r="I1492" s="21" t="str">
        <f>VLOOKUP(H1492,Products[],2)</f>
        <v>Noise-Canceling Headphones</v>
      </c>
      <c r="J1492" s="24">
        <f>Sales[Total_Amount]</f>
        <v>1592.4948</v>
      </c>
      <c r="K1492" s="21" t="str">
        <f t="shared" si="1"/>
        <v>Feb</v>
      </c>
      <c r="L1492" s="21">
        <f t="shared" si="2"/>
        <v>2025</v>
      </c>
      <c r="N1492" s="33"/>
      <c r="O1492" s="34"/>
    </row>
    <row r="1493" ht="22.5" customHeight="1">
      <c r="A1493" s="21" t="s">
        <v>3458</v>
      </c>
      <c r="B1493" s="21" t="s">
        <v>770</v>
      </c>
      <c r="C1493" s="21" t="str">
        <f t="array" ref="C1493">XLOOKUP(B1493,Customer[Customer_ID],Customer[Name(Cleaned)])</f>
        <v>Jon Ortiz</v>
      </c>
      <c r="D1493" s="22" t="str">
        <f>VLOOKUP(B1493,Customer[#ALL],6)</f>
        <v>Male</v>
      </c>
      <c r="E1493" s="23">
        <f>Sales[Order_Date]</f>
        <v>45251</v>
      </c>
      <c r="F1493" s="21" t="str">
        <f>Sales[Store_ID]</f>
        <v>STORE7</v>
      </c>
      <c r="G1493" s="21" t="str">
        <f t="array" ref="G1493">INDEX(Store[Store_Name],MATCH(F1493,Store[Store_ID],0))</f>
        <v>Martinez-Mullins</v>
      </c>
      <c r="H1493" s="21" t="str">
        <f>Sales[Product_ID]</f>
        <v>PROD91</v>
      </c>
      <c r="I1493" s="21" t="str">
        <f>VLOOKUP(H1493,Products[],2)</f>
        <v>Women's High Heels</v>
      </c>
      <c r="J1493" s="24">
        <f>Sales[Total_Amount]</f>
        <v>929.0208</v>
      </c>
      <c r="K1493" s="21" t="str">
        <f t="shared" si="1"/>
        <v>Nov</v>
      </c>
      <c r="L1493" s="21">
        <f t="shared" si="2"/>
        <v>2023</v>
      </c>
      <c r="N1493" s="33"/>
      <c r="O1493" s="34"/>
    </row>
    <row r="1494" ht="22.5" customHeight="1">
      <c r="A1494" s="21" t="s">
        <v>3459</v>
      </c>
      <c r="B1494" s="21" t="s">
        <v>1529</v>
      </c>
      <c r="C1494" s="21" t="str">
        <f t="array" ref="C1494">XLOOKUP(B1494,Customer[Customer_ID],Customer[Name(Cleaned)])</f>
        <v>Darrell Miller</v>
      </c>
      <c r="D1494" s="22" t="str">
        <f>VLOOKUP(B1494,Customer[#ALL],6)</f>
        <v>Male</v>
      </c>
      <c r="E1494" s="23">
        <f>Sales[Order_Date]</f>
        <v>45695</v>
      </c>
      <c r="F1494" s="21" t="str">
        <f>Sales[Store_ID]</f>
        <v>STORE0</v>
      </c>
      <c r="G1494" s="21" t="str">
        <f t="array" ref="G1494">INDEX(Store[Store_Name],MATCH(F1494,Store[Store_ID],0))</f>
        <v>Rivera-Warner</v>
      </c>
      <c r="H1494" s="21" t="str">
        <f>Sales[Product_ID]</f>
        <v>PROD42</v>
      </c>
      <c r="I1494" s="21" t="str">
        <f>VLOOKUP(H1494,Products[],2)</f>
        <v>Smart Home WiFi Camera</v>
      </c>
      <c r="J1494" s="24">
        <f>Sales[Total_Amount]</f>
        <v>632.7648</v>
      </c>
      <c r="K1494" s="21" t="str">
        <f t="shared" si="1"/>
        <v>Feb</v>
      </c>
      <c r="L1494" s="21">
        <f t="shared" si="2"/>
        <v>2025</v>
      </c>
      <c r="N1494" s="33"/>
      <c r="O1494" s="34"/>
    </row>
    <row r="1495" ht="22.5" customHeight="1">
      <c r="A1495" s="21" t="s">
        <v>3460</v>
      </c>
      <c r="B1495" s="21" t="s">
        <v>678</v>
      </c>
      <c r="C1495" s="21" t="str">
        <f t="array" ref="C1495">XLOOKUP(B1495,Customer[Customer_ID],Customer[Name(Cleaned)])</f>
        <v>Tiffany Herrera</v>
      </c>
      <c r="D1495" s="22" t="str">
        <f>VLOOKUP(B1495,Customer[#ALL],6)</f>
        <v>Female</v>
      </c>
      <c r="E1495" s="23">
        <f>Sales[Order_Date]</f>
        <v>45287</v>
      </c>
      <c r="F1495" s="21" t="str">
        <f>Sales[Store_ID]</f>
        <v>STORE16</v>
      </c>
      <c r="G1495" s="21" t="str">
        <f t="array" ref="G1495">INDEX(Store[Store_Name],MATCH(F1495,Store[Store_ID],0))</f>
        <v>Frederick-Wright</v>
      </c>
      <c r="H1495" s="21" t="str">
        <f>Sales[Product_ID]</f>
        <v>PROD44</v>
      </c>
      <c r="I1495" s="21" t="str">
        <f>VLOOKUP(H1495,Products[],2)</f>
        <v>Adjustable Jump Rope</v>
      </c>
      <c r="J1495" s="24">
        <f>Sales[Total_Amount]</f>
        <v>380.4296</v>
      </c>
      <c r="K1495" s="21" t="str">
        <f t="shared" si="1"/>
        <v>Dec</v>
      </c>
      <c r="L1495" s="21">
        <f t="shared" si="2"/>
        <v>2023</v>
      </c>
      <c r="N1495" s="33"/>
      <c r="O1495" s="34"/>
    </row>
    <row r="1496" ht="22.5" customHeight="1">
      <c r="A1496" s="21" t="s">
        <v>3461</v>
      </c>
      <c r="B1496" s="21" t="s">
        <v>1062</v>
      </c>
      <c r="C1496" s="21" t="str">
        <f t="array" ref="C1496">XLOOKUP(B1496,Customer[Customer_ID],Customer[Name(Cleaned)])</f>
        <v>Teresa Johnson</v>
      </c>
      <c r="D1496" s="22" t="str">
        <f>VLOOKUP(B1496,Customer[#ALL],6)</f>
        <v>Male</v>
      </c>
      <c r="E1496" s="23">
        <f>Sales[Order_Date]</f>
        <v>45711</v>
      </c>
      <c r="F1496" s="21" t="str">
        <f>Sales[Store_ID]</f>
        <v>STORE6</v>
      </c>
      <c r="G1496" s="21" t="str">
        <f t="array" ref="G1496">INDEX(Store[Store_Name],MATCH(F1496,Store[Store_ID],0))</f>
        <v>Benson-Elliott</v>
      </c>
      <c r="H1496" s="21" t="str">
        <f>Sales[Product_ID]</f>
        <v>PROD35</v>
      </c>
      <c r="I1496" s="21" t="str">
        <f>VLOOKUP(H1496,Products[],2)</f>
        <v>Bedroom Table Lamp</v>
      </c>
      <c r="J1496" s="24">
        <f>Sales[Total_Amount]</f>
        <v>679.3726</v>
      </c>
      <c r="K1496" s="21" t="str">
        <f t="shared" si="1"/>
        <v>Feb</v>
      </c>
      <c r="L1496" s="21">
        <f t="shared" si="2"/>
        <v>2025</v>
      </c>
      <c r="N1496" s="33"/>
      <c r="O1496" s="34"/>
    </row>
    <row r="1497" ht="22.5" customHeight="1">
      <c r="A1497" s="21" t="s">
        <v>3462</v>
      </c>
      <c r="B1497" s="21" t="s">
        <v>564</v>
      </c>
      <c r="C1497" s="21" t="str">
        <f t="array" ref="C1497">XLOOKUP(B1497,Customer[Customer_ID],Customer[Name(Cleaned)])</f>
        <v>Patricia Gardner</v>
      </c>
      <c r="D1497" s="22" t="str">
        <f>VLOOKUP(B1497,Customer[#ALL],6)</f>
        <v>Male</v>
      </c>
      <c r="E1497" s="23">
        <f>Sales[Order_Date]</f>
        <v>45842</v>
      </c>
      <c r="F1497" s="21" t="str">
        <f>Sales[Store_ID]</f>
        <v>STORE18</v>
      </c>
      <c r="G1497" s="21" t="str">
        <f t="array" ref="G1497">INDEX(Store[Store_Name],MATCH(F1497,Store[Store_ID],0))</f>
        <v>Guerrero-Schmitt</v>
      </c>
      <c r="H1497" s="21" t="str">
        <f>Sales[Product_ID]</f>
        <v>PROD59</v>
      </c>
      <c r="I1497" s="21" t="str">
        <f>VLOOKUP(H1497,Products[],2)</f>
        <v>Men's Hair Styling Gel</v>
      </c>
      <c r="J1497" s="24">
        <f>Sales[Total_Amount]</f>
        <v>454.461</v>
      </c>
      <c r="K1497" s="21" t="str">
        <f t="shared" si="1"/>
        <v>Jul</v>
      </c>
      <c r="L1497" s="21">
        <f t="shared" si="2"/>
        <v>2025</v>
      </c>
      <c r="N1497" s="33"/>
      <c r="O1497" s="34"/>
    </row>
    <row r="1498" ht="22.5" customHeight="1">
      <c r="A1498" s="21" t="s">
        <v>3463</v>
      </c>
      <c r="B1498" s="21" t="s">
        <v>374</v>
      </c>
      <c r="C1498" s="21" t="str">
        <f t="array" ref="C1498">XLOOKUP(B1498,Customer[Customer_ID],Customer[Name(Cleaned)])</f>
        <v>Steven Stein</v>
      </c>
      <c r="D1498" s="22" t="str">
        <f>VLOOKUP(B1498,Customer[#ALL],6)</f>
        <v>Female</v>
      </c>
      <c r="E1498" s="23">
        <f>Sales[Order_Date]</f>
        <v>45255</v>
      </c>
      <c r="F1498" s="21" t="str">
        <f>Sales[Store_ID]</f>
        <v>STORE1</v>
      </c>
      <c r="G1498" s="21" t="str">
        <f t="array" ref="G1498">INDEX(Store[Store_Name],MATCH(F1498,Store[Store_ID],0))</f>
        <v>Martinez, Adkins and Johnson</v>
      </c>
      <c r="H1498" s="21" t="str">
        <f>Sales[Product_ID]</f>
        <v>PROD26</v>
      </c>
      <c r="I1498" s="21" t="str">
        <f>VLOOKUP(H1498,Products[],2)</f>
        <v>Wireless Bluetooth Speaker</v>
      </c>
      <c r="J1498" s="24">
        <f>Sales[Total_Amount]</f>
        <v>332.3776</v>
      </c>
      <c r="K1498" s="21" t="str">
        <f t="shared" si="1"/>
        <v>Nov</v>
      </c>
      <c r="L1498" s="21">
        <f t="shared" si="2"/>
        <v>2023</v>
      </c>
      <c r="N1498" s="33"/>
      <c r="O1498" s="34"/>
    </row>
    <row r="1499" ht="22.5" customHeight="1">
      <c r="A1499" s="21" t="s">
        <v>3464</v>
      </c>
      <c r="B1499" s="21" t="s">
        <v>1197</v>
      </c>
      <c r="C1499" s="21" t="str">
        <f t="array" ref="C1499">XLOOKUP(B1499,Customer[Customer_ID],Customer[Name(Cleaned)])</f>
        <v>Frank Stewart</v>
      </c>
      <c r="D1499" s="22" t="str">
        <f>VLOOKUP(B1499,Customer[#ALL],6)</f>
        <v>Male</v>
      </c>
      <c r="E1499" s="23">
        <f>Sales[Order_Date]</f>
        <v>45695</v>
      </c>
      <c r="F1499" s="21" t="str">
        <f>Sales[Store_ID]</f>
        <v>STORE6</v>
      </c>
      <c r="G1499" s="21" t="str">
        <f t="array" ref="G1499">INDEX(Store[Store_Name],MATCH(F1499,Store[Store_ID],0))</f>
        <v>Benson-Elliott</v>
      </c>
      <c r="H1499" s="21" t="str">
        <f>Sales[Product_ID]</f>
        <v>PROD10</v>
      </c>
      <c r="I1499" s="21" t="str">
        <f>VLOOKUP(H1499,Products[],2)</f>
        <v>Men's Graphic T-Shirt</v>
      </c>
      <c r="J1499" s="24">
        <f>Sales[Total_Amount]</f>
        <v>1112.79</v>
      </c>
      <c r="K1499" s="21" t="str">
        <f t="shared" si="1"/>
        <v>Feb</v>
      </c>
      <c r="L1499" s="21">
        <f t="shared" si="2"/>
        <v>2025</v>
      </c>
      <c r="N1499" s="33"/>
      <c r="O1499" s="34"/>
    </row>
    <row r="1500" ht="22.5" customHeight="1">
      <c r="A1500" s="21" t="s">
        <v>3465</v>
      </c>
      <c r="B1500" s="21" t="s">
        <v>186</v>
      </c>
      <c r="C1500" s="21" t="str">
        <f t="array" ref="C1500">XLOOKUP(B1500,Customer[Customer_ID],Customer[Name(Cleaned)])</f>
        <v>Michelle Garcia Dds</v>
      </c>
      <c r="D1500" s="22" t="str">
        <f>VLOOKUP(B1500,Customer[#ALL],6)</f>
        <v>Male</v>
      </c>
      <c r="E1500" s="23">
        <f>Sales[Order_Date]</f>
        <v>45281</v>
      </c>
      <c r="F1500" s="21" t="str">
        <f>Sales[Store_ID]</f>
        <v>STORE15</v>
      </c>
      <c r="G1500" s="21" t="str">
        <f t="array" ref="G1500">INDEX(Store[Store_Name],MATCH(F1500,Store[Store_ID],0))</f>
        <v>Shelton PLC</v>
      </c>
      <c r="H1500" s="21" t="str">
        <f>Sales[Product_ID]</f>
        <v>PROD23</v>
      </c>
      <c r="I1500" s="21" t="str">
        <f>VLOOKUP(H1500,Products[],2)</f>
        <v>Men's Formal Shirt</v>
      </c>
      <c r="J1500" s="24">
        <f>Sales[Total_Amount]</f>
        <v>303.0898</v>
      </c>
      <c r="K1500" s="21" t="str">
        <f t="shared" si="1"/>
        <v>Dec</v>
      </c>
      <c r="L1500" s="21">
        <f t="shared" si="2"/>
        <v>2023</v>
      </c>
      <c r="N1500" s="33"/>
      <c r="O1500" s="34"/>
    </row>
    <row r="1501" ht="22.5" customHeight="1">
      <c r="A1501" s="21" t="s">
        <v>3466</v>
      </c>
      <c r="B1501" s="21" t="s">
        <v>434</v>
      </c>
      <c r="C1501" s="21" t="str">
        <f t="array" ref="C1501">XLOOKUP(B1501,Customer[Customer_ID],Customer[Name(Cleaned)])</f>
        <v>Erin Hopkins</v>
      </c>
      <c r="D1501" s="22" t="str">
        <f>VLOOKUP(B1501,Customer[#ALL],6)</f>
        <v>Female</v>
      </c>
      <c r="E1501" s="23">
        <f>Sales[Order_Date]</f>
        <v>45295</v>
      </c>
      <c r="F1501" s="21" t="str">
        <f>Sales[Store_ID]</f>
        <v>STORE15</v>
      </c>
      <c r="G1501" s="21" t="str">
        <f t="array" ref="G1501">INDEX(Store[Store_Name],MATCH(F1501,Store[Store_ID],0))</f>
        <v>Shelton PLC</v>
      </c>
      <c r="H1501" s="21" t="str">
        <f>Sales[Product_ID]</f>
        <v>PROD12</v>
      </c>
      <c r="I1501" s="21" t="str">
        <f>VLOOKUP(H1501,Products[],2)</f>
        <v>Hair Strengthening Shampoo</v>
      </c>
      <c r="J1501" s="24">
        <f>Sales[Total_Amount]</f>
        <v>900.752</v>
      </c>
      <c r="K1501" s="21" t="str">
        <f t="shared" si="1"/>
        <v>Jan</v>
      </c>
      <c r="L1501" s="21">
        <f t="shared" si="2"/>
        <v>2024</v>
      </c>
      <c r="N1501" s="33"/>
      <c r="O1501" s="34"/>
    </row>
    <row r="1502" ht="22.5" customHeight="1">
      <c r="A1502" s="21" t="s">
        <v>3467</v>
      </c>
      <c r="B1502" s="21" t="s">
        <v>537</v>
      </c>
      <c r="C1502" s="21" t="str">
        <f t="array" ref="C1502">XLOOKUP(B1502,Customer[Customer_ID],Customer[Name(Cleaned)])</f>
        <v>Paul Zamora</v>
      </c>
      <c r="D1502" s="22" t="str">
        <f>VLOOKUP(B1502,Customer[#ALL],6)</f>
        <v>Female</v>
      </c>
      <c r="E1502" s="23">
        <f>Sales[Order_Date]</f>
        <v>45260</v>
      </c>
      <c r="F1502" s="21" t="str">
        <f>Sales[Store_ID]</f>
        <v>STORE7</v>
      </c>
      <c r="G1502" s="21" t="str">
        <f t="array" ref="G1502">INDEX(Store[Store_Name],MATCH(F1502,Store[Store_ID],0))</f>
        <v>Martinez-Mullins</v>
      </c>
      <c r="H1502" s="21" t="str">
        <f>Sales[Product_ID]</f>
        <v>PROD55</v>
      </c>
      <c r="I1502" s="21" t="str">
        <f>VLOOKUP(H1502,Products[],2)</f>
        <v>Ceramic Plant Pot</v>
      </c>
      <c r="J1502" s="24">
        <f>Sales[Total_Amount]</f>
        <v>460.108</v>
      </c>
      <c r="K1502" s="21" t="str">
        <f t="shared" si="1"/>
        <v>Nov</v>
      </c>
      <c r="L1502" s="21">
        <f t="shared" si="2"/>
        <v>2023</v>
      </c>
      <c r="N1502" s="33"/>
      <c r="O1502" s="34"/>
    </row>
    <row r="1503" ht="22.5" customHeight="1">
      <c r="A1503" s="21" t="s">
        <v>3468</v>
      </c>
      <c r="B1503" s="21" t="s">
        <v>1308</v>
      </c>
      <c r="C1503" s="21" t="str">
        <f t="array" ref="C1503">XLOOKUP(B1503,Customer[Customer_ID],Customer[Name(Cleaned)])</f>
        <v>Jennifer Myers</v>
      </c>
      <c r="D1503" s="22" t="str">
        <f>VLOOKUP(B1503,Customer[#ALL],6)</f>
        <v>Female</v>
      </c>
      <c r="E1503" s="23">
        <f>Sales[Order_Date]</f>
        <v>45589</v>
      </c>
      <c r="F1503" s="21" t="str">
        <f>Sales[Store_ID]</f>
        <v>STORE11</v>
      </c>
      <c r="G1503" s="21" t="str">
        <f t="array" ref="G1503">INDEX(Store[Store_Name],MATCH(F1503,Store[Store_ID],0))</f>
        <v>Aguirre-Keller</v>
      </c>
      <c r="H1503" s="21" t="str">
        <f>Sales[Product_ID]</f>
        <v>PROD49</v>
      </c>
      <c r="I1503" s="21" t="str">
        <f>VLOOKUP(H1503,Products[],2)</f>
        <v>Men's Roll-On Perfume</v>
      </c>
      <c r="J1503" s="24">
        <f>Sales[Total_Amount]</f>
        <v>783.594</v>
      </c>
      <c r="K1503" s="21" t="str">
        <f t="shared" si="1"/>
        <v>Oct</v>
      </c>
      <c r="L1503" s="21">
        <f t="shared" si="2"/>
        <v>2024</v>
      </c>
      <c r="N1503" s="33"/>
      <c r="O1503" s="34"/>
    </row>
    <row r="1504" ht="22.5" customHeight="1">
      <c r="A1504" s="21" t="s">
        <v>3469</v>
      </c>
      <c r="B1504" s="21" t="s">
        <v>1110</v>
      </c>
      <c r="C1504" s="21" t="str">
        <f t="array" ref="C1504">XLOOKUP(B1504,Customer[Customer_ID],Customer[Name(Cleaned)])</f>
        <v>Heather Valenzuela</v>
      </c>
      <c r="D1504" s="22" t="str">
        <f>VLOOKUP(B1504,Customer[#ALL],6)</f>
        <v>Female</v>
      </c>
      <c r="E1504" s="23">
        <f>Sales[Order_Date]</f>
        <v>45851</v>
      </c>
      <c r="F1504" s="21" t="str">
        <f>Sales[Store_ID]</f>
        <v>STORE16</v>
      </c>
      <c r="G1504" s="21" t="str">
        <f t="array" ref="G1504">INDEX(Store[Store_Name],MATCH(F1504,Store[Store_ID],0))</f>
        <v>Frederick-Wright</v>
      </c>
      <c r="H1504" s="21" t="str">
        <f>Sales[Product_ID]</f>
        <v>PROD21</v>
      </c>
      <c r="I1504" s="21" t="str">
        <f>VLOOKUP(H1504,Products[],2)</f>
        <v>Multi-Purpose Storage Box</v>
      </c>
      <c r="J1504" s="24">
        <f>Sales[Total_Amount]</f>
        <v>2430.626</v>
      </c>
      <c r="K1504" s="21" t="str">
        <f t="shared" si="1"/>
        <v>Jul</v>
      </c>
      <c r="L1504" s="21">
        <f t="shared" si="2"/>
        <v>2025</v>
      </c>
      <c r="N1504" s="33"/>
      <c r="O1504" s="34"/>
    </row>
    <row r="1505" ht="22.5" customHeight="1">
      <c r="A1505" s="21" t="s">
        <v>3470</v>
      </c>
      <c r="B1505" s="21" t="s">
        <v>628</v>
      </c>
      <c r="C1505" s="21" t="str">
        <f t="array" ref="C1505">XLOOKUP(B1505,Customer[Customer_ID],Customer[Name(Cleaned)])</f>
        <v>Dr. Suzanne Bullock</v>
      </c>
      <c r="D1505" s="22" t="str">
        <f>VLOOKUP(B1505,Customer[#ALL],6)</f>
        <v>Male</v>
      </c>
      <c r="E1505" s="23">
        <f>Sales[Order_Date]</f>
        <v>45222</v>
      </c>
      <c r="F1505" s="21" t="str">
        <f>Sales[Store_ID]</f>
        <v>STORE2</v>
      </c>
      <c r="G1505" s="21" t="str">
        <f t="array" ref="G1505">INDEX(Store[Store_Name],MATCH(F1505,Store[Store_ID],0))</f>
        <v>Black-Horn</v>
      </c>
      <c r="H1505" s="21" t="str">
        <f>Sales[Product_ID]</f>
        <v>PROD43</v>
      </c>
      <c r="I1505" s="21" t="str">
        <f>VLOOKUP(H1505,Products[],2)</f>
        <v>USB External Hard Drive</v>
      </c>
      <c r="J1505" s="24">
        <f>Sales[Total_Amount]</f>
        <v>305.8494</v>
      </c>
      <c r="K1505" s="21" t="str">
        <f t="shared" si="1"/>
        <v>Oct</v>
      </c>
      <c r="L1505" s="21">
        <f t="shared" si="2"/>
        <v>2023</v>
      </c>
      <c r="N1505" s="33"/>
      <c r="O1505" s="34"/>
    </row>
    <row r="1506" ht="22.5" customHeight="1">
      <c r="A1506" s="21" t="s">
        <v>3471</v>
      </c>
      <c r="B1506" s="21" t="s">
        <v>122</v>
      </c>
      <c r="C1506" s="21" t="str">
        <f t="array" ref="C1506">XLOOKUP(B1506,Customer[Customer_ID],Customer[Name(Cleaned)])</f>
        <v>Leslie Johnson</v>
      </c>
      <c r="D1506" s="22" t="str">
        <f>VLOOKUP(B1506,Customer[#ALL],6)</f>
        <v>Female</v>
      </c>
      <c r="E1506" s="23">
        <f>Sales[Order_Date]</f>
        <v>45940</v>
      </c>
      <c r="F1506" s="21" t="str">
        <f>Sales[Store_ID]</f>
        <v>STORE11</v>
      </c>
      <c r="G1506" s="21" t="str">
        <f t="array" ref="G1506">INDEX(Store[Store_Name],MATCH(F1506,Store[Store_ID],0))</f>
        <v>Aguirre-Keller</v>
      </c>
      <c r="H1506" s="21" t="str">
        <f>Sales[Product_ID]</f>
        <v>PROD92</v>
      </c>
      <c r="I1506" s="21" t="str">
        <f>VLOOKUP(H1506,Products[],2)</f>
        <v>Microwave Oven</v>
      </c>
      <c r="J1506" s="24">
        <f>Sales[Total_Amount]</f>
        <v>2017.5012</v>
      </c>
      <c r="K1506" s="21" t="str">
        <f t="shared" si="1"/>
        <v>Oct</v>
      </c>
      <c r="L1506" s="21">
        <f t="shared" si="2"/>
        <v>2025</v>
      </c>
      <c r="N1506" s="33"/>
      <c r="O1506" s="34"/>
    </row>
    <row r="1507" ht="22.5" customHeight="1">
      <c r="A1507" s="21" t="s">
        <v>3472</v>
      </c>
      <c r="B1507" s="21" t="s">
        <v>222</v>
      </c>
      <c r="C1507" s="21" t="str">
        <f t="array" ref="C1507">XLOOKUP(B1507,Customer[Customer_ID],Customer[Name(Cleaned)])</f>
        <v>Jay Patel</v>
      </c>
      <c r="D1507" s="22" t="str">
        <f>VLOOKUP(B1507,Customer[#ALL],6)</f>
        <v>Male</v>
      </c>
      <c r="E1507" s="23">
        <f>Sales[Order_Date]</f>
        <v>45822</v>
      </c>
      <c r="F1507" s="21" t="str">
        <f>Sales[Store_ID]</f>
        <v>STORE14</v>
      </c>
      <c r="G1507" s="21" t="str">
        <f t="array" ref="G1507">INDEX(Store[Store_Name],MATCH(F1507,Store[Store_ID],0))</f>
        <v>Mcdonald Inc</v>
      </c>
      <c r="H1507" s="21" t="str">
        <f>Sales[Product_ID]</f>
        <v>PROD38</v>
      </c>
      <c r="I1507" s="21" t="str">
        <f>VLOOKUP(H1507,Products[],2)</f>
        <v>Sports Water Hydration Pack</v>
      </c>
      <c r="J1507" s="24">
        <f>Sales[Total_Amount]</f>
        <v>1267.1328</v>
      </c>
      <c r="K1507" s="21" t="str">
        <f t="shared" si="1"/>
        <v>Jun</v>
      </c>
      <c r="L1507" s="21">
        <f t="shared" si="2"/>
        <v>2025</v>
      </c>
      <c r="N1507" s="33"/>
      <c r="O1507" s="34"/>
    </row>
    <row r="1508" ht="22.5" customHeight="1">
      <c r="A1508" s="21" t="s">
        <v>3473</v>
      </c>
      <c r="B1508" s="21" t="s">
        <v>875</v>
      </c>
      <c r="C1508" s="21" t="str">
        <f t="array" ref="C1508">XLOOKUP(B1508,Customer[Customer_ID],Customer[Name(Cleaned)])</f>
        <v>Brian Garcia</v>
      </c>
      <c r="D1508" s="22" t="str">
        <f>VLOOKUP(B1508,Customer[#ALL],6)</f>
        <v>Male</v>
      </c>
      <c r="E1508" s="23">
        <f>Sales[Order_Date]</f>
        <v>45752</v>
      </c>
      <c r="F1508" s="21" t="str">
        <f>Sales[Store_ID]</f>
        <v>STORE15</v>
      </c>
      <c r="G1508" s="21" t="str">
        <f t="array" ref="G1508">INDEX(Store[Store_Name],MATCH(F1508,Store[Store_ID],0))</f>
        <v>Shelton PLC</v>
      </c>
      <c r="H1508" s="21" t="str">
        <f>Sales[Product_ID]</f>
        <v>PROD19</v>
      </c>
      <c r="I1508" s="21" t="str">
        <f>VLOOKUP(H1508,Products[],2)</f>
        <v>Knee Support Brace</v>
      </c>
      <c r="J1508" s="24">
        <f>Sales[Total_Amount]</f>
        <v>1548.177</v>
      </c>
      <c r="K1508" s="21" t="str">
        <f t="shared" si="1"/>
        <v>Apr</v>
      </c>
      <c r="L1508" s="21">
        <f t="shared" si="2"/>
        <v>2025</v>
      </c>
      <c r="N1508" s="33"/>
      <c r="O1508" s="34"/>
    </row>
    <row r="1509" ht="22.5" customHeight="1">
      <c r="A1509" s="21" t="s">
        <v>3474</v>
      </c>
      <c r="B1509" s="21" t="s">
        <v>899</v>
      </c>
      <c r="C1509" s="21" t="str">
        <f t="array" ref="C1509">XLOOKUP(B1509,Customer[Customer_ID],Customer[Name(Cleaned)])</f>
        <v>Stephen Fowler</v>
      </c>
      <c r="D1509" s="22" t="str">
        <f>VLOOKUP(B1509,Customer[#ALL],6)</f>
        <v>Male</v>
      </c>
      <c r="E1509" s="23">
        <f>Sales[Order_Date]</f>
        <v>45677</v>
      </c>
      <c r="F1509" s="21" t="str">
        <f>Sales[Store_ID]</f>
        <v>STORE2</v>
      </c>
      <c r="G1509" s="21" t="str">
        <f t="array" ref="G1509">INDEX(Store[Store_Name],MATCH(F1509,Store[Store_ID],0))</f>
        <v>Black-Horn</v>
      </c>
      <c r="H1509" s="21" t="str">
        <f>Sales[Product_ID]</f>
        <v>PROD88</v>
      </c>
      <c r="I1509" s="21" t="str">
        <f>VLOOKUP(H1509,Products[],2)</f>
        <v>Sports Wrist Sweatbands</v>
      </c>
      <c r="J1509" s="24">
        <f>Sales[Total_Amount]</f>
        <v>1824.2928</v>
      </c>
      <c r="K1509" s="21" t="str">
        <f t="shared" si="1"/>
        <v>Jan</v>
      </c>
      <c r="L1509" s="21">
        <f t="shared" si="2"/>
        <v>2025</v>
      </c>
      <c r="N1509" s="33"/>
      <c r="O1509" s="34"/>
    </row>
    <row r="1510" ht="22.5" customHeight="1">
      <c r="A1510" s="21" t="s">
        <v>3475</v>
      </c>
      <c r="B1510" s="21" t="s">
        <v>322</v>
      </c>
      <c r="C1510" s="21" t="str">
        <f t="array" ref="C1510">XLOOKUP(B1510,Customer[Customer_ID],Customer[Name(Cleaned)])</f>
        <v>Melissa Duffy Md</v>
      </c>
      <c r="D1510" s="22" t="str">
        <f>VLOOKUP(B1510,Customer[#ALL],6)</f>
        <v>Male</v>
      </c>
      <c r="E1510" s="23">
        <f>Sales[Order_Date]</f>
        <v>45253</v>
      </c>
      <c r="F1510" s="21" t="str">
        <f>Sales[Store_ID]</f>
        <v>STORE17</v>
      </c>
      <c r="G1510" s="21" t="str">
        <f t="array" ref="G1510">INDEX(Store[Store_Name],MATCH(F1510,Store[Store_ID],0))</f>
        <v>Holloway Ltd</v>
      </c>
      <c r="H1510" s="21" t="str">
        <f>Sales[Product_ID]</f>
        <v>PROD86</v>
      </c>
      <c r="I1510" s="21" t="str">
        <f>VLOOKUP(H1510,Products[],2)</f>
        <v>Kitchen Cutting Board</v>
      </c>
      <c r="J1510" s="24">
        <f>Sales[Total_Amount]</f>
        <v>1111.0344</v>
      </c>
      <c r="K1510" s="21" t="str">
        <f t="shared" si="1"/>
        <v>Nov</v>
      </c>
      <c r="L1510" s="21">
        <f t="shared" si="2"/>
        <v>2023</v>
      </c>
      <c r="N1510" s="33"/>
      <c r="O1510" s="34"/>
    </row>
    <row r="1511" ht="22.5" customHeight="1">
      <c r="A1511" s="21" t="s">
        <v>3476</v>
      </c>
      <c r="B1511" s="21" t="s">
        <v>238</v>
      </c>
      <c r="C1511" s="21" t="str">
        <f t="array" ref="C1511">XLOOKUP(B1511,Customer[Customer_ID],Customer[Name(Cleaned)])</f>
        <v>James Bean</v>
      </c>
      <c r="D1511" s="22" t="str">
        <f>VLOOKUP(B1511,Customer[#ALL],6)</f>
        <v>Female</v>
      </c>
      <c r="E1511" s="23">
        <f>Sales[Order_Date]</f>
        <v>45389</v>
      </c>
      <c r="F1511" s="21" t="str">
        <f>Sales[Store_ID]</f>
        <v>STORE16</v>
      </c>
      <c r="G1511" s="21" t="str">
        <f t="array" ref="G1511">INDEX(Store[Store_Name],MATCH(F1511,Store[Store_ID],0))</f>
        <v>Frederick-Wright</v>
      </c>
      <c r="H1511" s="21" t="str">
        <f>Sales[Product_ID]</f>
        <v>PROD84</v>
      </c>
      <c r="I1511" s="21" t="str">
        <f>VLOOKUP(H1511,Products[],2)</f>
        <v>Wooden Bookshelf</v>
      </c>
      <c r="J1511" s="24">
        <f>Sales[Total_Amount]</f>
        <v>1043.328</v>
      </c>
      <c r="K1511" s="21" t="str">
        <f t="shared" si="1"/>
        <v>Apr</v>
      </c>
      <c r="L1511" s="21">
        <f t="shared" si="2"/>
        <v>2024</v>
      </c>
      <c r="N1511" s="33"/>
      <c r="O1511" s="34"/>
    </row>
    <row r="1512" ht="22.5" customHeight="1">
      <c r="A1512" s="21" t="s">
        <v>3477</v>
      </c>
      <c r="B1512" s="21" t="s">
        <v>380</v>
      </c>
      <c r="C1512" s="21" t="str">
        <f t="array" ref="C1512">XLOOKUP(B1512,Customer[Customer_ID],Customer[Name(Cleaned)])</f>
        <v>Lance Baker</v>
      </c>
      <c r="D1512" s="22" t="str">
        <f>VLOOKUP(B1512,Customer[#ALL],6)</f>
        <v>Male</v>
      </c>
      <c r="E1512" s="23">
        <f>Sales[Order_Date]</f>
        <v>45840</v>
      </c>
      <c r="F1512" s="21" t="str">
        <f>Sales[Store_ID]</f>
        <v>STORE13</v>
      </c>
      <c r="G1512" s="21" t="str">
        <f t="array" ref="G1512">INDEX(Store[Store_Name],MATCH(F1512,Store[Store_ID],0))</f>
        <v>Gardner, Humphrey and Contreras</v>
      </c>
      <c r="H1512" s="21" t="str">
        <f>Sales[Product_ID]</f>
        <v>PROD13</v>
      </c>
      <c r="I1512" s="21" t="str">
        <f>VLOOKUP(H1512,Products[],2)</f>
        <v>USB-C Fast Charger</v>
      </c>
      <c r="J1512" s="24">
        <f>Sales[Total_Amount]</f>
        <v>1553.7024</v>
      </c>
      <c r="K1512" s="21" t="str">
        <f t="shared" si="1"/>
        <v>Jul</v>
      </c>
      <c r="L1512" s="21">
        <f t="shared" si="2"/>
        <v>2025</v>
      </c>
      <c r="N1512" s="33"/>
      <c r="O1512" s="34"/>
    </row>
    <row r="1513" ht="22.5" customHeight="1">
      <c r="A1513" s="21" t="s">
        <v>3478</v>
      </c>
      <c r="B1513" s="21" t="s">
        <v>1230</v>
      </c>
      <c r="C1513" s="21" t="str">
        <f t="array" ref="C1513">XLOOKUP(B1513,Customer[Customer_ID],Customer[Name(Cleaned)])</f>
        <v>Cynthia Lopez</v>
      </c>
      <c r="D1513" s="22" t="str">
        <f>VLOOKUP(B1513,Customer[#ALL],6)</f>
        <v>Female</v>
      </c>
      <c r="E1513" s="23">
        <f>Sales[Order_Date]</f>
        <v>45256</v>
      </c>
      <c r="F1513" s="21" t="str">
        <f>Sales[Store_ID]</f>
        <v>STORE16</v>
      </c>
      <c r="G1513" s="21" t="str">
        <f t="array" ref="G1513">INDEX(Store[Store_Name],MATCH(F1513,Store[Store_ID],0))</f>
        <v>Frederick-Wright</v>
      </c>
      <c r="H1513" s="21" t="str">
        <f>Sales[Product_ID]</f>
        <v>PROD91</v>
      </c>
      <c r="I1513" s="21" t="str">
        <f>VLOOKUP(H1513,Products[],2)</f>
        <v>Women's High Heels</v>
      </c>
      <c r="J1513" s="24">
        <f>Sales[Total_Amount]</f>
        <v>484.6023</v>
      </c>
      <c r="K1513" s="21" t="str">
        <f t="shared" si="1"/>
        <v>Nov</v>
      </c>
      <c r="L1513" s="21">
        <f t="shared" si="2"/>
        <v>2023</v>
      </c>
      <c r="N1513" s="33"/>
      <c r="O1513" s="34"/>
    </row>
    <row r="1514" ht="22.5" customHeight="1">
      <c r="A1514" s="21" t="s">
        <v>3479</v>
      </c>
      <c r="B1514" s="21" t="s">
        <v>300</v>
      </c>
      <c r="C1514" s="21" t="str">
        <f t="array" ref="C1514">XLOOKUP(B1514,Customer[Customer_ID],Customer[Name(Cleaned)])</f>
        <v>Jennifer Garcia</v>
      </c>
      <c r="D1514" s="22" t="str">
        <f>VLOOKUP(B1514,Customer[#ALL],6)</f>
        <v>Male</v>
      </c>
      <c r="E1514" s="23">
        <f>Sales[Order_Date]</f>
        <v>45282</v>
      </c>
      <c r="F1514" s="21" t="str">
        <f>Sales[Store_ID]</f>
        <v>STORE6</v>
      </c>
      <c r="G1514" s="21" t="str">
        <f t="array" ref="G1514">INDEX(Store[Store_Name],MATCH(F1514,Store[Store_ID],0))</f>
        <v>Benson-Elliott</v>
      </c>
      <c r="H1514" s="21" t="str">
        <f>Sales[Product_ID]</f>
        <v>PROD34</v>
      </c>
      <c r="I1514" s="21" t="str">
        <f>VLOOKUP(H1514,Products[],2)</f>
        <v>Gaming Mechanical Keyboard</v>
      </c>
      <c r="J1514" s="24">
        <f>Sales[Total_Amount]</f>
        <v>1567.356</v>
      </c>
      <c r="K1514" s="21" t="str">
        <f t="shared" si="1"/>
        <v>Dec</v>
      </c>
      <c r="L1514" s="21">
        <f t="shared" si="2"/>
        <v>2023</v>
      </c>
      <c r="N1514" s="33"/>
      <c r="O1514" s="34"/>
    </row>
    <row r="1515" ht="22.5" customHeight="1">
      <c r="A1515" s="21" t="s">
        <v>3480</v>
      </c>
      <c r="B1515" s="21" t="s">
        <v>631</v>
      </c>
      <c r="C1515" s="21" t="str">
        <f t="array" ref="C1515">XLOOKUP(B1515,Customer[Customer_ID],Customer[Name(Cleaned)])</f>
        <v>Kimberly Brooks</v>
      </c>
      <c r="D1515" s="22" t="str">
        <f>VLOOKUP(B1515,Customer[#ALL],6)</f>
        <v>Female</v>
      </c>
      <c r="E1515" s="23">
        <f>Sales[Order_Date]</f>
        <v>45326</v>
      </c>
      <c r="F1515" s="21" t="str">
        <f>Sales[Store_ID]</f>
        <v>STORE8</v>
      </c>
      <c r="G1515" s="21" t="str">
        <f t="array" ref="G1515">INDEX(Store[Store_Name],MATCH(F1515,Store[Store_ID],0))</f>
        <v>Bean, Jones and Park</v>
      </c>
      <c r="H1515" s="21" t="str">
        <f>Sales[Product_ID]</f>
        <v>PROD30</v>
      </c>
      <c r="I1515" s="21" t="str">
        <f>VLOOKUP(H1515,Products[],2)</f>
        <v>Stainless Steel Cutlery Set</v>
      </c>
      <c r="J1515" s="24">
        <f>Sales[Total_Amount]</f>
        <v>792.096</v>
      </c>
      <c r="K1515" s="21" t="str">
        <f t="shared" si="1"/>
        <v>Feb</v>
      </c>
      <c r="L1515" s="21">
        <f t="shared" si="2"/>
        <v>2024</v>
      </c>
      <c r="N1515" s="33"/>
      <c r="O1515" s="34"/>
    </row>
    <row r="1516" ht="22.5" customHeight="1">
      <c r="A1516" s="21" t="s">
        <v>3481</v>
      </c>
      <c r="B1516" s="21" t="s">
        <v>613</v>
      </c>
      <c r="C1516" s="21" t="str">
        <f t="array" ref="C1516">XLOOKUP(B1516,Customer[Customer_ID],Customer[Name(Cleaned)])</f>
        <v>Melissa Hamilton</v>
      </c>
      <c r="D1516" s="22" t="str">
        <f>VLOOKUP(B1516,Customer[#ALL],6)</f>
        <v>Male</v>
      </c>
      <c r="E1516" s="23">
        <f>Sales[Order_Date]</f>
        <v>45459</v>
      </c>
      <c r="F1516" s="21" t="str">
        <f>Sales[Store_ID]</f>
        <v>STORE17</v>
      </c>
      <c r="G1516" s="21" t="str">
        <f t="array" ref="G1516">INDEX(Store[Store_Name],MATCH(F1516,Store[Store_ID],0))</f>
        <v>Holloway Ltd</v>
      </c>
      <c r="H1516" s="21" t="str">
        <f>Sales[Product_ID]</f>
        <v>PROD11</v>
      </c>
      <c r="I1516" s="21" t="str">
        <f>VLOOKUP(H1516,Products[],2)</f>
        <v>Men's Graphic T-Shirt</v>
      </c>
      <c r="J1516" s="24">
        <f>Sales[Total_Amount]</f>
        <v>1528.4588</v>
      </c>
      <c r="K1516" s="21" t="str">
        <f t="shared" si="1"/>
        <v>Jun</v>
      </c>
      <c r="L1516" s="21">
        <f t="shared" si="2"/>
        <v>2024</v>
      </c>
      <c r="N1516" s="33"/>
      <c r="O1516" s="34"/>
    </row>
    <row r="1517" ht="22.5" customHeight="1">
      <c r="A1517" s="21" t="s">
        <v>3482</v>
      </c>
      <c r="B1517" s="21" t="s">
        <v>118</v>
      </c>
      <c r="C1517" s="21" t="str">
        <f t="array" ref="C1517">XLOOKUP(B1517,Customer[Customer_ID],Customer[Name(Cleaned)])</f>
        <v>Amber Carlson</v>
      </c>
      <c r="D1517" s="22" t="str">
        <f>VLOOKUP(B1517,Customer[#ALL],6)</f>
        <v>Male</v>
      </c>
      <c r="E1517" s="23">
        <f>Sales[Order_Date]</f>
        <v>45715</v>
      </c>
      <c r="F1517" s="21" t="str">
        <f>Sales[Store_ID]</f>
        <v>STORE2</v>
      </c>
      <c r="G1517" s="21" t="str">
        <f t="array" ref="G1517">INDEX(Store[Store_Name],MATCH(F1517,Store[Store_ID],0))</f>
        <v>Black-Horn</v>
      </c>
      <c r="H1517" s="21" t="str">
        <f>Sales[Product_ID]</f>
        <v>PROD1</v>
      </c>
      <c r="I1517" s="21" t="str">
        <f>VLOOKUP(H1517,Products[],2)</f>
        <v>Men's Graphic T-Shirt</v>
      </c>
      <c r="J1517" s="24">
        <f>Sales[Total_Amount]</f>
        <v>794.624</v>
      </c>
      <c r="K1517" s="21" t="str">
        <f t="shared" si="1"/>
        <v>Feb</v>
      </c>
      <c r="L1517" s="21">
        <f t="shared" si="2"/>
        <v>2025</v>
      </c>
      <c r="N1517" s="33"/>
      <c r="O1517" s="34"/>
    </row>
    <row r="1518" ht="22.5" customHeight="1">
      <c r="A1518" s="21" t="s">
        <v>3483</v>
      </c>
      <c r="B1518" s="21" t="s">
        <v>62</v>
      </c>
      <c r="C1518" s="21" t="str">
        <f t="array" ref="C1518">XLOOKUP(B1518,Customer[Customer_ID],Customer[Name(Cleaned)])</f>
        <v>Brian Lopez</v>
      </c>
      <c r="D1518" s="22" t="str">
        <f>VLOOKUP(B1518,Customer[#ALL],6)</f>
        <v>Male</v>
      </c>
      <c r="E1518" s="23">
        <f>Sales[Order_Date]</f>
        <v>45223</v>
      </c>
      <c r="F1518" s="21" t="str">
        <f>Sales[Store_ID]</f>
        <v>STORE3</v>
      </c>
      <c r="G1518" s="21" t="str">
        <f t="array" ref="G1518">INDEX(Store[Store_Name],MATCH(F1518,Store[Store_ID],0))</f>
        <v>Johnson-Wright</v>
      </c>
      <c r="H1518" s="21" t="str">
        <f>Sales[Product_ID]</f>
        <v>PROD3</v>
      </c>
      <c r="I1518" s="21" t="str">
        <f>VLOOKUP(H1518,Products[],2)</f>
        <v>Fabric Sofa Throw Blanket</v>
      </c>
      <c r="J1518" s="24">
        <f>Sales[Total_Amount]</f>
        <v>2163.1104</v>
      </c>
      <c r="K1518" s="21" t="str">
        <f t="shared" si="1"/>
        <v>Oct</v>
      </c>
      <c r="L1518" s="21">
        <f t="shared" si="2"/>
        <v>2023</v>
      </c>
      <c r="N1518" s="33"/>
      <c r="O1518" s="34"/>
    </row>
    <row r="1519" ht="22.5" customHeight="1">
      <c r="A1519" s="21" t="s">
        <v>3484</v>
      </c>
      <c r="B1519" s="21" t="s">
        <v>1413</v>
      </c>
      <c r="C1519" s="21" t="str">
        <f t="array" ref="C1519">XLOOKUP(B1519,Customer[Customer_ID],Customer[Name(Cleaned)])</f>
        <v>Jeffery Wolf</v>
      </c>
      <c r="D1519" s="22" t="str">
        <f>VLOOKUP(B1519,Customer[#ALL],6)</f>
        <v>Male</v>
      </c>
      <c r="E1519" s="23">
        <f>Sales[Order_Date]</f>
        <v>45507</v>
      </c>
      <c r="F1519" s="21" t="str">
        <f>Sales[Store_ID]</f>
        <v>STORE7</v>
      </c>
      <c r="G1519" s="21" t="str">
        <f t="array" ref="G1519">INDEX(Store[Store_Name],MATCH(F1519,Store[Store_ID],0))</f>
        <v>Martinez-Mullins</v>
      </c>
      <c r="H1519" s="21" t="str">
        <f>Sales[Product_ID]</f>
        <v>PROD59</v>
      </c>
      <c r="I1519" s="21" t="str">
        <f>VLOOKUP(H1519,Products[],2)</f>
        <v>Men's Hair Styling Gel</v>
      </c>
      <c r="J1519" s="24">
        <f>Sales[Total_Amount]</f>
        <v>2509.2</v>
      </c>
      <c r="K1519" s="21" t="str">
        <f t="shared" si="1"/>
        <v>Aug</v>
      </c>
      <c r="L1519" s="21">
        <f t="shared" si="2"/>
        <v>2024</v>
      </c>
      <c r="N1519" s="33"/>
      <c r="O1519" s="34"/>
    </row>
    <row r="1520" ht="22.5" customHeight="1">
      <c r="A1520" s="21" t="s">
        <v>3485</v>
      </c>
      <c r="B1520" s="21" t="s">
        <v>513</v>
      </c>
      <c r="C1520" s="21" t="str">
        <f t="array" ref="C1520">XLOOKUP(B1520,Customer[Customer_ID],Customer[Name(Cleaned)])</f>
        <v>Denise Griffin</v>
      </c>
      <c r="D1520" s="22" t="str">
        <f>VLOOKUP(B1520,Customer[#ALL],6)</f>
        <v>Female</v>
      </c>
      <c r="E1520" s="23">
        <f>Sales[Order_Date]</f>
        <v>45843</v>
      </c>
      <c r="F1520" s="21" t="str">
        <f>Sales[Store_ID]</f>
        <v>STORE12</v>
      </c>
      <c r="G1520" s="21" t="str">
        <f t="array" ref="G1520">INDEX(Store[Store_Name],MATCH(F1520,Store[Store_ID],0))</f>
        <v>Thomas, Bridges and Harris</v>
      </c>
      <c r="H1520" s="21" t="str">
        <f>Sales[Product_ID]</f>
        <v>PROD90</v>
      </c>
      <c r="I1520" s="21" t="str">
        <f>VLOOKUP(H1520,Products[],2)</f>
        <v>Gaming Mouse Pad XL</v>
      </c>
      <c r="J1520" s="24">
        <f>Sales[Total_Amount]</f>
        <v>764.5568</v>
      </c>
      <c r="K1520" s="21" t="str">
        <f t="shared" si="1"/>
        <v>Jul</v>
      </c>
      <c r="L1520" s="21">
        <f t="shared" si="2"/>
        <v>2025</v>
      </c>
      <c r="N1520" s="33"/>
      <c r="O1520" s="34"/>
    </row>
    <row r="1521" ht="22.5" customHeight="1">
      <c r="A1521" s="21" t="s">
        <v>3486</v>
      </c>
      <c r="B1521" s="21" t="s">
        <v>1465</v>
      </c>
      <c r="C1521" s="21" t="str">
        <f t="array" ref="C1521">XLOOKUP(B1521,Customer[Customer_ID],Customer[Name(Cleaned)])</f>
        <v>Manuel Fisher</v>
      </c>
      <c r="D1521" s="22" t="str">
        <f>VLOOKUP(B1521,Customer[#ALL],6)</f>
        <v>Male</v>
      </c>
      <c r="E1521" s="23">
        <f>Sales[Order_Date]</f>
        <v>45804</v>
      </c>
      <c r="F1521" s="21" t="str">
        <f>Sales[Store_ID]</f>
        <v>STORE13</v>
      </c>
      <c r="G1521" s="21" t="str">
        <f t="array" ref="G1521">INDEX(Store[Store_Name],MATCH(F1521,Store[Store_ID],0))</f>
        <v>Gardner, Humphrey and Contreras</v>
      </c>
      <c r="H1521" s="21" t="str">
        <f>Sales[Product_ID]</f>
        <v>PROD46</v>
      </c>
      <c r="I1521" s="21" t="str">
        <f>VLOOKUP(H1521,Products[],2)</f>
        <v>Men's Winter Jacket</v>
      </c>
      <c r="J1521" s="24">
        <f>Sales[Total_Amount]</f>
        <v>1331.4912</v>
      </c>
      <c r="K1521" s="21" t="str">
        <f t="shared" si="1"/>
        <v>May</v>
      </c>
      <c r="L1521" s="21">
        <f t="shared" si="2"/>
        <v>2025</v>
      </c>
      <c r="N1521" s="33"/>
      <c r="O1521" s="34"/>
    </row>
    <row r="1522" ht="22.5" customHeight="1">
      <c r="A1522" s="21" t="s">
        <v>3487</v>
      </c>
      <c r="B1522" s="21" t="s">
        <v>1413</v>
      </c>
      <c r="C1522" s="21" t="str">
        <f t="array" ref="C1522">XLOOKUP(B1522,Customer[Customer_ID],Customer[Name(Cleaned)])</f>
        <v>Jeffery Wolf</v>
      </c>
      <c r="D1522" s="22" t="str">
        <f>VLOOKUP(B1522,Customer[#ALL],6)</f>
        <v>Male</v>
      </c>
      <c r="E1522" s="23">
        <f>Sales[Order_Date]</f>
        <v>45602</v>
      </c>
      <c r="F1522" s="21" t="str">
        <f>Sales[Store_ID]</f>
        <v>STORE2</v>
      </c>
      <c r="G1522" s="21" t="str">
        <f t="array" ref="G1522">INDEX(Store[Store_Name],MATCH(F1522,Store[Store_ID],0))</f>
        <v>Black-Horn</v>
      </c>
      <c r="H1522" s="21" t="str">
        <f>Sales[Product_ID]</f>
        <v>PROD63</v>
      </c>
      <c r="I1522" s="21" t="str">
        <f>VLOOKUP(H1522,Products[],2)</f>
        <v>Organic Sunscreen Lotion</v>
      </c>
      <c r="J1522" s="24">
        <f>Sales[Total_Amount]</f>
        <v>1005.6288</v>
      </c>
      <c r="K1522" s="21" t="str">
        <f t="shared" si="1"/>
        <v>Nov</v>
      </c>
      <c r="L1522" s="21">
        <f t="shared" si="2"/>
        <v>2024</v>
      </c>
      <c r="N1522" s="33"/>
      <c r="O1522" s="34"/>
    </row>
    <row r="1523" ht="22.5" customHeight="1">
      <c r="A1523" s="21" t="s">
        <v>3488</v>
      </c>
      <c r="B1523" s="21" t="s">
        <v>1047</v>
      </c>
      <c r="C1523" s="21" t="str">
        <f t="array" ref="C1523">XLOOKUP(B1523,Customer[Customer_ID],Customer[Name(Cleaned)])</f>
        <v>Mario Harvey Jr.</v>
      </c>
      <c r="D1523" s="22" t="str">
        <f>VLOOKUP(B1523,Customer[#ALL],6)</f>
        <v>Female</v>
      </c>
      <c r="E1523" s="23">
        <f>Sales[Order_Date]</f>
        <v>45446</v>
      </c>
      <c r="F1523" s="21" t="str">
        <f>Sales[Store_ID]</f>
        <v>STORE6</v>
      </c>
      <c r="G1523" s="21" t="str">
        <f t="array" ref="G1523">INDEX(Store[Store_Name],MATCH(F1523,Store[Store_ID],0))</f>
        <v>Benson-Elliott</v>
      </c>
      <c r="H1523" s="21" t="str">
        <f>Sales[Product_ID]</f>
        <v>PROD20</v>
      </c>
      <c r="I1523" s="21" t="str">
        <f>VLOOKUP(H1523,Products[],2)</f>
        <v>Outdoor Sports Water Bottle</v>
      </c>
      <c r="J1523" s="24">
        <f>Sales[Total_Amount]</f>
        <v>1451.7328</v>
      </c>
      <c r="K1523" s="21" t="str">
        <f t="shared" si="1"/>
        <v>Jun</v>
      </c>
      <c r="L1523" s="21">
        <f t="shared" si="2"/>
        <v>2024</v>
      </c>
      <c r="N1523" s="33"/>
      <c r="O1523" s="34"/>
    </row>
    <row r="1524" ht="22.5" customHeight="1">
      <c r="A1524" s="21" t="s">
        <v>3489</v>
      </c>
      <c r="B1524" s="21" t="s">
        <v>380</v>
      </c>
      <c r="C1524" s="21" t="str">
        <f t="array" ref="C1524">XLOOKUP(B1524,Customer[Customer_ID],Customer[Name(Cleaned)])</f>
        <v>Lance Baker</v>
      </c>
      <c r="D1524" s="22" t="str">
        <f>VLOOKUP(B1524,Customer[#ALL],6)</f>
        <v>Male</v>
      </c>
      <c r="E1524" s="23">
        <f>Sales[Order_Date]</f>
        <v>45384</v>
      </c>
      <c r="F1524" s="21" t="str">
        <f>Sales[Store_ID]</f>
        <v>STORE9</v>
      </c>
      <c r="G1524" s="21" t="str">
        <f t="array" ref="G1524">INDEX(Store[Store_Name],MATCH(F1524,Store[Store_ID],0))</f>
        <v>Moore, Padilla and Butler</v>
      </c>
      <c r="H1524" s="21" t="str">
        <f>Sales[Product_ID]</f>
        <v>PROD56</v>
      </c>
      <c r="I1524" s="21" t="str">
        <f>VLOOKUP(H1524,Products[],2)</f>
        <v>Premium Blanket Throw</v>
      </c>
      <c r="J1524" s="24">
        <f>Sales[Total_Amount]</f>
        <v>1279.2354</v>
      </c>
      <c r="K1524" s="21" t="str">
        <f t="shared" si="1"/>
        <v>Apr</v>
      </c>
      <c r="L1524" s="21">
        <f t="shared" si="2"/>
        <v>2024</v>
      </c>
      <c r="N1524" s="33"/>
      <c r="O1524" s="34"/>
    </row>
    <row r="1525" ht="22.5" customHeight="1">
      <c r="A1525" s="21" t="s">
        <v>3490</v>
      </c>
      <c r="B1525" s="21" t="s">
        <v>1456</v>
      </c>
      <c r="C1525" s="21" t="str">
        <f t="array" ref="C1525">XLOOKUP(B1525,Customer[Customer_ID],Customer[Name(Cleaned)])</f>
        <v>Michael Foley</v>
      </c>
      <c r="D1525" s="22" t="str">
        <f>VLOOKUP(B1525,Customer[#ALL],6)</f>
        <v>Male</v>
      </c>
      <c r="E1525" s="23">
        <f>Sales[Order_Date]</f>
        <v>45462</v>
      </c>
      <c r="F1525" s="21" t="str">
        <f>Sales[Store_ID]</f>
        <v>STORE14</v>
      </c>
      <c r="G1525" s="21" t="str">
        <f t="array" ref="G1525">INDEX(Store[Store_Name],MATCH(F1525,Store[Store_ID],0))</f>
        <v>Mcdonald Inc</v>
      </c>
      <c r="H1525" s="21" t="str">
        <f>Sales[Product_ID]</f>
        <v>PROD47</v>
      </c>
      <c r="I1525" s="21" t="str">
        <f>VLOOKUP(H1525,Products[],2)</f>
        <v>Makeup Brush Set</v>
      </c>
      <c r="J1525" s="24">
        <f>Sales[Total_Amount]</f>
        <v>979.4304</v>
      </c>
      <c r="K1525" s="21" t="str">
        <f t="shared" si="1"/>
        <v>Jun</v>
      </c>
      <c r="L1525" s="21">
        <f t="shared" si="2"/>
        <v>2024</v>
      </c>
      <c r="N1525" s="33"/>
      <c r="O1525" s="34"/>
    </row>
    <row r="1526" ht="22.5" customHeight="1">
      <c r="A1526" s="21" t="s">
        <v>3491</v>
      </c>
      <c r="B1526" s="21" t="s">
        <v>1438</v>
      </c>
      <c r="C1526" s="21" t="str">
        <f t="array" ref="C1526">XLOOKUP(B1526,Customer[Customer_ID],Customer[Name(Cleaned)])</f>
        <v>Paul Cox</v>
      </c>
      <c r="D1526" s="22" t="str">
        <f>VLOOKUP(B1526,Customer[#ALL],6)</f>
        <v>Male</v>
      </c>
      <c r="E1526" s="23">
        <f>Sales[Order_Date]</f>
        <v>45348</v>
      </c>
      <c r="F1526" s="21" t="str">
        <f>Sales[Store_ID]</f>
        <v>STORE3</v>
      </c>
      <c r="G1526" s="21" t="str">
        <f t="array" ref="G1526">INDEX(Store[Store_Name],MATCH(F1526,Store[Store_ID],0))</f>
        <v>Johnson-Wright</v>
      </c>
      <c r="H1526" s="21" t="str">
        <f>Sales[Product_ID]</f>
        <v>PROD65</v>
      </c>
      <c r="I1526" s="21" t="str">
        <f>VLOOKUP(H1526,Products[],2)</f>
        <v>Adjustable Dumbbells 20kg</v>
      </c>
      <c r="J1526" s="24">
        <f>Sales[Total_Amount]</f>
        <v>808.6572</v>
      </c>
      <c r="K1526" s="21" t="str">
        <f t="shared" si="1"/>
        <v>Feb</v>
      </c>
      <c r="L1526" s="21">
        <f t="shared" si="2"/>
        <v>2024</v>
      </c>
      <c r="N1526" s="33"/>
      <c r="O1526" s="34"/>
    </row>
    <row r="1527" ht="22.5" customHeight="1">
      <c r="A1527" s="21" t="s">
        <v>3492</v>
      </c>
      <c r="B1527" s="21" t="s">
        <v>917</v>
      </c>
      <c r="C1527" s="21" t="str">
        <f t="array" ref="C1527">XLOOKUP(B1527,Customer[Customer_ID],Customer[Name(Cleaned)])</f>
        <v>Hunter Sutton</v>
      </c>
      <c r="D1527" s="22" t="str">
        <f>VLOOKUP(B1527,Customer[#ALL],6)</f>
        <v>Female</v>
      </c>
      <c r="E1527" s="23">
        <f>Sales[Order_Date]</f>
        <v>45688</v>
      </c>
      <c r="F1527" s="21" t="str">
        <f>Sales[Store_ID]</f>
        <v>STORE11</v>
      </c>
      <c r="G1527" s="21" t="str">
        <f t="array" ref="G1527">INDEX(Store[Store_Name],MATCH(F1527,Store[Store_ID],0))</f>
        <v>Aguirre-Keller</v>
      </c>
      <c r="H1527" s="21" t="str">
        <f>Sales[Product_ID]</f>
        <v>PROD18</v>
      </c>
      <c r="I1527" s="21" t="str">
        <f>VLOOKUP(H1527,Products[],2)</f>
        <v>Women's Denim Jeans</v>
      </c>
      <c r="J1527" s="24">
        <f>Sales[Total_Amount]</f>
        <v>964.7748</v>
      </c>
      <c r="K1527" s="21" t="str">
        <f t="shared" si="1"/>
        <v>Jan</v>
      </c>
      <c r="L1527" s="21">
        <f t="shared" si="2"/>
        <v>2025</v>
      </c>
      <c r="N1527" s="33"/>
      <c r="O1527" s="34"/>
    </row>
    <row r="1528" ht="22.5" customHeight="1">
      <c r="A1528" s="21" t="s">
        <v>3493</v>
      </c>
      <c r="B1528" s="21" t="s">
        <v>165</v>
      </c>
      <c r="C1528" s="21" t="str">
        <f t="array" ref="C1528">XLOOKUP(B1528,Customer[Customer_ID],Customer[Name(Cleaned)])</f>
        <v>Eric Vega</v>
      </c>
      <c r="D1528" s="22" t="str">
        <f>VLOOKUP(B1528,Customer[#ALL],6)</f>
        <v>Female</v>
      </c>
      <c r="E1528" s="23">
        <f>Sales[Order_Date]</f>
        <v>45249</v>
      </c>
      <c r="F1528" s="21" t="str">
        <f>Sales[Store_ID]</f>
        <v>STORE1</v>
      </c>
      <c r="G1528" s="21" t="str">
        <f t="array" ref="G1528">INDEX(Store[Store_Name],MATCH(F1528,Store[Store_ID],0))</f>
        <v>Martinez, Adkins and Johnson</v>
      </c>
      <c r="H1528" s="21" t="str">
        <f>Sales[Product_ID]</f>
        <v>PROD17</v>
      </c>
      <c r="I1528" s="21" t="str">
        <f>VLOOKUP(H1528,Products[],2)</f>
        <v>Soccer Training Cone Set</v>
      </c>
      <c r="J1528" s="24">
        <f>Sales[Total_Amount]</f>
        <v>787.7007</v>
      </c>
      <c r="K1528" s="21" t="str">
        <f t="shared" si="1"/>
        <v>Nov</v>
      </c>
      <c r="L1528" s="21">
        <f t="shared" si="2"/>
        <v>2023</v>
      </c>
      <c r="N1528" s="33"/>
      <c r="O1528" s="34"/>
    </row>
    <row r="1529" ht="22.5" customHeight="1">
      <c r="A1529" s="21" t="s">
        <v>3494</v>
      </c>
      <c r="B1529" s="21" t="s">
        <v>1209</v>
      </c>
      <c r="C1529" s="21" t="str">
        <f t="array" ref="C1529">XLOOKUP(B1529,Customer[Customer_ID],Customer[Name(Cleaned)])</f>
        <v>Martha Brown</v>
      </c>
      <c r="D1529" s="22" t="str">
        <f>VLOOKUP(B1529,Customer[#ALL],6)</f>
        <v>Male</v>
      </c>
      <c r="E1529" s="23">
        <f>Sales[Order_Date]</f>
        <v>45726</v>
      </c>
      <c r="F1529" s="21" t="str">
        <f>Sales[Store_ID]</f>
        <v>STORE19</v>
      </c>
      <c r="G1529" s="21" t="str">
        <f t="array" ref="G1529">INDEX(Store[Store_Name],MATCH(F1529,Store[Store_ID],0))</f>
        <v>Mann-Austin</v>
      </c>
      <c r="H1529" s="21" t="str">
        <f>Sales[Product_ID]</f>
        <v>PROD76</v>
      </c>
      <c r="I1529" s="21" t="str">
        <f>VLOOKUP(H1529,Products[],2)</f>
        <v>Wireless Mouse</v>
      </c>
      <c r="J1529" s="24">
        <f>Sales[Total_Amount]</f>
        <v>576.7944</v>
      </c>
      <c r="K1529" s="21" t="str">
        <f t="shared" si="1"/>
        <v>Mar</v>
      </c>
      <c r="L1529" s="21">
        <f t="shared" si="2"/>
        <v>2025</v>
      </c>
      <c r="N1529" s="33"/>
      <c r="O1529" s="34"/>
    </row>
    <row r="1530" ht="22.5" customHeight="1">
      <c r="A1530" s="21" t="s">
        <v>3495</v>
      </c>
      <c r="B1530" s="21" t="s">
        <v>1092</v>
      </c>
      <c r="C1530" s="21" t="str">
        <f t="array" ref="C1530">XLOOKUP(B1530,Customer[Customer_ID],Customer[Name(Cleaned)])</f>
        <v>Ryan Moore</v>
      </c>
      <c r="D1530" s="22" t="str">
        <f>VLOOKUP(B1530,Customer[#ALL],6)</f>
        <v>Female</v>
      </c>
      <c r="E1530" s="23">
        <f>Sales[Order_Date]</f>
        <v>45283</v>
      </c>
      <c r="F1530" s="21" t="str">
        <f>Sales[Store_ID]</f>
        <v>STORE7</v>
      </c>
      <c r="G1530" s="21" t="str">
        <f t="array" ref="G1530">INDEX(Store[Store_Name],MATCH(F1530,Store[Store_ID],0))</f>
        <v>Martinez-Mullins</v>
      </c>
      <c r="H1530" s="21" t="str">
        <f>Sales[Product_ID]</f>
        <v>PROD55</v>
      </c>
      <c r="I1530" s="21" t="str">
        <f>VLOOKUP(H1530,Products[],2)</f>
        <v>Ceramic Plant Pot</v>
      </c>
      <c r="J1530" s="24">
        <f>Sales[Total_Amount]</f>
        <v>1385.8368</v>
      </c>
      <c r="K1530" s="21" t="str">
        <f t="shared" si="1"/>
        <v>Dec</v>
      </c>
      <c r="L1530" s="21">
        <f t="shared" si="2"/>
        <v>2023</v>
      </c>
      <c r="N1530" s="33"/>
      <c r="O1530" s="34"/>
    </row>
    <row r="1531" ht="22.5" customHeight="1">
      <c r="A1531" s="21" t="s">
        <v>3496</v>
      </c>
      <c r="B1531" s="21" t="s">
        <v>776</v>
      </c>
      <c r="C1531" s="21" t="str">
        <f t="array" ref="C1531">XLOOKUP(B1531,Customer[Customer_ID],Customer[Name(Cleaned)])</f>
        <v>Wesley Short</v>
      </c>
      <c r="D1531" s="22" t="str">
        <f>VLOOKUP(B1531,Customer[#ALL],6)</f>
        <v>Male</v>
      </c>
      <c r="E1531" s="23">
        <f>Sales[Order_Date]</f>
        <v>45353</v>
      </c>
      <c r="F1531" s="21" t="str">
        <f>Sales[Store_ID]</f>
        <v>STORE19</v>
      </c>
      <c r="G1531" s="21" t="str">
        <f t="array" ref="G1531">INDEX(Store[Store_Name],MATCH(F1531,Store[Store_ID],0))</f>
        <v>Mann-Austin</v>
      </c>
      <c r="H1531" s="21" t="str">
        <f>Sales[Product_ID]</f>
        <v>PROD50</v>
      </c>
      <c r="I1531" s="21" t="str">
        <f>VLOOKUP(H1531,Products[],2)</f>
        <v>Boxing Hand Wraps</v>
      </c>
      <c r="J1531" s="24">
        <f>Sales[Total_Amount]</f>
        <v>918.9248</v>
      </c>
      <c r="K1531" s="21" t="str">
        <f t="shared" si="1"/>
        <v>Mar</v>
      </c>
      <c r="L1531" s="21">
        <f t="shared" si="2"/>
        <v>2024</v>
      </c>
      <c r="N1531" s="33"/>
      <c r="O1531" s="34"/>
    </row>
    <row r="1532" ht="22.5" customHeight="1">
      <c r="A1532" s="21" t="s">
        <v>3497</v>
      </c>
      <c r="B1532" s="21" t="s">
        <v>926</v>
      </c>
      <c r="C1532" s="21" t="str">
        <f t="array" ref="C1532">XLOOKUP(B1532,Customer[Customer_ID],Customer[Name(Cleaned)])</f>
        <v>Cynthia Roberts</v>
      </c>
      <c r="D1532" s="22" t="str">
        <f>VLOOKUP(B1532,Customer[#ALL],6)</f>
        <v>Male</v>
      </c>
      <c r="E1532" s="23">
        <f>Sales[Order_Date]</f>
        <v>45592</v>
      </c>
      <c r="F1532" s="21" t="str">
        <f>Sales[Store_ID]</f>
        <v>STORE13</v>
      </c>
      <c r="G1532" s="21" t="str">
        <f t="array" ref="G1532">INDEX(Store[Store_Name],MATCH(F1532,Store[Store_ID],0))</f>
        <v>Gardner, Humphrey and Contreras</v>
      </c>
      <c r="H1532" s="21" t="str">
        <f>Sales[Product_ID]</f>
        <v>PROD71</v>
      </c>
      <c r="I1532" s="21" t="str">
        <f>VLOOKUP(H1532,Products[],2)</f>
        <v>Hair Repair Oil Treatment</v>
      </c>
      <c r="J1532" s="24">
        <f>Sales[Total_Amount]</f>
        <v>922.361</v>
      </c>
      <c r="K1532" s="21" t="str">
        <f t="shared" si="1"/>
        <v>Oct</v>
      </c>
      <c r="L1532" s="21">
        <f t="shared" si="2"/>
        <v>2024</v>
      </c>
      <c r="N1532" s="33"/>
      <c r="O1532" s="34"/>
    </row>
    <row r="1533" ht="22.5" customHeight="1">
      <c r="A1533" s="21" t="s">
        <v>3498</v>
      </c>
      <c r="B1533" s="21" t="s">
        <v>47</v>
      </c>
      <c r="C1533" s="21" t="str">
        <f t="array" ref="C1533">XLOOKUP(B1533,Customer[Customer_ID],Customer[Name(Cleaned)])</f>
        <v>Daniel Boyd</v>
      </c>
      <c r="D1533" s="22" t="str">
        <f>VLOOKUP(B1533,Customer[#ALL],6)</f>
        <v>Male</v>
      </c>
      <c r="E1533" s="23">
        <f>Sales[Order_Date]</f>
        <v>45360</v>
      </c>
      <c r="F1533" s="21" t="str">
        <f>Sales[Store_ID]</f>
        <v>STORE2</v>
      </c>
      <c r="G1533" s="21" t="str">
        <f t="array" ref="G1533">INDEX(Store[Store_Name],MATCH(F1533,Store[Store_ID],0))</f>
        <v>Black-Horn</v>
      </c>
      <c r="H1533" s="21" t="str">
        <f>Sales[Product_ID]</f>
        <v>PROD88</v>
      </c>
      <c r="I1533" s="21" t="str">
        <f>VLOOKUP(H1533,Products[],2)</f>
        <v>Sports Wrist Sweatbands</v>
      </c>
      <c r="J1533" s="24">
        <f>Sales[Total_Amount]</f>
        <v>1451.7072</v>
      </c>
      <c r="K1533" s="21" t="str">
        <f t="shared" si="1"/>
        <v>Mar</v>
      </c>
      <c r="L1533" s="21">
        <f t="shared" si="2"/>
        <v>2024</v>
      </c>
      <c r="N1533" s="33"/>
      <c r="O1533" s="34"/>
    </row>
    <row r="1534" ht="22.5" customHeight="1">
      <c r="A1534" s="21" t="s">
        <v>3499</v>
      </c>
      <c r="B1534" s="21" t="s">
        <v>736</v>
      </c>
      <c r="C1534" s="21" t="str">
        <f t="array" ref="C1534">XLOOKUP(B1534,Customer[Customer_ID],Customer[Name(Cleaned)])</f>
        <v>Robert Harris</v>
      </c>
      <c r="D1534" s="22" t="str">
        <f>VLOOKUP(B1534,Customer[#ALL],6)</f>
        <v>Female</v>
      </c>
      <c r="E1534" s="23">
        <f>Sales[Order_Date]</f>
        <v>45649</v>
      </c>
      <c r="F1534" s="21" t="str">
        <f>Sales[Store_ID]</f>
        <v>STORE12</v>
      </c>
      <c r="G1534" s="21" t="str">
        <f t="array" ref="G1534">INDEX(Store[Store_Name],MATCH(F1534,Store[Store_ID],0))</f>
        <v>Thomas, Bridges and Harris</v>
      </c>
      <c r="H1534" s="21" t="str">
        <f>Sales[Product_ID]</f>
        <v>PROD81</v>
      </c>
      <c r="I1534" s="21" t="str">
        <f>VLOOKUP(H1534,Products[],2)</f>
        <v>Badminton Racket Set</v>
      </c>
      <c r="J1534" s="24">
        <f>Sales[Total_Amount]</f>
        <v>51.3026</v>
      </c>
      <c r="K1534" s="21" t="str">
        <f t="shared" si="1"/>
        <v>Dec</v>
      </c>
      <c r="L1534" s="21">
        <f t="shared" si="2"/>
        <v>2024</v>
      </c>
      <c r="N1534" s="33"/>
      <c r="O1534" s="34"/>
    </row>
    <row r="1535" ht="22.5" customHeight="1">
      <c r="A1535" s="21" t="s">
        <v>3500</v>
      </c>
      <c r="B1535" s="21" t="s">
        <v>475</v>
      </c>
      <c r="C1535" s="21" t="str">
        <f t="array" ref="C1535">XLOOKUP(B1535,Customer[Customer_ID],Customer[Name(Cleaned)])</f>
        <v>Patrick Coleman</v>
      </c>
      <c r="D1535" s="22" t="str">
        <f>VLOOKUP(B1535,Customer[#ALL],6)</f>
        <v>Female</v>
      </c>
      <c r="E1535" s="23">
        <f>Sales[Order_Date]</f>
        <v>45709</v>
      </c>
      <c r="F1535" s="21" t="str">
        <f>Sales[Store_ID]</f>
        <v>STORE7</v>
      </c>
      <c r="G1535" s="21" t="str">
        <f t="array" ref="G1535">INDEX(Store[Store_Name],MATCH(F1535,Store[Store_ID],0))</f>
        <v>Martinez-Mullins</v>
      </c>
      <c r="H1535" s="21" t="str">
        <f>Sales[Product_ID]</f>
        <v>PROD39</v>
      </c>
      <c r="I1535" s="21" t="str">
        <f>VLOOKUP(H1535,Products[],2)</f>
        <v>Portable Power Bank</v>
      </c>
      <c r="J1535" s="24">
        <f>Sales[Total_Amount]</f>
        <v>1015.32</v>
      </c>
      <c r="K1535" s="21" t="str">
        <f t="shared" si="1"/>
        <v>Feb</v>
      </c>
      <c r="L1535" s="21">
        <f t="shared" si="2"/>
        <v>2025</v>
      </c>
      <c r="N1535" s="33"/>
      <c r="O1535" s="34"/>
    </row>
    <row r="1536" ht="22.5" customHeight="1">
      <c r="A1536" s="21" t="s">
        <v>3501</v>
      </c>
      <c r="B1536" s="21" t="s">
        <v>1273</v>
      </c>
      <c r="C1536" s="21" t="str">
        <f t="array" ref="C1536">XLOOKUP(B1536,Customer[Customer_ID],Customer[Name(Cleaned)])</f>
        <v>David Ross</v>
      </c>
      <c r="D1536" s="22" t="str">
        <f>VLOOKUP(B1536,Customer[#ALL],6)</f>
        <v>Male</v>
      </c>
      <c r="E1536" s="23">
        <f>Sales[Order_Date]</f>
        <v>45633</v>
      </c>
      <c r="F1536" s="21" t="str">
        <f>Sales[Store_ID]</f>
        <v>STORE7</v>
      </c>
      <c r="G1536" s="21" t="str">
        <f t="array" ref="G1536">INDEX(Store[Store_Name],MATCH(F1536,Store[Store_ID],0))</f>
        <v>Martinez-Mullins</v>
      </c>
      <c r="H1536" s="21" t="str">
        <f>Sales[Product_ID]</f>
        <v>PROD15</v>
      </c>
      <c r="I1536" s="21" t="str">
        <f>VLOOKUP(H1536,Products[],2)</f>
        <v>4K Home Projector</v>
      </c>
      <c r="J1536" s="24">
        <f>Sales[Total_Amount]</f>
        <v>2552.3016</v>
      </c>
      <c r="K1536" s="21" t="str">
        <f t="shared" si="1"/>
        <v>Dec</v>
      </c>
      <c r="L1536" s="21">
        <f t="shared" si="2"/>
        <v>2024</v>
      </c>
      <c r="N1536" s="33"/>
      <c r="O1536" s="34"/>
    </row>
    <row r="1537" ht="22.5" customHeight="1">
      <c r="A1537" s="21" t="s">
        <v>3502</v>
      </c>
      <c r="B1537" s="21" t="s">
        <v>791</v>
      </c>
      <c r="C1537" s="21" t="str">
        <f t="array" ref="C1537">XLOOKUP(B1537,Customer[Customer_ID],Customer[Name(Cleaned)])</f>
        <v>William Jackson</v>
      </c>
      <c r="D1537" s="22" t="str">
        <f>VLOOKUP(B1537,Customer[#ALL],6)</f>
        <v>Male</v>
      </c>
      <c r="E1537" s="23">
        <f>Sales[Order_Date]</f>
        <v>45273</v>
      </c>
      <c r="F1537" s="21" t="str">
        <f>Sales[Store_ID]</f>
        <v>STORE4</v>
      </c>
      <c r="G1537" s="21" t="str">
        <f t="array" ref="G1537">INDEX(Store[Store_Name],MATCH(F1537,Store[Store_ID],0))</f>
        <v>Alexander Group</v>
      </c>
      <c r="H1537" s="21" t="str">
        <f>Sales[Product_ID]</f>
        <v>PROD81</v>
      </c>
      <c r="I1537" s="21" t="str">
        <f>VLOOKUP(H1537,Products[],2)</f>
        <v>Badminton Racket Set</v>
      </c>
      <c r="J1537" s="24">
        <f>Sales[Total_Amount]</f>
        <v>3756.8876</v>
      </c>
      <c r="K1537" s="21" t="str">
        <f t="shared" si="1"/>
        <v>Dec</v>
      </c>
      <c r="L1537" s="21">
        <f t="shared" si="2"/>
        <v>2023</v>
      </c>
      <c r="N1537" s="33"/>
      <c r="O1537" s="34"/>
    </row>
    <row r="1538" ht="22.5" customHeight="1">
      <c r="A1538" s="21" t="s">
        <v>3503</v>
      </c>
      <c r="B1538" s="21" t="s">
        <v>85</v>
      </c>
      <c r="C1538" s="21" t="str">
        <f t="array" ref="C1538">XLOOKUP(B1538,Customer[Customer_ID],Customer[Name(Cleaned)])</f>
        <v>Adam Cruz</v>
      </c>
      <c r="D1538" s="22" t="str">
        <f>VLOOKUP(B1538,Customer[#ALL],6)</f>
        <v>Male</v>
      </c>
      <c r="E1538" s="23">
        <f>Sales[Order_Date]</f>
        <v>45250</v>
      </c>
      <c r="F1538" s="21" t="str">
        <f>Sales[Store_ID]</f>
        <v>STORE5</v>
      </c>
      <c r="G1538" s="21" t="str">
        <f t="array" ref="G1538">INDEX(Store[Store_Name],MATCH(F1538,Store[Store_ID],0))</f>
        <v>Gray Ltd</v>
      </c>
      <c r="H1538" s="21" t="str">
        <f>Sales[Product_ID]</f>
        <v>PROD88</v>
      </c>
      <c r="I1538" s="21" t="str">
        <f>VLOOKUP(H1538,Products[],2)</f>
        <v>Sports Wrist Sweatbands</v>
      </c>
      <c r="J1538" s="24">
        <f>Sales[Total_Amount]</f>
        <v>1633.056</v>
      </c>
      <c r="K1538" s="21" t="str">
        <f t="shared" si="1"/>
        <v>Nov</v>
      </c>
      <c r="L1538" s="21">
        <f t="shared" si="2"/>
        <v>2023</v>
      </c>
      <c r="N1538" s="33"/>
      <c r="O1538" s="34"/>
    </row>
    <row r="1539" ht="22.5" customHeight="1">
      <c r="A1539" s="21" t="s">
        <v>3504</v>
      </c>
      <c r="B1539" s="21" t="s">
        <v>62</v>
      </c>
      <c r="C1539" s="21" t="str">
        <f t="array" ref="C1539">XLOOKUP(B1539,Customer[Customer_ID],Customer[Name(Cleaned)])</f>
        <v>Brian Lopez</v>
      </c>
      <c r="D1539" s="22" t="str">
        <f>VLOOKUP(B1539,Customer[#ALL],6)</f>
        <v>Male</v>
      </c>
      <c r="E1539" s="23">
        <f>Sales[Order_Date]</f>
        <v>45539</v>
      </c>
      <c r="F1539" s="21" t="str">
        <f>Sales[Store_ID]</f>
        <v>STORE19</v>
      </c>
      <c r="G1539" s="21" t="str">
        <f t="array" ref="G1539">INDEX(Store[Store_Name],MATCH(F1539,Store[Store_ID],0))</f>
        <v>Mann-Austin</v>
      </c>
      <c r="H1539" s="21" t="str">
        <f>Sales[Product_ID]</f>
        <v>PROD44</v>
      </c>
      <c r="I1539" s="21" t="str">
        <f>VLOOKUP(H1539,Products[],2)</f>
        <v>Adjustable Jump Rope</v>
      </c>
      <c r="J1539" s="24">
        <f>Sales[Total_Amount]</f>
        <v>257.0372</v>
      </c>
      <c r="K1539" s="21" t="str">
        <f t="shared" si="1"/>
        <v>Sep</v>
      </c>
      <c r="L1539" s="21">
        <f t="shared" si="2"/>
        <v>2024</v>
      </c>
      <c r="N1539" s="33"/>
      <c r="O1539" s="34"/>
    </row>
    <row r="1540" ht="22.5" customHeight="1">
      <c r="A1540" s="21" t="s">
        <v>3505</v>
      </c>
      <c r="B1540" s="21" t="s">
        <v>492</v>
      </c>
      <c r="C1540" s="21" t="str">
        <f t="array" ref="C1540">XLOOKUP(B1540,Customer[Customer_ID],Customer[Name(Cleaned)])</f>
        <v>Maria Ramirez</v>
      </c>
      <c r="D1540" s="22" t="str">
        <f>VLOOKUP(B1540,Customer[#ALL],6)</f>
        <v>Female</v>
      </c>
      <c r="E1540" s="23">
        <f>Sales[Order_Date]</f>
        <v>45810</v>
      </c>
      <c r="F1540" s="21" t="str">
        <f>Sales[Store_ID]</f>
        <v>STORE10</v>
      </c>
      <c r="G1540" s="21" t="str">
        <f t="array" ref="G1540">INDEX(Store[Store_Name],MATCH(F1540,Store[Store_ID],0))</f>
        <v>Hill, Wagner and Ballard</v>
      </c>
      <c r="H1540" s="21" t="str">
        <f>Sales[Product_ID]</f>
        <v>PROD99</v>
      </c>
      <c r="I1540" s="21" t="str">
        <f>VLOOKUP(H1540,Products[],2)</f>
        <v>Stainless Steel Cookware Set</v>
      </c>
      <c r="J1540" s="24">
        <f>Sales[Total_Amount]</f>
        <v>122.7324</v>
      </c>
      <c r="K1540" s="21" t="str">
        <f t="shared" si="1"/>
        <v>Jun</v>
      </c>
      <c r="L1540" s="21">
        <f t="shared" si="2"/>
        <v>2025</v>
      </c>
      <c r="N1540" s="33"/>
      <c r="O1540" s="34"/>
    </row>
    <row r="1541" ht="22.5" customHeight="1">
      <c r="A1541" s="21" t="s">
        <v>3506</v>
      </c>
      <c r="B1541" s="21" t="s">
        <v>1194</v>
      </c>
      <c r="C1541" s="21" t="str">
        <f t="array" ref="C1541">XLOOKUP(B1541,Customer[Customer_ID],Customer[Name(Cleaned)])</f>
        <v>Charles Conley</v>
      </c>
      <c r="D1541" s="22" t="str">
        <f>VLOOKUP(B1541,Customer[#ALL],6)</f>
        <v>Male</v>
      </c>
      <c r="E1541" s="23">
        <f>Sales[Order_Date]</f>
        <v>45350</v>
      </c>
      <c r="F1541" s="21" t="str">
        <f>Sales[Store_ID]</f>
        <v>STORE4</v>
      </c>
      <c r="G1541" s="21" t="str">
        <f t="array" ref="G1541">INDEX(Store[Store_Name],MATCH(F1541,Store[Store_ID],0))</f>
        <v>Alexander Group</v>
      </c>
      <c r="H1541" s="21" t="str">
        <f>Sales[Product_ID]</f>
        <v>PROD78</v>
      </c>
      <c r="I1541" s="21" t="str">
        <f>VLOOKUP(H1541,Products[],2)</f>
        <v>Essential Oil Diffuser</v>
      </c>
      <c r="J1541" s="24">
        <f>Sales[Total_Amount]</f>
        <v>31.239</v>
      </c>
      <c r="K1541" s="21" t="str">
        <f t="shared" si="1"/>
        <v>Feb</v>
      </c>
      <c r="L1541" s="21">
        <f t="shared" si="2"/>
        <v>2024</v>
      </c>
      <c r="N1541" s="33"/>
      <c r="O1541" s="34"/>
    </row>
    <row r="1542" ht="22.5" customHeight="1">
      <c r="A1542" s="21" t="s">
        <v>3507</v>
      </c>
      <c r="B1542" s="21" t="s">
        <v>752</v>
      </c>
      <c r="C1542" s="21" t="str">
        <f t="array" ref="C1542">XLOOKUP(B1542,Customer[Customer_ID],Customer[Name(Cleaned)])</f>
        <v>Tanner Thompson</v>
      </c>
      <c r="D1542" s="22" t="str">
        <f>VLOOKUP(B1542,Customer[#ALL],6)</f>
        <v>Male</v>
      </c>
      <c r="E1542" s="23">
        <f>Sales[Order_Date]</f>
        <v>45633</v>
      </c>
      <c r="F1542" s="21" t="str">
        <f>Sales[Store_ID]</f>
        <v>STORE1</v>
      </c>
      <c r="G1542" s="21" t="str">
        <f t="array" ref="G1542">INDEX(Store[Store_Name],MATCH(F1542,Store[Store_ID],0))</f>
        <v>Martinez, Adkins and Johnson</v>
      </c>
      <c r="H1542" s="21" t="str">
        <f>Sales[Product_ID]</f>
        <v>PROD77</v>
      </c>
      <c r="I1542" s="21" t="str">
        <f>VLOOKUP(H1542,Products[],2)</f>
        <v>WiFi Mesh Router</v>
      </c>
      <c r="J1542" s="24">
        <f>Sales[Total_Amount]</f>
        <v>1475.887</v>
      </c>
      <c r="K1542" s="21" t="str">
        <f t="shared" si="1"/>
        <v>Dec</v>
      </c>
      <c r="L1542" s="21">
        <f t="shared" si="2"/>
        <v>2024</v>
      </c>
      <c r="N1542" s="33"/>
      <c r="O1542" s="34"/>
    </row>
    <row r="1543" ht="22.5" customHeight="1">
      <c r="A1543" s="21" t="s">
        <v>3508</v>
      </c>
      <c r="B1543" s="21" t="s">
        <v>857</v>
      </c>
      <c r="C1543" s="21" t="str">
        <f t="array" ref="C1543">XLOOKUP(B1543,Customer[Customer_ID],Customer[Name(Cleaned)])</f>
        <v>Matthew Payne</v>
      </c>
      <c r="D1543" s="22" t="str">
        <f>VLOOKUP(B1543,Customer[#ALL],6)</f>
        <v>Female</v>
      </c>
      <c r="E1543" s="23">
        <f>Sales[Order_Date]</f>
        <v>45798</v>
      </c>
      <c r="F1543" s="21" t="str">
        <f>Sales[Store_ID]</f>
        <v>STORE3</v>
      </c>
      <c r="G1543" s="21" t="str">
        <f t="array" ref="G1543">INDEX(Store[Store_Name],MATCH(F1543,Store[Store_ID],0))</f>
        <v>Johnson-Wright</v>
      </c>
      <c r="H1543" s="21" t="str">
        <f>Sales[Product_ID]</f>
        <v>PROD98</v>
      </c>
      <c r="I1543" s="21" t="str">
        <f>VLOOKUP(H1543,Products[],2)</f>
        <v>Portable Bluetooth Speaker</v>
      </c>
      <c r="J1543" s="24">
        <f>Sales[Total_Amount]</f>
        <v>867.348</v>
      </c>
      <c r="K1543" s="21" t="str">
        <f t="shared" si="1"/>
        <v>May</v>
      </c>
      <c r="L1543" s="21">
        <f t="shared" si="2"/>
        <v>2025</v>
      </c>
      <c r="N1543" s="33"/>
      <c r="O1543" s="34"/>
    </row>
    <row r="1544" ht="22.5" customHeight="1">
      <c r="A1544" s="21" t="s">
        <v>3509</v>
      </c>
      <c r="B1544" s="21" t="s">
        <v>507</v>
      </c>
      <c r="C1544" s="21" t="str">
        <f t="array" ref="C1544">XLOOKUP(B1544,Customer[Customer_ID],Customer[Name(Cleaned)])</f>
        <v>Rhonda Young</v>
      </c>
      <c r="D1544" s="22" t="str">
        <f>VLOOKUP(B1544,Customer[#ALL],6)</f>
        <v>Male</v>
      </c>
      <c r="E1544" s="23">
        <f>Sales[Order_Date]</f>
        <v>45354</v>
      </c>
      <c r="F1544" s="21" t="str">
        <f>Sales[Store_ID]</f>
        <v>STORE7</v>
      </c>
      <c r="G1544" s="21" t="str">
        <f t="array" ref="G1544">INDEX(Store[Store_Name],MATCH(F1544,Store[Store_ID],0))</f>
        <v>Martinez-Mullins</v>
      </c>
      <c r="H1544" s="21" t="str">
        <f>Sales[Product_ID]</f>
        <v>PROD52</v>
      </c>
      <c r="I1544" s="21" t="str">
        <f>VLOOKUP(H1544,Products[],2)</f>
        <v>Rugby Ball</v>
      </c>
      <c r="J1544" s="24">
        <f>Sales[Total_Amount]</f>
        <v>2965.1508</v>
      </c>
      <c r="K1544" s="21" t="str">
        <f t="shared" si="1"/>
        <v>Mar</v>
      </c>
      <c r="L1544" s="21">
        <f t="shared" si="2"/>
        <v>2024</v>
      </c>
      <c r="N1544" s="33"/>
      <c r="O1544" s="34"/>
    </row>
    <row r="1545" ht="22.5" customHeight="1">
      <c r="A1545" s="21" t="s">
        <v>3510</v>
      </c>
      <c r="B1545" s="21" t="s">
        <v>708</v>
      </c>
      <c r="C1545" s="21" t="str">
        <f t="array" ref="C1545">XLOOKUP(B1545,Customer[Customer_ID],Customer[Name(Cleaned)])</f>
        <v>Eric Todd</v>
      </c>
      <c r="D1545" s="22" t="str">
        <f>VLOOKUP(B1545,Customer[#ALL],6)</f>
        <v>Female</v>
      </c>
      <c r="E1545" s="23">
        <f>Sales[Order_Date]</f>
        <v>45357</v>
      </c>
      <c r="F1545" s="21" t="str">
        <f>Sales[Store_ID]</f>
        <v>STORE18</v>
      </c>
      <c r="G1545" s="21" t="str">
        <f t="array" ref="G1545">INDEX(Store[Store_Name],MATCH(F1545,Store[Store_ID],0))</f>
        <v>Guerrero-Schmitt</v>
      </c>
      <c r="H1545" s="21" t="str">
        <f>Sales[Product_ID]</f>
        <v>PROD71</v>
      </c>
      <c r="I1545" s="21" t="str">
        <f>VLOOKUP(H1545,Products[],2)</f>
        <v>Hair Repair Oil Treatment</v>
      </c>
      <c r="J1545" s="24">
        <f>Sales[Total_Amount]</f>
        <v>243.4215</v>
      </c>
      <c r="K1545" s="21" t="str">
        <f t="shared" si="1"/>
        <v>Mar</v>
      </c>
      <c r="L1545" s="21">
        <f t="shared" si="2"/>
        <v>2024</v>
      </c>
      <c r="N1545" s="33"/>
      <c r="O1545" s="34"/>
    </row>
    <row r="1546" ht="22.5" customHeight="1">
      <c r="A1546" s="21" t="s">
        <v>3511</v>
      </c>
      <c r="B1546" s="21" t="s">
        <v>1038</v>
      </c>
      <c r="C1546" s="21" t="str">
        <f t="array" ref="C1546">XLOOKUP(B1546,Customer[Customer_ID],Customer[Name(Cleaned)])</f>
        <v>Andrew Smith</v>
      </c>
      <c r="D1546" s="22" t="str">
        <f>VLOOKUP(B1546,Customer[#ALL],6)</f>
        <v>Female</v>
      </c>
      <c r="E1546" s="23">
        <f>Sales[Order_Date]</f>
        <v>45257</v>
      </c>
      <c r="F1546" s="21" t="str">
        <f>Sales[Store_ID]</f>
        <v>STORE5</v>
      </c>
      <c r="G1546" s="21" t="str">
        <f t="array" ref="G1546">INDEX(Store[Store_Name],MATCH(F1546,Store[Store_ID],0))</f>
        <v>Gray Ltd</v>
      </c>
      <c r="H1546" s="21" t="str">
        <f>Sales[Product_ID]</f>
        <v>PROD96</v>
      </c>
      <c r="I1546" s="21" t="str">
        <f>VLOOKUP(H1546,Products[],2)</f>
        <v>Women's Formal Blazer</v>
      </c>
      <c r="J1546" s="24">
        <f>Sales[Total_Amount]</f>
        <v>2383.668</v>
      </c>
      <c r="K1546" s="21" t="str">
        <f t="shared" si="1"/>
        <v>Nov</v>
      </c>
      <c r="L1546" s="21">
        <f t="shared" si="2"/>
        <v>2023</v>
      </c>
      <c r="N1546" s="33"/>
      <c r="O1546" s="34"/>
    </row>
    <row r="1547" ht="22.5" customHeight="1">
      <c r="A1547" s="21" t="s">
        <v>3512</v>
      </c>
      <c r="B1547" s="21" t="s">
        <v>1164</v>
      </c>
      <c r="C1547" s="21" t="str">
        <f t="array" ref="C1547">XLOOKUP(B1547,Customer[Customer_ID],Customer[Name(Cleaned)])</f>
        <v>Melinda Johnson</v>
      </c>
      <c r="D1547" s="22" t="str">
        <f>VLOOKUP(B1547,Customer[#ALL],6)</f>
        <v>Female</v>
      </c>
      <c r="E1547" s="23">
        <f>Sales[Order_Date]</f>
        <v>45257</v>
      </c>
      <c r="F1547" s="21" t="str">
        <f>Sales[Store_ID]</f>
        <v>STORE11</v>
      </c>
      <c r="G1547" s="21" t="str">
        <f t="array" ref="G1547">INDEX(Store[Store_Name],MATCH(F1547,Store[Store_ID],0))</f>
        <v>Aguirre-Keller</v>
      </c>
      <c r="H1547" s="21" t="str">
        <f>Sales[Product_ID]</f>
        <v>PROD89</v>
      </c>
      <c r="I1547" s="21" t="str">
        <f>VLOOKUP(H1547,Products[],2)</f>
        <v>Face Foundation Kit</v>
      </c>
      <c r="J1547" s="24">
        <f>Sales[Total_Amount]</f>
        <v>767.1741</v>
      </c>
      <c r="K1547" s="21" t="str">
        <f t="shared" si="1"/>
        <v>Nov</v>
      </c>
      <c r="L1547" s="21">
        <f t="shared" si="2"/>
        <v>2023</v>
      </c>
      <c r="N1547" s="33"/>
      <c r="O1547" s="34"/>
    </row>
    <row r="1548" ht="22.5" customHeight="1">
      <c r="A1548" s="21" t="s">
        <v>3513</v>
      </c>
      <c r="B1548" s="21" t="s">
        <v>481</v>
      </c>
      <c r="C1548" s="21" t="str">
        <f t="array" ref="C1548">XLOOKUP(B1548,Customer[Customer_ID],Customer[Name(Cleaned)])</f>
        <v>Sean Roth</v>
      </c>
      <c r="D1548" s="22" t="str">
        <f>VLOOKUP(B1548,Customer[#ALL],6)</f>
        <v>Female</v>
      </c>
      <c r="E1548" s="23">
        <f>Sales[Order_Date]</f>
        <v>45702</v>
      </c>
      <c r="F1548" s="21" t="str">
        <f>Sales[Store_ID]</f>
        <v>STORE18</v>
      </c>
      <c r="G1548" s="21" t="str">
        <f t="array" ref="G1548">INDEX(Store[Store_Name],MATCH(F1548,Store[Store_ID],0))</f>
        <v>Guerrero-Schmitt</v>
      </c>
      <c r="H1548" s="21" t="str">
        <f>Sales[Product_ID]</f>
        <v>PROD19</v>
      </c>
      <c r="I1548" s="21" t="str">
        <f>VLOOKUP(H1548,Products[],2)</f>
        <v>Knee Support Brace</v>
      </c>
      <c r="J1548" s="24">
        <f>Sales[Total_Amount]</f>
        <v>2201.7408</v>
      </c>
      <c r="K1548" s="21" t="str">
        <f t="shared" si="1"/>
        <v>Feb</v>
      </c>
      <c r="L1548" s="21">
        <f t="shared" si="2"/>
        <v>2025</v>
      </c>
      <c r="N1548" s="33"/>
      <c r="O1548" s="34"/>
    </row>
    <row r="1549" ht="22.5" customHeight="1">
      <c r="A1549" s="21" t="s">
        <v>3514</v>
      </c>
      <c r="B1549" s="21" t="s">
        <v>226</v>
      </c>
      <c r="C1549" s="21" t="str">
        <f t="array" ref="C1549">XLOOKUP(B1549,Customer[Customer_ID],Customer[Name(Cleaned)])</f>
        <v>Cheryl Copeland</v>
      </c>
      <c r="D1549" s="22" t="str">
        <f>VLOOKUP(B1549,Customer[#ALL],6)</f>
        <v>Female</v>
      </c>
      <c r="E1549" s="23">
        <f>Sales[Order_Date]</f>
        <v>45318</v>
      </c>
      <c r="F1549" s="21" t="str">
        <f>Sales[Store_ID]</f>
        <v>STORE12</v>
      </c>
      <c r="G1549" s="21" t="str">
        <f t="array" ref="G1549">INDEX(Store[Store_Name],MATCH(F1549,Store[Store_ID],0))</f>
        <v>Thomas, Bridges and Harris</v>
      </c>
      <c r="H1549" s="21" t="str">
        <f>Sales[Product_ID]</f>
        <v>PROD32</v>
      </c>
      <c r="I1549" s="21" t="str">
        <f>VLOOKUP(H1549,Products[],2)</f>
        <v>Vitamin C Face Serum</v>
      </c>
      <c r="J1549" s="24">
        <f>Sales[Total_Amount]</f>
        <v>1793.4336</v>
      </c>
      <c r="K1549" s="21" t="str">
        <f t="shared" si="1"/>
        <v>Jan</v>
      </c>
      <c r="L1549" s="21">
        <f t="shared" si="2"/>
        <v>2024</v>
      </c>
      <c r="N1549" s="33"/>
      <c r="O1549" s="34"/>
    </row>
    <row r="1550" ht="22.5" customHeight="1">
      <c r="A1550" s="21" t="s">
        <v>3515</v>
      </c>
      <c r="B1550" s="21" t="s">
        <v>1227</v>
      </c>
      <c r="C1550" s="21" t="str">
        <f t="array" ref="C1550">XLOOKUP(B1550,Customer[Customer_ID],Customer[Name(Cleaned)])</f>
        <v>Timothy Valenzuela</v>
      </c>
      <c r="D1550" s="22" t="str">
        <f>VLOOKUP(B1550,Customer[#ALL],6)</f>
        <v>Female</v>
      </c>
      <c r="E1550" s="23">
        <f>Sales[Order_Date]</f>
        <v>45943</v>
      </c>
      <c r="F1550" s="21" t="str">
        <f>Sales[Store_ID]</f>
        <v>STORE17</v>
      </c>
      <c r="G1550" s="21" t="str">
        <f t="array" ref="G1550">INDEX(Store[Store_Name],MATCH(F1550,Store[Store_ID],0))</f>
        <v>Holloway Ltd</v>
      </c>
      <c r="H1550" s="21" t="str">
        <f>Sales[Product_ID]</f>
        <v>PROD92</v>
      </c>
      <c r="I1550" s="21" t="str">
        <f>VLOOKUP(H1550,Products[],2)</f>
        <v>Microwave Oven</v>
      </c>
      <c r="J1550" s="24">
        <f>Sales[Total_Amount]</f>
        <v>592.2072</v>
      </c>
      <c r="K1550" s="21" t="str">
        <f t="shared" si="1"/>
        <v>Oct</v>
      </c>
      <c r="L1550" s="21">
        <f t="shared" si="2"/>
        <v>2025</v>
      </c>
      <c r="N1550" s="33"/>
      <c r="O1550" s="34"/>
    </row>
    <row r="1551" ht="22.5" customHeight="1">
      <c r="A1551" s="21" t="s">
        <v>3516</v>
      </c>
      <c r="B1551" s="21" t="s">
        <v>213</v>
      </c>
      <c r="C1551" s="21" t="str">
        <f t="array" ref="C1551">XLOOKUP(B1551,Customer[Customer_ID],Customer[Name(Cleaned)])</f>
        <v>Katherine Dorsey</v>
      </c>
      <c r="D1551" s="22" t="str">
        <f>VLOOKUP(B1551,Customer[#ALL],6)</f>
        <v>Female</v>
      </c>
      <c r="E1551" s="23">
        <f>Sales[Order_Date]</f>
        <v>45769</v>
      </c>
      <c r="F1551" s="21" t="str">
        <f>Sales[Store_ID]</f>
        <v>STORE13</v>
      </c>
      <c r="G1551" s="21" t="str">
        <f t="array" ref="G1551">INDEX(Store[Store_Name],MATCH(F1551,Store[Store_ID],0))</f>
        <v>Gardner, Humphrey and Contreras</v>
      </c>
      <c r="H1551" s="21" t="str">
        <f>Sales[Product_ID]</f>
        <v>PROD28</v>
      </c>
      <c r="I1551" s="21" t="str">
        <f>VLOOKUP(H1551,Products[],2)</f>
        <v>Sports Stopwatch Timer</v>
      </c>
      <c r="J1551" s="24">
        <f>Sales[Total_Amount]</f>
        <v>3271.7496</v>
      </c>
      <c r="K1551" s="21" t="str">
        <f t="shared" si="1"/>
        <v>Apr</v>
      </c>
      <c r="L1551" s="21">
        <f t="shared" si="2"/>
        <v>2025</v>
      </c>
      <c r="N1551" s="33"/>
      <c r="O1551" s="34"/>
    </row>
    <row r="1552" ht="22.5" customHeight="1">
      <c r="A1552" s="21" t="s">
        <v>3517</v>
      </c>
      <c r="B1552" s="21" t="s">
        <v>663</v>
      </c>
      <c r="C1552" s="21" t="str">
        <f t="array" ref="C1552">XLOOKUP(B1552,Customer[Customer_ID],Customer[Name(Cleaned)])</f>
        <v>Carmen Price</v>
      </c>
      <c r="D1552" s="22" t="str">
        <f>VLOOKUP(B1552,Customer[#ALL],6)</f>
        <v>Female</v>
      </c>
      <c r="E1552" s="23">
        <f>Sales[Order_Date]</f>
        <v>45765</v>
      </c>
      <c r="F1552" s="21" t="str">
        <f>Sales[Store_ID]</f>
        <v>STORE2</v>
      </c>
      <c r="G1552" s="21" t="str">
        <f t="array" ref="G1552">INDEX(Store[Store_Name],MATCH(F1552,Store[Store_ID],0))</f>
        <v>Black-Horn</v>
      </c>
      <c r="H1552" s="21" t="str">
        <f>Sales[Product_ID]</f>
        <v>PROD99</v>
      </c>
      <c r="I1552" s="21" t="str">
        <f>VLOOKUP(H1552,Products[],2)</f>
        <v>Stainless Steel Cookware Set</v>
      </c>
      <c r="J1552" s="24">
        <f>Sales[Total_Amount]</f>
        <v>55.2167</v>
      </c>
      <c r="K1552" s="21" t="str">
        <f t="shared" si="1"/>
        <v>Apr</v>
      </c>
      <c r="L1552" s="21">
        <f t="shared" si="2"/>
        <v>2025</v>
      </c>
      <c r="N1552" s="33"/>
      <c r="O1552" s="34"/>
    </row>
    <row r="1553" ht="22.5" customHeight="1">
      <c r="A1553" s="21" t="s">
        <v>3518</v>
      </c>
      <c r="B1553" s="21" t="s">
        <v>585</v>
      </c>
      <c r="C1553" s="21" t="str">
        <f t="array" ref="C1553">XLOOKUP(B1553,Customer[Customer_ID],Customer[Name(Cleaned)])</f>
        <v>Teresa Stokes</v>
      </c>
      <c r="D1553" s="22" t="str">
        <f>VLOOKUP(B1553,Customer[#ALL],6)</f>
        <v>Male</v>
      </c>
      <c r="E1553" s="23">
        <f>Sales[Order_Date]</f>
        <v>45891</v>
      </c>
      <c r="F1553" s="21" t="str">
        <f>Sales[Store_ID]</f>
        <v>STORE7</v>
      </c>
      <c r="G1553" s="21" t="str">
        <f t="array" ref="G1553">INDEX(Store[Store_Name],MATCH(F1553,Store[Store_ID],0))</f>
        <v>Martinez-Mullins</v>
      </c>
      <c r="H1553" s="21" t="str">
        <f>Sales[Product_ID]</f>
        <v>PROD20</v>
      </c>
      <c r="I1553" s="21" t="str">
        <f>VLOOKUP(H1553,Products[],2)</f>
        <v>Outdoor Sports Water Bottle</v>
      </c>
      <c r="J1553" s="24">
        <f>Sales[Total_Amount]</f>
        <v>3400.734</v>
      </c>
      <c r="K1553" s="21" t="str">
        <f t="shared" si="1"/>
        <v>Aug</v>
      </c>
      <c r="L1553" s="21">
        <f t="shared" si="2"/>
        <v>2025</v>
      </c>
      <c r="N1553" s="33"/>
      <c r="O1553" s="34"/>
    </row>
    <row r="1554" ht="22.5" customHeight="1">
      <c r="A1554" s="21" t="s">
        <v>3519</v>
      </c>
      <c r="B1554" s="21" t="s">
        <v>672</v>
      </c>
      <c r="C1554" s="21" t="str">
        <f t="array" ref="C1554">XLOOKUP(B1554,Customer[Customer_ID],Customer[Name(Cleaned)])</f>
        <v>Christina Garcia</v>
      </c>
      <c r="D1554" s="22" t="str">
        <f>VLOOKUP(B1554,Customer[#ALL],6)</f>
        <v>Male</v>
      </c>
      <c r="E1554" s="23">
        <f>Sales[Order_Date]</f>
        <v>45842</v>
      </c>
      <c r="F1554" s="21" t="str">
        <f>Sales[Store_ID]</f>
        <v>STORE8</v>
      </c>
      <c r="G1554" s="21" t="str">
        <f t="array" ref="G1554">INDEX(Store[Store_Name],MATCH(F1554,Store[Store_ID],0))</f>
        <v>Bean, Jones and Park</v>
      </c>
      <c r="H1554" s="21" t="str">
        <f>Sales[Product_ID]</f>
        <v>PROD78</v>
      </c>
      <c r="I1554" s="21" t="str">
        <f>VLOOKUP(H1554,Products[],2)</f>
        <v>Essential Oil Diffuser</v>
      </c>
      <c r="J1554" s="24">
        <f>Sales[Total_Amount]</f>
        <v>3028.2264</v>
      </c>
      <c r="K1554" s="21" t="str">
        <f t="shared" si="1"/>
        <v>Jul</v>
      </c>
      <c r="L1554" s="21">
        <f t="shared" si="2"/>
        <v>2025</v>
      </c>
      <c r="N1554" s="33"/>
      <c r="O1554" s="34"/>
    </row>
    <row r="1555" ht="22.5" customHeight="1">
      <c r="A1555" s="21" t="s">
        <v>3520</v>
      </c>
      <c r="B1555" s="21" t="s">
        <v>899</v>
      </c>
      <c r="C1555" s="21" t="str">
        <f t="array" ref="C1555">XLOOKUP(B1555,Customer[Customer_ID],Customer[Name(Cleaned)])</f>
        <v>Stephen Fowler</v>
      </c>
      <c r="D1555" s="22" t="str">
        <f>VLOOKUP(B1555,Customer[#ALL],6)</f>
        <v>Male</v>
      </c>
      <c r="E1555" s="23">
        <f>Sales[Order_Date]</f>
        <v>45382</v>
      </c>
      <c r="F1555" s="21" t="str">
        <f>Sales[Store_ID]</f>
        <v>STORE2</v>
      </c>
      <c r="G1555" s="21" t="str">
        <f t="array" ref="G1555">INDEX(Store[Store_Name],MATCH(F1555,Store[Store_ID],0))</f>
        <v>Black-Horn</v>
      </c>
      <c r="H1555" s="21" t="str">
        <f>Sales[Product_ID]</f>
        <v>PROD64</v>
      </c>
      <c r="I1555" s="21" t="str">
        <f>VLOOKUP(H1555,Products[],2)</f>
        <v>Matte Lipstick Set</v>
      </c>
      <c r="J1555" s="24">
        <f>Sales[Total_Amount]</f>
        <v>1039.1136</v>
      </c>
      <c r="K1555" s="21" t="str">
        <f t="shared" si="1"/>
        <v>Mar</v>
      </c>
      <c r="L1555" s="21">
        <f t="shared" si="2"/>
        <v>2024</v>
      </c>
      <c r="N1555" s="33"/>
      <c r="O1555" s="34"/>
    </row>
    <row r="1556" ht="22.5" customHeight="1">
      <c r="A1556" s="21" t="s">
        <v>3521</v>
      </c>
      <c r="B1556" s="21" t="s">
        <v>803</v>
      </c>
      <c r="C1556" s="21" t="str">
        <f t="array" ref="C1556">XLOOKUP(B1556,Customer[Customer_ID],Customer[Name(Cleaned)])</f>
        <v>Mary Russell</v>
      </c>
      <c r="D1556" s="22" t="str">
        <f>VLOOKUP(B1556,Customer[#ALL],6)</f>
        <v>Female</v>
      </c>
      <c r="E1556" s="23">
        <f>Sales[Order_Date]</f>
        <v>45236</v>
      </c>
      <c r="F1556" s="21" t="str">
        <f>Sales[Store_ID]</f>
        <v>STORE8</v>
      </c>
      <c r="G1556" s="21" t="str">
        <f t="array" ref="G1556">INDEX(Store[Store_Name],MATCH(F1556,Store[Store_ID],0))</f>
        <v>Bean, Jones and Park</v>
      </c>
      <c r="H1556" s="21" t="str">
        <f>Sales[Product_ID]</f>
        <v>PROD39</v>
      </c>
      <c r="I1556" s="21" t="str">
        <f>VLOOKUP(H1556,Products[],2)</f>
        <v>Portable Power Bank</v>
      </c>
      <c r="J1556" s="24">
        <f>Sales[Total_Amount]</f>
        <v>2080.2771</v>
      </c>
      <c r="K1556" s="21" t="str">
        <f t="shared" si="1"/>
        <v>Nov</v>
      </c>
      <c r="L1556" s="21">
        <f t="shared" si="2"/>
        <v>2023</v>
      </c>
      <c r="N1556" s="33"/>
      <c r="O1556" s="34"/>
    </row>
    <row r="1557" ht="22.5" customHeight="1">
      <c r="A1557" s="21" t="s">
        <v>3522</v>
      </c>
      <c r="B1557" s="21" t="s">
        <v>1080</v>
      </c>
      <c r="C1557" s="21" t="str">
        <f t="array" ref="C1557">XLOOKUP(B1557,Customer[Customer_ID],Customer[Name(Cleaned)])</f>
        <v>Mrs. Susan Buckley</v>
      </c>
      <c r="D1557" s="22" t="str">
        <f>VLOOKUP(B1557,Customer[#ALL],6)</f>
        <v>Male</v>
      </c>
      <c r="E1557" s="23">
        <f>Sales[Order_Date]</f>
        <v>45806</v>
      </c>
      <c r="F1557" s="21" t="str">
        <f>Sales[Store_ID]</f>
        <v>STORE2</v>
      </c>
      <c r="G1557" s="21" t="str">
        <f t="array" ref="G1557">INDEX(Store[Store_Name],MATCH(F1557,Store[Store_ID],0))</f>
        <v>Black-Horn</v>
      </c>
      <c r="H1557" s="21" t="str">
        <f>Sales[Product_ID]</f>
        <v>PROD9</v>
      </c>
      <c r="I1557" s="21" t="str">
        <f>VLOOKUP(H1557,Products[],2)</f>
        <v>Face Foundation Kit</v>
      </c>
      <c r="J1557" s="24">
        <f>Sales[Total_Amount]</f>
        <v>1349.7692</v>
      </c>
      <c r="K1557" s="21" t="str">
        <f t="shared" si="1"/>
        <v>May</v>
      </c>
      <c r="L1557" s="21">
        <f t="shared" si="2"/>
        <v>2025</v>
      </c>
      <c r="N1557" s="33"/>
      <c r="O1557" s="34"/>
    </row>
    <row r="1558" ht="22.5" customHeight="1">
      <c r="A1558" s="21" t="s">
        <v>3523</v>
      </c>
      <c r="B1558" s="21" t="s">
        <v>82</v>
      </c>
      <c r="C1558" s="21" t="str">
        <f t="array" ref="C1558">XLOOKUP(B1558,Customer[Customer_ID],Customer[Name(Cleaned)])</f>
        <v>John Scott</v>
      </c>
      <c r="D1558" s="22" t="str">
        <f>VLOOKUP(B1558,Customer[#ALL],6)</f>
        <v>Male</v>
      </c>
      <c r="E1558" s="23">
        <f>Sales[Order_Date]</f>
        <v>45850</v>
      </c>
      <c r="F1558" s="21" t="str">
        <f>Sales[Store_ID]</f>
        <v>STORE4</v>
      </c>
      <c r="G1558" s="21" t="str">
        <f t="array" ref="G1558">INDEX(Store[Store_Name],MATCH(F1558,Store[Store_ID],0))</f>
        <v>Alexander Group</v>
      </c>
      <c r="H1558" s="21" t="str">
        <f>Sales[Product_ID]</f>
        <v>PROD56</v>
      </c>
      <c r="I1558" s="21" t="str">
        <f>VLOOKUP(H1558,Products[],2)</f>
        <v>Premium Blanket Throw</v>
      </c>
      <c r="J1558" s="24">
        <f>Sales[Total_Amount]</f>
        <v>1335.027</v>
      </c>
      <c r="K1558" s="21" t="str">
        <f t="shared" si="1"/>
        <v>Jul</v>
      </c>
      <c r="L1558" s="21">
        <f t="shared" si="2"/>
        <v>2025</v>
      </c>
      <c r="N1558" s="33"/>
      <c r="O1558" s="34"/>
    </row>
    <row r="1559" ht="22.5" customHeight="1">
      <c r="A1559" s="21" t="s">
        <v>3524</v>
      </c>
      <c r="B1559" s="21" t="s">
        <v>1285</v>
      </c>
      <c r="C1559" s="21" t="str">
        <f t="array" ref="C1559">XLOOKUP(B1559,Customer[Customer_ID],Customer[Name(Cleaned)])</f>
        <v>Isabel Foster</v>
      </c>
      <c r="D1559" s="22" t="str">
        <f>VLOOKUP(B1559,Customer[#ALL],6)</f>
        <v>Female</v>
      </c>
      <c r="E1559" s="23">
        <f>Sales[Order_Date]</f>
        <v>45854</v>
      </c>
      <c r="F1559" s="21" t="str">
        <f>Sales[Store_ID]</f>
        <v>STORE10</v>
      </c>
      <c r="G1559" s="21" t="str">
        <f t="array" ref="G1559">INDEX(Store[Store_Name],MATCH(F1559,Store[Store_ID],0))</f>
        <v>Hill, Wagner and Ballard</v>
      </c>
      <c r="H1559" s="21" t="str">
        <f>Sales[Product_ID]</f>
        <v>PROD31</v>
      </c>
      <c r="I1559" s="21" t="str">
        <f>VLOOKUP(H1559,Products[],2)</f>
        <v>Basketball</v>
      </c>
      <c r="J1559" s="24">
        <f>Sales[Total_Amount]</f>
        <v>180.9353</v>
      </c>
      <c r="K1559" s="21" t="str">
        <f t="shared" si="1"/>
        <v>Jul</v>
      </c>
      <c r="L1559" s="21">
        <f t="shared" si="2"/>
        <v>2025</v>
      </c>
      <c r="N1559" s="33"/>
      <c r="O1559" s="34"/>
    </row>
    <row r="1560" ht="22.5" customHeight="1">
      <c r="A1560" s="21" t="s">
        <v>3525</v>
      </c>
      <c r="B1560" s="21" t="s">
        <v>830</v>
      </c>
      <c r="C1560" s="21" t="str">
        <f t="array" ref="C1560">XLOOKUP(B1560,Customer[Customer_ID],Customer[Name(Cleaned)])</f>
        <v>Damon Perez</v>
      </c>
      <c r="D1560" s="22" t="str">
        <f>VLOOKUP(B1560,Customer[#ALL],6)</f>
        <v>Female</v>
      </c>
      <c r="E1560" s="23">
        <f>Sales[Order_Date]</f>
        <v>45401</v>
      </c>
      <c r="F1560" s="21" t="str">
        <f>Sales[Store_ID]</f>
        <v>STORE6</v>
      </c>
      <c r="G1560" s="21" t="str">
        <f t="array" ref="G1560">INDEX(Store[Store_Name],MATCH(F1560,Store[Store_ID],0))</f>
        <v>Benson-Elliott</v>
      </c>
      <c r="H1560" s="21" t="str">
        <f>Sales[Product_ID]</f>
        <v>PROD92</v>
      </c>
      <c r="I1560" s="21" t="str">
        <f>VLOOKUP(H1560,Products[],2)</f>
        <v>Microwave Oven</v>
      </c>
      <c r="J1560" s="24">
        <f>Sales[Total_Amount]</f>
        <v>92.7223</v>
      </c>
      <c r="K1560" s="21" t="str">
        <f t="shared" si="1"/>
        <v>Apr</v>
      </c>
      <c r="L1560" s="21">
        <f t="shared" si="2"/>
        <v>2024</v>
      </c>
      <c r="N1560" s="33"/>
      <c r="O1560" s="34"/>
    </row>
    <row r="1561" ht="22.5" customHeight="1">
      <c r="A1561" s="21" t="s">
        <v>3526</v>
      </c>
      <c r="B1561" s="21" t="s">
        <v>377</v>
      </c>
      <c r="C1561" s="21" t="str">
        <f t="array" ref="C1561">XLOOKUP(B1561,Customer[Customer_ID],Customer[Name(Cleaned)])</f>
        <v>Christopher Lester</v>
      </c>
      <c r="D1561" s="22" t="str">
        <f>VLOOKUP(B1561,Customer[#ALL],6)</f>
        <v>Female</v>
      </c>
      <c r="E1561" s="23">
        <f>Sales[Order_Date]</f>
        <v>45716</v>
      </c>
      <c r="F1561" s="21" t="str">
        <f>Sales[Store_ID]</f>
        <v>STORE1</v>
      </c>
      <c r="G1561" s="21" t="str">
        <f t="array" ref="G1561">INDEX(Store[Store_Name],MATCH(F1561,Store[Store_ID],0))</f>
        <v>Martinez, Adkins and Johnson</v>
      </c>
      <c r="H1561" s="21" t="str">
        <f>Sales[Product_ID]</f>
        <v>PROD56</v>
      </c>
      <c r="I1561" s="21" t="str">
        <f>VLOOKUP(H1561,Products[],2)</f>
        <v>Premium Blanket Throw</v>
      </c>
      <c r="J1561" s="24">
        <f>Sales[Total_Amount]</f>
        <v>469.6508</v>
      </c>
      <c r="K1561" s="21" t="str">
        <f t="shared" si="1"/>
        <v>Feb</v>
      </c>
      <c r="L1561" s="21">
        <f t="shared" si="2"/>
        <v>2025</v>
      </c>
      <c r="N1561" s="33"/>
      <c r="O1561" s="34"/>
    </row>
    <row r="1562" ht="22.5" customHeight="1">
      <c r="A1562" s="21" t="s">
        <v>3527</v>
      </c>
      <c r="B1562" s="21" t="s">
        <v>1197</v>
      </c>
      <c r="C1562" s="21" t="str">
        <f t="array" ref="C1562">XLOOKUP(B1562,Customer[Customer_ID],Customer[Name(Cleaned)])</f>
        <v>Frank Stewart</v>
      </c>
      <c r="D1562" s="22" t="str">
        <f>VLOOKUP(B1562,Customer[#ALL],6)</f>
        <v>Male</v>
      </c>
      <c r="E1562" s="23">
        <f>Sales[Order_Date]</f>
        <v>45718</v>
      </c>
      <c r="F1562" s="21" t="str">
        <f>Sales[Store_ID]</f>
        <v>STORE10</v>
      </c>
      <c r="G1562" s="21" t="str">
        <f t="array" ref="G1562">INDEX(Store[Store_Name],MATCH(F1562,Store[Store_ID],0))</f>
        <v>Hill, Wagner and Ballard</v>
      </c>
      <c r="H1562" s="21" t="str">
        <f>Sales[Product_ID]</f>
        <v>PROD6</v>
      </c>
      <c r="I1562" s="21" t="str">
        <f>VLOOKUP(H1562,Products[],2)</f>
        <v>Men's Hair Styling Gel</v>
      </c>
      <c r="J1562" s="24">
        <f>Sales[Total_Amount]</f>
        <v>1376.721</v>
      </c>
      <c r="K1562" s="21" t="str">
        <f t="shared" si="1"/>
        <v>Mar</v>
      </c>
      <c r="L1562" s="21">
        <f t="shared" si="2"/>
        <v>2025</v>
      </c>
      <c r="N1562" s="33"/>
      <c r="O1562" s="34"/>
    </row>
    <row r="1563" ht="22.5" customHeight="1">
      <c r="A1563" s="21" t="s">
        <v>3528</v>
      </c>
      <c r="B1563" s="21" t="s">
        <v>944</v>
      </c>
      <c r="C1563" s="21" t="str">
        <f t="array" ref="C1563">XLOOKUP(B1563,Customer[Customer_ID],Customer[Name(Cleaned)])</f>
        <v>Gloria Taylor</v>
      </c>
      <c r="D1563" s="22" t="str">
        <f>VLOOKUP(B1563,Customer[#ALL],6)</f>
        <v>Male</v>
      </c>
      <c r="E1563" s="23">
        <f>Sales[Order_Date]</f>
        <v>45379</v>
      </c>
      <c r="F1563" s="21" t="str">
        <f>Sales[Store_ID]</f>
        <v>STORE7</v>
      </c>
      <c r="G1563" s="21" t="str">
        <f t="array" ref="G1563">INDEX(Store[Store_Name],MATCH(F1563,Store[Store_ID],0))</f>
        <v>Martinez-Mullins</v>
      </c>
      <c r="H1563" s="21" t="str">
        <f>Sales[Product_ID]</f>
        <v>PROD81</v>
      </c>
      <c r="I1563" s="21" t="str">
        <f>VLOOKUP(H1563,Products[],2)</f>
        <v>Badminton Racket Set</v>
      </c>
      <c r="J1563" s="24">
        <f>Sales[Total_Amount]</f>
        <v>796.632</v>
      </c>
      <c r="K1563" s="21" t="str">
        <f t="shared" si="1"/>
        <v>Mar</v>
      </c>
      <c r="L1563" s="21">
        <f t="shared" si="2"/>
        <v>2024</v>
      </c>
      <c r="N1563" s="33"/>
      <c r="O1563" s="34"/>
    </row>
    <row r="1564" ht="22.5" customHeight="1">
      <c r="A1564" s="21" t="s">
        <v>3529</v>
      </c>
      <c r="B1564" s="21" t="s">
        <v>1444</v>
      </c>
      <c r="C1564" s="21" t="str">
        <f t="array" ref="C1564">XLOOKUP(B1564,Customer[Customer_ID],Customer[Name(Cleaned)])</f>
        <v>Samantha Lee</v>
      </c>
      <c r="D1564" s="22" t="str">
        <f>VLOOKUP(B1564,Customer[#ALL],6)</f>
        <v>Male</v>
      </c>
      <c r="E1564" s="23">
        <f>Sales[Order_Date]</f>
        <v>45635</v>
      </c>
      <c r="F1564" s="21" t="str">
        <f>Sales[Store_ID]</f>
        <v>STORE14</v>
      </c>
      <c r="G1564" s="21" t="str">
        <f t="array" ref="G1564">INDEX(Store[Store_Name],MATCH(F1564,Store[Store_ID],0))</f>
        <v>Mcdonald Inc</v>
      </c>
      <c r="H1564" s="21" t="str">
        <f>Sales[Product_ID]</f>
        <v>PROD14</v>
      </c>
      <c r="I1564" s="21" t="str">
        <f>VLOOKUP(H1564,Products[],2)</f>
        <v>Decorative Wall Mirror</v>
      </c>
      <c r="J1564" s="24">
        <f>Sales[Total_Amount]</f>
        <v>2592.2763</v>
      </c>
      <c r="K1564" s="21" t="str">
        <f t="shared" si="1"/>
        <v>Dec</v>
      </c>
      <c r="L1564" s="21">
        <f t="shared" si="2"/>
        <v>2024</v>
      </c>
      <c r="N1564" s="33"/>
      <c r="O1564" s="34"/>
    </row>
    <row r="1565" ht="22.5" customHeight="1">
      <c r="A1565" s="21" t="s">
        <v>3530</v>
      </c>
      <c r="B1565" s="21" t="s">
        <v>714</v>
      </c>
      <c r="C1565" s="21" t="str">
        <f t="array" ref="C1565">XLOOKUP(B1565,Customer[Customer_ID],Customer[Name(Cleaned)])</f>
        <v>Kathryn Garcia</v>
      </c>
      <c r="D1565" s="22" t="str">
        <f>VLOOKUP(B1565,Customer[#ALL],6)</f>
        <v>Female</v>
      </c>
      <c r="E1565" s="23">
        <f>Sales[Order_Date]</f>
        <v>45222</v>
      </c>
      <c r="F1565" s="21" t="str">
        <f>Sales[Store_ID]</f>
        <v>STORE0</v>
      </c>
      <c r="G1565" s="21" t="str">
        <f t="array" ref="G1565">INDEX(Store[Store_Name],MATCH(F1565,Store[Store_ID],0))</f>
        <v>Rivera-Warner</v>
      </c>
      <c r="H1565" s="21" t="str">
        <f>Sales[Product_ID]</f>
        <v>PROD72</v>
      </c>
      <c r="I1565" s="21" t="str">
        <f>VLOOKUP(H1565,Products[],2)</f>
        <v>Professional Jump Rope</v>
      </c>
      <c r="J1565" s="24">
        <f>Sales[Total_Amount]</f>
        <v>54.999</v>
      </c>
      <c r="K1565" s="21" t="str">
        <f t="shared" si="1"/>
        <v>Oct</v>
      </c>
      <c r="L1565" s="21">
        <f t="shared" si="2"/>
        <v>2023</v>
      </c>
      <c r="N1565" s="33"/>
      <c r="O1565" s="34"/>
    </row>
    <row r="1566" ht="22.5" customHeight="1">
      <c r="A1566" s="21" t="s">
        <v>3531</v>
      </c>
      <c r="B1566" s="21" t="s">
        <v>129</v>
      </c>
      <c r="C1566" s="21" t="str">
        <f t="array" ref="C1566">XLOOKUP(B1566,Customer[Customer_ID],Customer[Name(Cleaned)])</f>
        <v>David Arnold</v>
      </c>
      <c r="D1566" s="22" t="str">
        <f>VLOOKUP(B1566,Customer[#ALL],6)</f>
        <v>Male</v>
      </c>
      <c r="E1566" s="23">
        <f>Sales[Order_Date]</f>
        <v>45555</v>
      </c>
      <c r="F1566" s="21" t="str">
        <f>Sales[Store_ID]</f>
        <v>STORE8</v>
      </c>
      <c r="G1566" s="21" t="str">
        <f t="array" ref="G1566">INDEX(Store[Store_Name],MATCH(F1566,Store[Store_ID],0))</f>
        <v>Bean, Jones and Park</v>
      </c>
      <c r="H1566" s="21" t="str">
        <f>Sales[Product_ID]</f>
        <v>PROD27</v>
      </c>
      <c r="I1566" s="21" t="str">
        <f>VLOOKUP(H1566,Products[],2)</f>
        <v>Decorative Floor Vase</v>
      </c>
      <c r="J1566" s="24">
        <f>Sales[Total_Amount]</f>
        <v>2011.7484</v>
      </c>
      <c r="K1566" s="21" t="str">
        <f t="shared" si="1"/>
        <v>Sep</v>
      </c>
      <c r="L1566" s="21">
        <f t="shared" si="2"/>
        <v>2024</v>
      </c>
      <c r="N1566" s="33"/>
      <c r="O1566" s="34"/>
    </row>
    <row r="1567" ht="22.5" customHeight="1">
      <c r="A1567" s="21" t="s">
        <v>3532</v>
      </c>
      <c r="B1567" s="21" t="s">
        <v>1350</v>
      </c>
      <c r="C1567" s="21" t="str">
        <f t="array" ref="C1567">XLOOKUP(B1567,Customer[Customer_ID],Customer[Name(Cleaned)])</f>
        <v>Kimberly Roberts</v>
      </c>
      <c r="D1567" s="22" t="str">
        <f>VLOOKUP(B1567,Customer[#ALL],6)</f>
        <v>Male</v>
      </c>
      <c r="E1567" s="23">
        <f>Sales[Order_Date]</f>
        <v>45583</v>
      </c>
      <c r="F1567" s="21" t="str">
        <f>Sales[Store_ID]</f>
        <v>STORE13</v>
      </c>
      <c r="G1567" s="21" t="str">
        <f t="array" ref="G1567">INDEX(Store[Store_Name],MATCH(F1567,Store[Store_ID],0))</f>
        <v>Gardner, Humphrey and Contreras</v>
      </c>
      <c r="H1567" s="21" t="str">
        <f>Sales[Product_ID]</f>
        <v>PROD87</v>
      </c>
      <c r="I1567" s="21" t="str">
        <f>VLOOKUP(H1567,Products[],2)</f>
        <v>LED Bedside Lamp</v>
      </c>
      <c r="J1567" s="24">
        <f>Sales[Total_Amount]</f>
        <v>2280.051</v>
      </c>
      <c r="K1567" s="21" t="str">
        <f t="shared" si="1"/>
        <v>Oct</v>
      </c>
      <c r="L1567" s="21">
        <f t="shared" si="2"/>
        <v>2024</v>
      </c>
      <c r="N1567" s="33"/>
      <c r="O1567" s="34"/>
    </row>
    <row r="1568" ht="22.5" customHeight="1">
      <c r="A1568" s="21" t="s">
        <v>3533</v>
      </c>
      <c r="B1568" s="21" t="s">
        <v>1014</v>
      </c>
      <c r="C1568" s="21" t="str">
        <f t="array" ref="C1568">XLOOKUP(B1568,Customer[Customer_ID],Customer[Name(Cleaned)])</f>
        <v>Tiffany Williams</v>
      </c>
      <c r="D1568" s="22" t="str">
        <f>VLOOKUP(B1568,Customer[#ALL],6)</f>
        <v>Male</v>
      </c>
      <c r="E1568" s="23">
        <f>Sales[Order_Date]</f>
        <v>45662</v>
      </c>
      <c r="F1568" s="21" t="str">
        <f>Sales[Store_ID]</f>
        <v>STORE14</v>
      </c>
      <c r="G1568" s="21" t="str">
        <f t="array" ref="G1568">INDEX(Store[Store_Name],MATCH(F1568,Store[Store_ID],0))</f>
        <v>Mcdonald Inc</v>
      </c>
      <c r="H1568" s="21" t="str">
        <f>Sales[Product_ID]</f>
        <v>PROD10</v>
      </c>
      <c r="I1568" s="21" t="str">
        <f>VLOOKUP(H1568,Products[],2)</f>
        <v>Men's Graphic T-Shirt</v>
      </c>
      <c r="J1568" s="24">
        <f>Sales[Total_Amount]</f>
        <v>620.9589</v>
      </c>
      <c r="K1568" s="21" t="str">
        <f t="shared" si="1"/>
        <v>Jan</v>
      </c>
      <c r="L1568" s="21">
        <f t="shared" si="2"/>
        <v>2025</v>
      </c>
      <c r="N1568" s="33"/>
      <c r="O1568" s="34"/>
    </row>
    <row r="1569" ht="22.5" customHeight="1">
      <c r="A1569" s="21" t="s">
        <v>3534</v>
      </c>
      <c r="B1569" s="21" t="s">
        <v>1465</v>
      </c>
      <c r="C1569" s="21" t="str">
        <f t="array" ref="C1569">XLOOKUP(B1569,Customer[Customer_ID],Customer[Name(Cleaned)])</f>
        <v>Manuel Fisher</v>
      </c>
      <c r="D1569" s="22" t="str">
        <f>VLOOKUP(B1569,Customer[#ALL],6)</f>
        <v>Male</v>
      </c>
      <c r="E1569" s="23">
        <f>Sales[Order_Date]</f>
        <v>45921</v>
      </c>
      <c r="F1569" s="21" t="str">
        <f>Sales[Store_ID]</f>
        <v>STORE1</v>
      </c>
      <c r="G1569" s="21" t="str">
        <f t="array" ref="G1569">INDEX(Store[Store_Name],MATCH(F1569,Store[Store_ID],0))</f>
        <v>Martinez, Adkins and Johnson</v>
      </c>
      <c r="H1569" s="21" t="str">
        <f>Sales[Product_ID]</f>
        <v>PROD15</v>
      </c>
      <c r="I1569" s="21" t="str">
        <f>VLOOKUP(H1569,Products[],2)</f>
        <v>4K Home Projector</v>
      </c>
      <c r="J1569" s="24">
        <f>Sales[Total_Amount]</f>
        <v>1456.4944</v>
      </c>
      <c r="K1569" s="21" t="str">
        <f t="shared" si="1"/>
        <v>Sep</v>
      </c>
      <c r="L1569" s="21">
        <f t="shared" si="2"/>
        <v>2025</v>
      </c>
      <c r="N1569" s="33"/>
      <c r="O1569" s="34"/>
    </row>
    <row r="1570" ht="22.5" customHeight="1">
      <c r="A1570" s="21" t="s">
        <v>3535</v>
      </c>
      <c r="B1570" s="21" t="s">
        <v>782</v>
      </c>
      <c r="C1570" s="21" t="str">
        <f t="array" ref="C1570">XLOOKUP(B1570,Customer[Customer_ID],Customer[Name(Cleaned)])</f>
        <v>Maria Hill</v>
      </c>
      <c r="D1570" s="22" t="str">
        <f>VLOOKUP(B1570,Customer[#ALL],6)</f>
        <v>Male</v>
      </c>
      <c r="E1570" s="23">
        <f>Sales[Order_Date]</f>
        <v>45716</v>
      </c>
      <c r="F1570" s="21" t="str">
        <f>Sales[Store_ID]</f>
        <v>STORE7</v>
      </c>
      <c r="G1570" s="21" t="str">
        <f t="array" ref="G1570">INDEX(Store[Store_Name],MATCH(F1570,Store[Store_ID],0))</f>
        <v>Martinez-Mullins</v>
      </c>
      <c r="H1570" s="21" t="str">
        <f>Sales[Product_ID]</f>
        <v>PROD19</v>
      </c>
      <c r="I1570" s="21" t="str">
        <f>VLOOKUP(H1570,Products[],2)</f>
        <v>Knee Support Brace</v>
      </c>
      <c r="J1570" s="24">
        <f>Sales[Total_Amount]</f>
        <v>307.4344</v>
      </c>
      <c r="K1570" s="21" t="str">
        <f t="shared" si="1"/>
        <v>Feb</v>
      </c>
      <c r="L1570" s="21">
        <f t="shared" si="2"/>
        <v>2025</v>
      </c>
      <c r="N1570" s="33"/>
      <c r="O1570" s="34"/>
    </row>
    <row r="1571" ht="22.5" customHeight="1">
      <c r="A1571" s="21" t="s">
        <v>3536</v>
      </c>
      <c r="B1571" s="21" t="s">
        <v>705</v>
      </c>
      <c r="C1571" s="21" t="str">
        <f t="array" ref="C1571">XLOOKUP(B1571,Customer[Customer_ID],Customer[Name(Cleaned)])</f>
        <v>Stuart Johnson</v>
      </c>
      <c r="D1571" s="22" t="str">
        <f>VLOOKUP(B1571,Customer[#ALL],6)</f>
        <v>Male</v>
      </c>
      <c r="E1571" s="23">
        <f>Sales[Order_Date]</f>
        <v>45490</v>
      </c>
      <c r="F1571" s="21" t="str">
        <f>Sales[Store_ID]</f>
        <v>STORE17</v>
      </c>
      <c r="G1571" s="21" t="str">
        <f t="array" ref="G1571">INDEX(Store[Store_Name],MATCH(F1571,Store[Store_ID],0))</f>
        <v>Holloway Ltd</v>
      </c>
      <c r="H1571" s="21" t="str">
        <f>Sales[Product_ID]</f>
        <v>PROD32</v>
      </c>
      <c r="I1571" s="21" t="str">
        <f>VLOOKUP(H1571,Products[],2)</f>
        <v>Vitamin C Face Serum</v>
      </c>
      <c r="J1571" s="24">
        <f>Sales[Total_Amount]</f>
        <v>389.5983</v>
      </c>
      <c r="K1571" s="21" t="str">
        <f t="shared" si="1"/>
        <v>Jul</v>
      </c>
      <c r="L1571" s="21">
        <f t="shared" si="2"/>
        <v>2024</v>
      </c>
      <c r="N1571" s="33"/>
      <c r="O1571" s="34"/>
    </row>
    <row r="1572" ht="22.5" customHeight="1">
      <c r="A1572" s="21" t="s">
        <v>3537</v>
      </c>
      <c r="B1572" s="21" t="s">
        <v>881</v>
      </c>
      <c r="C1572" s="21" t="str">
        <f t="array" ref="C1572">XLOOKUP(B1572,Customer[Customer_ID],Customer[Name(Cleaned)])</f>
        <v>Adam Rowland</v>
      </c>
      <c r="D1572" s="22" t="str">
        <f>VLOOKUP(B1572,Customer[#ALL],6)</f>
        <v>Male</v>
      </c>
      <c r="E1572" s="23">
        <f>Sales[Order_Date]</f>
        <v>45652</v>
      </c>
      <c r="F1572" s="21" t="str">
        <f>Sales[Store_ID]</f>
        <v>STORE5</v>
      </c>
      <c r="G1572" s="21" t="str">
        <f t="array" ref="G1572">INDEX(Store[Store_Name],MATCH(F1572,Store[Store_ID],0))</f>
        <v>Gray Ltd</v>
      </c>
      <c r="H1572" s="21" t="str">
        <f>Sales[Product_ID]</f>
        <v>PROD34</v>
      </c>
      <c r="I1572" s="21" t="str">
        <f>VLOOKUP(H1572,Products[],2)</f>
        <v>Gaming Mechanical Keyboard</v>
      </c>
      <c r="J1572" s="24">
        <f>Sales[Total_Amount]</f>
        <v>2832.938</v>
      </c>
      <c r="K1572" s="21" t="str">
        <f t="shared" si="1"/>
        <v>Dec</v>
      </c>
      <c r="L1572" s="21">
        <f t="shared" si="2"/>
        <v>2024</v>
      </c>
      <c r="N1572" s="33"/>
      <c r="O1572" s="34"/>
    </row>
    <row r="1573" ht="22.5" customHeight="1">
      <c r="A1573" s="21" t="s">
        <v>3538</v>
      </c>
      <c r="B1573" s="21" t="s">
        <v>1497</v>
      </c>
      <c r="C1573" s="21" t="str">
        <f t="array" ref="C1573">XLOOKUP(B1573,Customer[Customer_ID],Customer[Name(Cleaned)])</f>
        <v>Bryan Tran</v>
      </c>
      <c r="D1573" s="22" t="str">
        <f>VLOOKUP(B1573,Customer[#ALL],6)</f>
        <v>Female</v>
      </c>
      <c r="E1573" s="23">
        <f>Sales[Order_Date]</f>
        <v>45598</v>
      </c>
      <c r="F1573" s="21" t="str">
        <f>Sales[Store_ID]</f>
        <v>STORE15</v>
      </c>
      <c r="G1573" s="21" t="str">
        <f t="array" ref="G1573">INDEX(Store[Store_Name],MATCH(F1573,Store[Store_ID],0))</f>
        <v>Shelton PLC</v>
      </c>
      <c r="H1573" s="21" t="str">
        <f>Sales[Product_ID]</f>
        <v>PROD88</v>
      </c>
      <c r="I1573" s="21" t="str">
        <f>VLOOKUP(H1573,Products[],2)</f>
        <v>Sports Wrist Sweatbands</v>
      </c>
      <c r="J1573" s="24">
        <f>Sales[Total_Amount]</f>
        <v>2651.3568</v>
      </c>
      <c r="K1573" s="21" t="str">
        <f t="shared" si="1"/>
        <v>Nov</v>
      </c>
      <c r="L1573" s="21">
        <f t="shared" si="2"/>
        <v>2024</v>
      </c>
      <c r="N1573" s="33"/>
      <c r="O1573" s="34"/>
    </row>
    <row r="1574" ht="22.5" customHeight="1">
      <c r="A1574" s="21" t="s">
        <v>3539</v>
      </c>
      <c r="B1574" s="21" t="s">
        <v>1335</v>
      </c>
      <c r="C1574" s="21" t="str">
        <f t="array" ref="C1574">XLOOKUP(B1574,Customer[Customer_ID],Customer[Name(Cleaned)])</f>
        <v>Bryce Hawkins</v>
      </c>
      <c r="D1574" s="22" t="str">
        <f>VLOOKUP(B1574,Customer[#ALL],6)</f>
        <v>Female</v>
      </c>
      <c r="E1574" s="23">
        <f>Sales[Order_Date]</f>
        <v>45772</v>
      </c>
      <c r="F1574" s="21" t="str">
        <f>Sales[Store_ID]</f>
        <v>STORE10</v>
      </c>
      <c r="G1574" s="21" t="str">
        <f t="array" ref="G1574">INDEX(Store[Store_Name],MATCH(F1574,Store[Store_ID],0))</f>
        <v>Hill, Wagner and Ballard</v>
      </c>
      <c r="H1574" s="21" t="str">
        <f>Sales[Product_ID]</f>
        <v>PROD75</v>
      </c>
      <c r="I1574" s="21" t="str">
        <f>VLOOKUP(H1574,Products[],2)</f>
        <v>Women's Ankle Boots</v>
      </c>
      <c r="J1574" s="24">
        <f>Sales[Total_Amount]</f>
        <v>2240.702</v>
      </c>
      <c r="K1574" s="21" t="str">
        <f t="shared" si="1"/>
        <v>Apr</v>
      </c>
      <c r="L1574" s="21">
        <f t="shared" si="2"/>
        <v>2025</v>
      </c>
      <c r="N1574" s="33"/>
      <c r="O1574" s="34"/>
    </row>
    <row r="1575" ht="22.5" customHeight="1">
      <c r="A1575" s="21" t="s">
        <v>3540</v>
      </c>
      <c r="B1575" s="21" t="s">
        <v>1526</v>
      </c>
      <c r="C1575" s="21" t="str">
        <f t="array" ref="C1575">XLOOKUP(B1575,Customer[Customer_ID],Customer[Name(Cleaned)])</f>
        <v>Kaitlin Brown</v>
      </c>
      <c r="D1575" s="22" t="str">
        <f>VLOOKUP(B1575,Customer[#ALL],6)</f>
        <v>Male</v>
      </c>
      <c r="E1575" s="23">
        <f>Sales[Order_Date]</f>
        <v>45338</v>
      </c>
      <c r="F1575" s="21" t="str">
        <f>Sales[Store_ID]</f>
        <v>STORE2</v>
      </c>
      <c r="G1575" s="21" t="str">
        <f t="array" ref="G1575">INDEX(Store[Store_Name],MATCH(F1575,Store[Store_ID],0))</f>
        <v>Black-Horn</v>
      </c>
      <c r="H1575" s="21" t="str">
        <f>Sales[Product_ID]</f>
        <v>PROD9</v>
      </c>
      <c r="I1575" s="21" t="str">
        <f>VLOOKUP(H1575,Products[],2)</f>
        <v>Face Foundation Kit</v>
      </c>
      <c r="J1575" s="24">
        <f>Sales[Total_Amount]</f>
        <v>275.3608</v>
      </c>
      <c r="K1575" s="21" t="str">
        <f t="shared" si="1"/>
        <v>Feb</v>
      </c>
      <c r="L1575" s="21">
        <f t="shared" si="2"/>
        <v>2024</v>
      </c>
      <c r="N1575" s="33"/>
      <c r="O1575" s="34"/>
    </row>
    <row r="1576" ht="22.5" customHeight="1">
      <c r="A1576" s="21" t="s">
        <v>3541</v>
      </c>
      <c r="B1576" s="21" t="s">
        <v>750</v>
      </c>
      <c r="C1576" s="21" t="str">
        <f t="array" ref="C1576">XLOOKUP(B1576,Customer[Customer_ID],Customer[Name(Cleaned)])</f>
        <v>Casey Flores</v>
      </c>
      <c r="D1576" s="22" t="str">
        <f>VLOOKUP(B1576,Customer[#ALL],6)</f>
        <v>Male</v>
      </c>
      <c r="E1576" s="23">
        <f>Sales[Order_Date]</f>
        <v>45524</v>
      </c>
      <c r="F1576" s="21" t="str">
        <f>Sales[Store_ID]</f>
        <v>STORE18</v>
      </c>
      <c r="G1576" s="21" t="str">
        <f t="array" ref="G1576">INDEX(Store[Store_Name],MATCH(F1576,Store[Store_ID],0))</f>
        <v>Guerrero-Schmitt</v>
      </c>
      <c r="H1576" s="21" t="str">
        <f>Sales[Product_ID]</f>
        <v>PROD12</v>
      </c>
      <c r="I1576" s="21" t="str">
        <f>VLOOKUP(H1576,Products[],2)</f>
        <v>Hair Strengthening Shampoo</v>
      </c>
      <c r="J1576" s="24">
        <f>Sales[Total_Amount]</f>
        <v>2512.0784</v>
      </c>
      <c r="K1576" s="21" t="str">
        <f t="shared" si="1"/>
        <v>Aug</v>
      </c>
      <c r="L1576" s="21">
        <f t="shared" si="2"/>
        <v>2024</v>
      </c>
      <c r="N1576" s="33"/>
      <c r="O1576" s="34"/>
    </row>
    <row r="1577" ht="22.5" customHeight="1">
      <c r="A1577" s="21" t="s">
        <v>3542</v>
      </c>
      <c r="B1577" s="21" t="s">
        <v>498</v>
      </c>
      <c r="C1577" s="21" t="str">
        <f t="array" ref="C1577">XLOOKUP(B1577,Customer[Customer_ID],Customer[Name(Cleaned)])</f>
        <v>Justin Cross</v>
      </c>
      <c r="D1577" s="22" t="str">
        <f>VLOOKUP(B1577,Customer[#ALL],6)</f>
        <v>Male</v>
      </c>
      <c r="E1577" s="23">
        <f>Sales[Order_Date]</f>
        <v>45497</v>
      </c>
      <c r="F1577" s="21" t="str">
        <f>Sales[Store_ID]</f>
        <v>STORE10</v>
      </c>
      <c r="G1577" s="21" t="str">
        <f t="array" ref="G1577">INDEX(Store[Store_Name],MATCH(F1577,Store[Store_ID],0))</f>
        <v>Hill, Wagner and Ballard</v>
      </c>
      <c r="H1577" s="21" t="str">
        <f>Sales[Product_ID]</f>
        <v>PROD9</v>
      </c>
      <c r="I1577" s="21" t="str">
        <f>VLOOKUP(H1577,Products[],2)</f>
        <v>Face Foundation Kit</v>
      </c>
      <c r="J1577" s="24">
        <f>Sales[Total_Amount]</f>
        <v>1344.7068</v>
      </c>
      <c r="K1577" s="21" t="str">
        <f t="shared" si="1"/>
        <v>Jul</v>
      </c>
      <c r="L1577" s="21">
        <f t="shared" si="2"/>
        <v>2024</v>
      </c>
      <c r="N1577" s="33"/>
      <c r="O1577" s="34"/>
    </row>
    <row r="1578" ht="22.5" customHeight="1">
      <c r="A1578" s="21" t="s">
        <v>3543</v>
      </c>
      <c r="B1578" s="21" t="s">
        <v>129</v>
      </c>
      <c r="C1578" s="21" t="str">
        <f t="array" ref="C1578">XLOOKUP(B1578,Customer[Customer_ID],Customer[Name(Cleaned)])</f>
        <v>David Arnold</v>
      </c>
      <c r="D1578" s="22" t="str">
        <f>VLOOKUP(B1578,Customer[#ALL],6)</f>
        <v>Male</v>
      </c>
      <c r="E1578" s="23">
        <f>Sales[Order_Date]</f>
        <v>45534</v>
      </c>
      <c r="F1578" s="21" t="str">
        <f>Sales[Store_ID]</f>
        <v>STORE11</v>
      </c>
      <c r="G1578" s="21" t="str">
        <f t="array" ref="G1578">INDEX(Store[Store_Name],MATCH(F1578,Store[Store_ID],0))</f>
        <v>Aguirre-Keller</v>
      </c>
      <c r="H1578" s="21" t="str">
        <f>Sales[Product_ID]</f>
        <v>PROD94</v>
      </c>
      <c r="I1578" s="21" t="str">
        <f>VLOOKUP(H1578,Products[],2)</f>
        <v>Vitamin E Body Lotion</v>
      </c>
      <c r="J1578" s="24">
        <f>Sales[Total_Amount]</f>
        <v>733.8564</v>
      </c>
      <c r="K1578" s="21" t="str">
        <f t="shared" si="1"/>
        <v>Aug</v>
      </c>
      <c r="L1578" s="21">
        <f t="shared" si="2"/>
        <v>2024</v>
      </c>
      <c r="N1578" s="33"/>
      <c r="O1578" s="34"/>
    </row>
    <row r="1579" ht="22.5" customHeight="1">
      <c r="A1579" s="21" t="s">
        <v>3544</v>
      </c>
      <c r="B1579" s="21" t="s">
        <v>283</v>
      </c>
      <c r="C1579" s="21" t="str">
        <f t="array" ref="C1579">XLOOKUP(B1579,Customer[Customer_ID],Customer[Name(Cleaned)])</f>
        <v>Rhonda Morales</v>
      </c>
      <c r="D1579" s="22" t="str">
        <f>VLOOKUP(B1579,Customer[#ALL],6)</f>
        <v>Male</v>
      </c>
      <c r="E1579" s="23">
        <f>Sales[Order_Date]</f>
        <v>45925</v>
      </c>
      <c r="F1579" s="21" t="str">
        <f>Sales[Store_ID]</f>
        <v>STORE16</v>
      </c>
      <c r="G1579" s="21" t="str">
        <f t="array" ref="G1579">INDEX(Store[Store_Name],MATCH(F1579,Store[Store_ID],0))</f>
        <v>Frederick-Wright</v>
      </c>
      <c r="H1579" s="21" t="str">
        <f>Sales[Product_ID]</f>
        <v>PROD30</v>
      </c>
      <c r="I1579" s="21" t="str">
        <f>VLOOKUP(H1579,Products[],2)</f>
        <v>Stainless Steel Cutlery Set</v>
      </c>
      <c r="J1579" s="24">
        <f>Sales[Total_Amount]</f>
        <v>499.2436</v>
      </c>
      <c r="K1579" s="21" t="str">
        <f t="shared" si="1"/>
        <v>Sep</v>
      </c>
      <c r="L1579" s="21">
        <f t="shared" si="2"/>
        <v>2025</v>
      </c>
      <c r="N1579" s="33"/>
      <c r="O1579" s="34"/>
    </row>
    <row r="1580" ht="22.5" customHeight="1">
      <c r="A1580" s="21" t="s">
        <v>3545</v>
      </c>
      <c r="B1580" s="21" t="s">
        <v>1468</v>
      </c>
      <c r="C1580" s="21" t="str">
        <f t="array" ref="C1580">XLOOKUP(B1580,Customer[Customer_ID],Customer[Name(Cleaned)])</f>
        <v>Debra Mccullough</v>
      </c>
      <c r="D1580" s="22" t="str">
        <f>VLOOKUP(B1580,Customer[#ALL],6)</f>
        <v>Female</v>
      </c>
      <c r="E1580" s="23">
        <f>Sales[Order_Date]</f>
        <v>45765</v>
      </c>
      <c r="F1580" s="21" t="str">
        <f>Sales[Store_ID]</f>
        <v>STORE13</v>
      </c>
      <c r="G1580" s="21" t="str">
        <f t="array" ref="G1580">INDEX(Store[Store_Name],MATCH(F1580,Store[Store_ID],0))</f>
        <v>Gardner, Humphrey and Contreras</v>
      </c>
      <c r="H1580" s="21" t="str">
        <f>Sales[Product_ID]</f>
        <v>PROD97</v>
      </c>
      <c r="I1580" s="21" t="str">
        <f>VLOOKUP(H1580,Products[],2)</f>
        <v>Cricket Bat</v>
      </c>
      <c r="J1580" s="24">
        <f>Sales[Total_Amount]</f>
        <v>560.19</v>
      </c>
      <c r="K1580" s="21" t="str">
        <f t="shared" si="1"/>
        <v>Apr</v>
      </c>
      <c r="L1580" s="21">
        <f t="shared" si="2"/>
        <v>2025</v>
      </c>
      <c r="N1580" s="33"/>
      <c r="O1580" s="34"/>
    </row>
    <row r="1581" ht="22.5" customHeight="1">
      <c r="A1581" s="21" t="s">
        <v>3546</v>
      </c>
      <c r="B1581" s="21" t="s">
        <v>1447</v>
      </c>
      <c r="C1581" s="21" t="str">
        <f t="array" ref="C1581">XLOOKUP(B1581,Customer[Customer_ID],Customer[Name(Cleaned)])</f>
        <v>David Pierce</v>
      </c>
      <c r="D1581" s="22" t="str">
        <f>VLOOKUP(B1581,Customer[#ALL],6)</f>
        <v>Male</v>
      </c>
      <c r="E1581" s="23">
        <f>Sales[Order_Date]</f>
        <v>45515</v>
      </c>
      <c r="F1581" s="21" t="str">
        <f>Sales[Store_ID]</f>
        <v>STORE16</v>
      </c>
      <c r="G1581" s="21" t="str">
        <f t="array" ref="G1581">INDEX(Store[Store_Name],MATCH(F1581,Store[Store_ID],0))</f>
        <v>Frederick-Wright</v>
      </c>
      <c r="H1581" s="21" t="str">
        <f>Sales[Product_ID]</f>
        <v>PROD93</v>
      </c>
      <c r="I1581" s="21" t="str">
        <f>VLOOKUP(H1581,Products[],2)</f>
        <v>USB-C Laptop Charger</v>
      </c>
      <c r="J1581" s="24">
        <f>Sales[Total_Amount]</f>
        <v>412.6672</v>
      </c>
      <c r="K1581" s="21" t="str">
        <f t="shared" si="1"/>
        <v>Aug</v>
      </c>
      <c r="L1581" s="21">
        <f t="shared" si="2"/>
        <v>2024</v>
      </c>
      <c r="N1581" s="33"/>
      <c r="O1581" s="34"/>
    </row>
    <row r="1582" ht="22.5" customHeight="1">
      <c r="A1582" s="21" t="s">
        <v>3547</v>
      </c>
      <c r="B1582" s="21" t="s">
        <v>416</v>
      </c>
      <c r="C1582" s="21" t="str">
        <f t="array" ref="C1582">XLOOKUP(B1582,Customer[Customer_ID],Customer[Name(Cleaned)])</f>
        <v>Colleen Mccarthy</v>
      </c>
      <c r="D1582" s="22" t="str">
        <f>VLOOKUP(B1582,Customer[#ALL],6)</f>
        <v>Male</v>
      </c>
      <c r="E1582" s="23">
        <f>Sales[Order_Date]</f>
        <v>45882</v>
      </c>
      <c r="F1582" s="21" t="str">
        <f>Sales[Store_ID]</f>
        <v>STORE7</v>
      </c>
      <c r="G1582" s="21" t="str">
        <f t="array" ref="G1582">INDEX(Store[Store_Name],MATCH(F1582,Store[Store_ID],0))</f>
        <v>Martinez-Mullins</v>
      </c>
      <c r="H1582" s="21" t="str">
        <f>Sales[Product_ID]</f>
        <v>PROD97</v>
      </c>
      <c r="I1582" s="21" t="str">
        <f>VLOOKUP(H1582,Products[],2)</f>
        <v>Cricket Bat</v>
      </c>
      <c r="J1582" s="24">
        <f>Sales[Total_Amount]</f>
        <v>1172.0625</v>
      </c>
      <c r="K1582" s="21" t="str">
        <f t="shared" si="1"/>
        <v>Aug</v>
      </c>
      <c r="L1582" s="21">
        <f t="shared" si="2"/>
        <v>2025</v>
      </c>
      <c r="N1582" s="33"/>
      <c r="O1582" s="34"/>
    </row>
    <row r="1583" ht="22.5" customHeight="1">
      <c r="A1583" s="21" t="s">
        <v>3548</v>
      </c>
      <c r="B1583" s="21" t="s">
        <v>1122</v>
      </c>
      <c r="C1583" s="21" t="str">
        <f t="array" ref="C1583">XLOOKUP(B1583,Customer[Customer_ID],Customer[Name(Cleaned)])</f>
        <v>Laura Green</v>
      </c>
      <c r="D1583" s="22" t="str">
        <f>VLOOKUP(B1583,Customer[#ALL],6)</f>
        <v>Male</v>
      </c>
      <c r="E1583" s="23">
        <f>Sales[Order_Date]</f>
        <v>45923</v>
      </c>
      <c r="F1583" s="21" t="str">
        <f>Sales[Store_ID]</f>
        <v>STORE2</v>
      </c>
      <c r="G1583" s="21" t="str">
        <f t="array" ref="G1583">INDEX(Store[Store_Name],MATCH(F1583,Store[Store_ID],0))</f>
        <v>Black-Horn</v>
      </c>
      <c r="H1583" s="21" t="str">
        <f>Sales[Product_ID]</f>
        <v>PROD48</v>
      </c>
      <c r="I1583" s="21" t="str">
        <f>VLOOKUP(H1583,Products[],2)</f>
        <v>Car Dashboard Phone Holder</v>
      </c>
      <c r="J1583" s="24">
        <f>Sales[Total_Amount]</f>
        <v>1565.982</v>
      </c>
      <c r="K1583" s="21" t="str">
        <f t="shared" si="1"/>
        <v>Sep</v>
      </c>
      <c r="L1583" s="21">
        <f t="shared" si="2"/>
        <v>2025</v>
      </c>
      <c r="N1583" s="33"/>
      <c r="O1583" s="34"/>
    </row>
    <row r="1584" ht="22.5" customHeight="1">
      <c r="A1584" s="21" t="s">
        <v>3549</v>
      </c>
      <c r="B1584" s="21" t="s">
        <v>152</v>
      </c>
      <c r="C1584" s="21" t="str">
        <f t="array" ref="C1584">XLOOKUP(B1584,Customer[Customer_ID],Customer[Name(Cleaned)])</f>
        <v>Thomas Phillips</v>
      </c>
      <c r="D1584" s="22" t="str">
        <f>VLOOKUP(B1584,Customer[#ALL],6)</f>
        <v>Male</v>
      </c>
      <c r="E1584" s="23">
        <f>Sales[Order_Date]</f>
        <v>45421</v>
      </c>
      <c r="F1584" s="21" t="str">
        <f>Sales[Store_ID]</f>
        <v>STORE5</v>
      </c>
      <c r="G1584" s="21" t="str">
        <f t="array" ref="G1584">INDEX(Store[Store_Name],MATCH(F1584,Store[Store_ID],0))</f>
        <v>Gray Ltd</v>
      </c>
      <c r="H1584" s="21" t="str">
        <f>Sales[Product_ID]</f>
        <v>PROD90</v>
      </c>
      <c r="I1584" s="21" t="str">
        <f>VLOOKUP(H1584,Products[],2)</f>
        <v>Gaming Mouse Pad XL</v>
      </c>
      <c r="J1584" s="24">
        <f>Sales[Total_Amount]</f>
        <v>1045.6292</v>
      </c>
      <c r="K1584" s="21" t="str">
        <f t="shared" si="1"/>
        <v>May</v>
      </c>
      <c r="L1584" s="21">
        <f t="shared" si="2"/>
        <v>2024</v>
      </c>
      <c r="N1584" s="33"/>
      <c r="O1584" s="34"/>
    </row>
    <row r="1585" ht="22.5" customHeight="1">
      <c r="A1585" s="21" t="s">
        <v>3550</v>
      </c>
      <c r="B1585" s="21" t="s">
        <v>272</v>
      </c>
      <c r="C1585" s="21" t="str">
        <f t="array" ref="C1585">XLOOKUP(B1585,Customer[Customer_ID],Customer[Name(Cleaned)])</f>
        <v>Tonya Burch</v>
      </c>
      <c r="D1585" s="22" t="str">
        <f>VLOOKUP(B1585,Customer[#ALL],6)</f>
        <v>Male</v>
      </c>
      <c r="E1585" s="23">
        <f>Sales[Order_Date]</f>
        <v>45608</v>
      </c>
      <c r="F1585" s="21" t="str">
        <f>Sales[Store_ID]</f>
        <v>STORE14</v>
      </c>
      <c r="G1585" s="21" t="str">
        <f t="array" ref="G1585">INDEX(Store[Store_Name],MATCH(F1585,Store[Store_ID],0))</f>
        <v>Mcdonald Inc</v>
      </c>
      <c r="H1585" s="21" t="str">
        <f>Sales[Product_ID]</f>
        <v>PROD27</v>
      </c>
      <c r="I1585" s="21" t="str">
        <f>VLOOKUP(H1585,Products[],2)</f>
        <v>Decorative Floor Vase</v>
      </c>
      <c r="J1585" s="24">
        <f>Sales[Total_Amount]</f>
        <v>2242.8216</v>
      </c>
      <c r="K1585" s="21" t="str">
        <f t="shared" si="1"/>
        <v>Nov</v>
      </c>
      <c r="L1585" s="21">
        <f t="shared" si="2"/>
        <v>2024</v>
      </c>
      <c r="N1585" s="33"/>
      <c r="O1585" s="34"/>
    </row>
    <row r="1586" ht="22.5" customHeight="1">
      <c r="A1586" s="21" t="s">
        <v>3551</v>
      </c>
      <c r="B1586" s="21" t="s">
        <v>229</v>
      </c>
      <c r="C1586" s="21" t="str">
        <f t="array" ref="C1586">XLOOKUP(B1586,Customer[Customer_ID],Customer[Name(Cleaned)])</f>
        <v>Alyssa Vargas</v>
      </c>
      <c r="D1586" s="22" t="str">
        <f>VLOOKUP(B1586,Customer[#ALL],6)</f>
        <v>Female</v>
      </c>
      <c r="E1586" s="23">
        <f>Sales[Order_Date]</f>
        <v>45644</v>
      </c>
      <c r="F1586" s="21" t="str">
        <f>Sales[Store_ID]</f>
        <v>STORE4</v>
      </c>
      <c r="G1586" s="21" t="str">
        <f t="array" ref="G1586">INDEX(Store[Store_Name],MATCH(F1586,Store[Store_ID],0))</f>
        <v>Alexander Group</v>
      </c>
      <c r="H1586" s="21" t="str">
        <f>Sales[Product_ID]</f>
        <v>PROD94</v>
      </c>
      <c r="I1586" s="21" t="str">
        <f>VLOOKUP(H1586,Products[],2)</f>
        <v>Vitamin E Body Lotion</v>
      </c>
      <c r="J1586" s="24">
        <f>Sales[Total_Amount]</f>
        <v>615.467</v>
      </c>
      <c r="K1586" s="21" t="str">
        <f t="shared" si="1"/>
        <v>Dec</v>
      </c>
      <c r="L1586" s="21">
        <f t="shared" si="2"/>
        <v>2024</v>
      </c>
      <c r="N1586" s="33"/>
      <c r="O1586" s="34"/>
    </row>
    <row r="1587" ht="22.5" customHeight="1">
      <c r="A1587" s="21" t="s">
        <v>3552</v>
      </c>
      <c r="B1587" s="21" t="s">
        <v>472</v>
      </c>
      <c r="C1587" s="21" t="str">
        <f t="array" ref="C1587">XLOOKUP(B1587,Customer[Customer_ID],Customer[Name(Cleaned)])</f>
        <v>Matthew Hanna</v>
      </c>
      <c r="D1587" s="22" t="str">
        <f>VLOOKUP(B1587,Customer[#ALL],6)</f>
        <v>Male</v>
      </c>
      <c r="E1587" s="23">
        <f>Sales[Order_Date]</f>
        <v>45517</v>
      </c>
      <c r="F1587" s="21" t="str">
        <f>Sales[Store_ID]</f>
        <v>STORE6</v>
      </c>
      <c r="G1587" s="21" t="str">
        <f t="array" ref="G1587">INDEX(Store[Store_Name],MATCH(F1587,Store[Store_ID],0))</f>
        <v>Benson-Elliott</v>
      </c>
      <c r="H1587" s="21" t="str">
        <f>Sales[Product_ID]</f>
        <v>PROD12</v>
      </c>
      <c r="I1587" s="21" t="str">
        <f>VLOOKUP(H1587,Products[],2)</f>
        <v>Hair Strengthening Shampoo</v>
      </c>
      <c r="J1587" s="24">
        <f>Sales[Total_Amount]</f>
        <v>323.352</v>
      </c>
      <c r="K1587" s="21" t="str">
        <f t="shared" si="1"/>
        <v>Aug</v>
      </c>
      <c r="L1587" s="21">
        <f t="shared" si="2"/>
        <v>2024</v>
      </c>
      <c r="N1587" s="33"/>
      <c r="O1587" s="34"/>
    </row>
    <row r="1588" ht="22.5" customHeight="1">
      <c r="A1588" s="21" t="s">
        <v>3553</v>
      </c>
      <c r="B1588" s="21" t="s">
        <v>1251</v>
      </c>
      <c r="C1588" s="21" t="str">
        <f t="array" ref="C1588">XLOOKUP(B1588,Customer[Customer_ID],Customer[Name(Cleaned)])</f>
        <v>Alexander Byrd</v>
      </c>
      <c r="D1588" s="22" t="str">
        <f>VLOOKUP(B1588,Customer[#ALL],6)</f>
        <v>Male</v>
      </c>
      <c r="E1588" s="23">
        <f>Sales[Order_Date]</f>
        <v>45545</v>
      </c>
      <c r="F1588" s="21" t="str">
        <f>Sales[Store_ID]</f>
        <v>STORE4</v>
      </c>
      <c r="G1588" s="21" t="str">
        <f t="array" ref="G1588">INDEX(Store[Store_Name],MATCH(F1588,Store[Store_ID],0))</f>
        <v>Alexander Group</v>
      </c>
      <c r="H1588" s="21" t="str">
        <f>Sales[Product_ID]</f>
        <v>PROD62</v>
      </c>
      <c r="I1588" s="21" t="str">
        <f>VLOOKUP(H1588,Products[],2)</f>
        <v>Laptop Cooling Pad</v>
      </c>
      <c r="J1588" s="24">
        <f>Sales[Total_Amount]</f>
        <v>977.6985</v>
      </c>
      <c r="K1588" s="21" t="str">
        <f t="shared" si="1"/>
        <v>Sep</v>
      </c>
      <c r="L1588" s="21">
        <f t="shared" si="2"/>
        <v>2024</v>
      </c>
      <c r="N1588" s="33"/>
      <c r="O1588" s="34"/>
    </row>
    <row r="1589" ht="22.5" customHeight="1">
      <c r="A1589" s="21" t="s">
        <v>3554</v>
      </c>
      <c r="B1589" s="21" t="s">
        <v>594</v>
      </c>
      <c r="C1589" s="21" t="str">
        <f t="array" ref="C1589">XLOOKUP(B1589,Customer[Customer_ID],Customer[Name(Cleaned)])</f>
        <v>John Bradford</v>
      </c>
      <c r="D1589" s="22" t="str">
        <f>VLOOKUP(B1589,Customer[#ALL],6)</f>
        <v>Female</v>
      </c>
      <c r="E1589" s="23">
        <f>Sales[Order_Date]</f>
        <v>45547</v>
      </c>
      <c r="F1589" s="21" t="str">
        <f>Sales[Store_ID]</f>
        <v>STORE16</v>
      </c>
      <c r="G1589" s="21" t="str">
        <f t="array" ref="G1589">INDEX(Store[Store_Name],MATCH(F1589,Store[Store_ID],0))</f>
        <v>Frederick-Wright</v>
      </c>
      <c r="H1589" s="21" t="str">
        <f>Sales[Product_ID]</f>
        <v>PROD91</v>
      </c>
      <c r="I1589" s="21" t="str">
        <f>VLOOKUP(H1589,Products[],2)</f>
        <v>Women's High Heels</v>
      </c>
      <c r="J1589" s="24">
        <f>Sales[Total_Amount]</f>
        <v>3529.162</v>
      </c>
      <c r="K1589" s="21" t="str">
        <f t="shared" si="1"/>
        <v>Sep</v>
      </c>
      <c r="L1589" s="21">
        <f t="shared" si="2"/>
        <v>2024</v>
      </c>
      <c r="N1589" s="33"/>
      <c r="O1589" s="34"/>
    </row>
    <row r="1590" ht="22.5" customHeight="1">
      <c r="A1590" s="21" t="s">
        <v>3555</v>
      </c>
      <c r="B1590" s="21" t="s">
        <v>1441</v>
      </c>
      <c r="C1590" s="21" t="str">
        <f t="array" ref="C1590">XLOOKUP(B1590,Customer[Customer_ID],Customer[Name(Cleaned)])</f>
        <v>Beth Martin</v>
      </c>
      <c r="D1590" s="22" t="str">
        <f>VLOOKUP(B1590,Customer[#ALL],6)</f>
        <v>Male</v>
      </c>
      <c r="E1590" s="23">
        <f>Sales[Order_Date]</f>
        <v>45433</v>
      </c>
      <c r="F1590" s="21" t="str">
        <f>Sales[Store_ID]</f>
        <v>STORE12</v>
      </c>
      <c r="G1590" s="21" t="str">
        <f t="array" ref="G1590">INDEX(Store[Store_Name],MATCH(F1590,Store[Store_ID],0))</f>
        <v>Thomas, Bridges and Harris</v>
      </c>
      <c r="H1590" s="21" t="str">
        <f>Sales[Product_ID]</f>
        <v>PROD74</v>
      </c>
      <c r="I1590" s="21" t="str">
        <f>VLOOKUP(H1590,Products[],2)</f>
        <v>Bluetooth Car Audio System</v>
      </c>
      <c r="J1590" s="24">
        <f>Sales[Total_Amount]</f>
        <v>959.1318</v>
      </c>
      <c r="K1590" s="21" t="str">
        <f t="shared" si="1"/>
        <v>May</v>
      </c>
      <c r="L1590" s="21">
        <f t="shared" si="2"/>
        <v>2024</v>
      </c>
      <c r="N1590" s="33"/>
      <c r="O1590" s="34"/>
    </row>
    <row r="1591" ht="22.5" customHeight="1">
      <c r="A1591" s="21" t="s">
        <v>3556</v>
      </c>
      <c r="B1591" s="21" t="s">
        <v>1149</v>
      </c>
      <c r="C1591" s="21" t="str">
        <f t="array" ref="C1591">XLOOKUP(B1591,Customer[Customer_ID],Customer[Name(Cleaned)])</f>
        <v>Joshua Smith Dvm</v>
      </c>
      <c r="D1591" s="22" t="str">
        <f>VLOOKUP(B1591,Customer[#ALL],6)</f>
        <v>Female</v>
      </c>
      <c r="E1591" s="23">
        <f>Sales[Order_Date]</f>
        <v>45792</v>
      </c>
      <c r="F1591" s="21" t="str">
        <f>Sales[Store_ID]</f>
        <v>STORE0</v>
      </c>
      <c r="G1591" s="21" t="str">
        <f t="array" ref="G1591">INDEX(Store[Store_Name],MATCH(F1591,Store[Store_ID],0))</f>
        <v>Rivera-Warner</v>
      </c>
      <c r="H1591" s="21" t="str">
        <f>Sales[Product_ID]</f>
        <v>PROD83</v>
      </c>
      <c r="I1591" s="21" t="str">
        <f>VLOOKUP(H1591,Products[],2)</f>
        <v>Hydrating Face Cleanser</v>
      </c>
      <c r="J1591" s="24">
        <f>Sales[Total_Amount]</f>
        <v>68.6942</v>
      </c>
      <c r="K1591" s="21" t="str">
        <f t="shared" si="1"/>
        <v>May</v>
      </c>
      <c r="L1591" s="21">
        <f t="shared" si="2"/>
        <v>2025</v>
      </c>
      <c r="N1591" s="33"/>
      <c r="O1591" s="34"/>
    </row>
    <row r="1592" ht="22.5" customHeight="1">
      <c r="A1592" s="21" t="s">
        <v>3557</v>
      </c>
      <c r="B1592" s="21" t="s">
        <v>444</v>
      </c>
      <c r="C1592" s="21" t="str">
        <f t="array" ref="C1592">XLOOKUP(B1592,Customer[Customer_ID],Customer[Name(Cleaned)])</f>
        <v>James Wolfe</v>
      </c>
      <c r="D1592" s="22" t="str">
        <f>VLOOKUP(B1592,Customer[#ALL],6)</f>
        <v>Male</v>
      </c>
      <c r="E1592" s="23">
        <f>Sales[Order_Date]</f>
        <v>45927</v>
      </c>
      <c r="F1592" s="21" t="str">
        <f>Sales[Store_ID]</f>
        <v>STORE12</v>
      </c>
      <c r="G1592" s="21" t="str">
        <f t="array" ref="G1592">INDEX(Store[Store_Name],MATCH(F1592,Store[Store_ID],0))</f>
        <v>Thomas, Bridges and Harris</v>
      </c>
      <c r="H1592" s="21" t="str">
        <f>Sales[Product_ID]</f>
        <v>PROD89</v>
      </c>
      <c r="I1592" s="21" t="str">
        <f>VLOOKUP(H1592,Products[],2)</f>
        <v>Face Foundation Kit</v>
      </c>
      <c r="J1592" s="24">
        <f>Sales[Total_Amount]</f>
        <v>230.603</v>
      </c>
      <c r="K1592" s="21" t="str">
        <f t="shared" si="1"/>
        <v>Sep</v>
      </c>
      <c r="L1592" s="21">
        <f t="shared" si="2"/>
        <v>2025</v>
      </c>
      <c r="N1592" s="33"/>
      <c r="O1592" s="34"/>
    </row>
    <row r="1593" ht="22.5" customHeight="1">
      <c r="A1593" s="21" t="s">
        <v>3558</v>
      </c>
      <c r="B1593" s="21" t="s">
        <v>1320</v>
      </c>
      <c r="C1593" s="21" t="str">
        <f t="array" ref="C1593">XLOOKUP(B1593,Customer[Customer_ID],Customer[Name(Cleaned)])</f>
        <v>Dr. Tamara White Md</v>
      </c>
      <c r="D1593" s="22" t="str">
        <f>VLOOKUP(B1593,Customer[#ALL],6)</f>
        <v>Female</v>
      </c>
      <c r="E1593" s="23">
        <f>Sales[Order_Date]</f>
        <v>45804</v>
      </c>
      <c r="F1593" s="21" t="str">
        <f>Sales[Store_ID]</f>
        <v>STORE3</v>
      </c>
      <c r="G1593" s="21" t="str">
        <f t="array" ref="G1593">INDEX(Store[Store_Name],MATCH(F1593,Store[Store_ID],0))</f>
        <v>Johnson-Wright</v>
      </c>
      <c r="H1593" s="21" t="str">
        <f>Sales[Product_ID]</f>
        <v>PROD8</v>
      </c>
      <c r="I1593" s="21" t="str">
        <f>VLOOKUP(H1593,Products[],2)</f>
        <v>Decorative Lamp Shade</v>
      </c>
      <c r="J1593" s="24">
        <f>Sales[Total_Amount]</f>
        <v>1452.4944</v>
      </c>
      <c r="K1593" s="21" t="str">
        <f t="shared" si="1"/>
        <v>May</v>
      </c>
      <c r="L1593" s="21">
        <f t="shared" si="2"/>
        <v>2025</v>
      </c>
      <c r="N1593" s="33"/>
      <c r="O1593" s="34"/>
    </row>
    <row r="1594" ht="22.5" customHeight="1">
      <c r="A1594" s="21" t="s">
        <v>3559</v>
      </c>
      <c r="B1594" s="21" t="s">
        <v>300</v>
      </c>
      <c r="C1594" s="21" t="str">
        <f t="array" ref="C1594">XLOOKUP(B1594,Customer[Customer_ID],Customer[Name(Cleaned)])</f>
        <v>Jennifer Garcia</v>
      </c>
      <c r="D1594" s="22" t="str">
        <f>VLOOKUP(B1594,Customer[#ALL],6)</f>
        <v>Male</v>
      </c>
      <c r="E1594" s="23">
        <f>Sales[Order_Date]</f>
        <v>45311</v>
      </c>
      <c r="F1594" s="21" t="str">
        <f>Sales[Store_ID]</f>
        <v>STORE13</v>
      </c>
      <c r="G1594" s="21" t="str">
        <f t="array" ref="G1594">INDEX(Store[Store_Name],MATCH(F1594,Store[Store_ID],0))</f>
        <v>Gardner, Humphrey and Contreras</v>
      </c>
      <c r="H1594" s="21" t="str">
        <f>Sales[Product_ID]</f>
        <v>PROD39</v>
      </c>
      <c r="I1594" s="21" t="str">
        <f>VLOOKUP(H1594,Products[],2)</f>
        <v>Portable Power Bank</v>
      </c>
      <c r="J1594" s="24">
        <f>Sales[Total_Amount]</f>
        <v>1592.3416</v>
      </c>
      <c r="K1594" s="21" t="str">
        <f t="shared" si="1"/>
        <v>Jan</v>
      </c>
      <c r="L1594" s="21">
        <f t="shared" si="2"/>
        <v>2024</v>
      </c>
      <c r="N1594" s="33"/>
      <c r="O1594" s="34"/>
    </row>
    <row r="1595" ht="22.5" customHeight="1">
      <c r="A1595" s="21" t="s">
        <v>3560</v>
      </c>
      <c r="B1595" s="21" t="s">
        <v>1485</v>
      </c>
      <c r="C1595" s="21" t="str">
        <f t="array" ref="C1595">XLOOKUP(B1595,Customer[Customer_ID],Customer[Name(Cleaned)])</f>
        <v>Andrea Harris</v>
      </c>
      <c r="D1595" s="22" t="str">
        <f>VLOOKUP(B1595,Customer[#ALL],6)</f>
        <v>Male</v>
      </c>
      <c r="E1595" s="23">
        <f>Sales[Order_Date]</f>
        <v>45605</v>
      </c>
      <c r="F1595" s="21" t="str">
        <f>Sales[Store_ID]</f>
        <v>STORE11</v>
      </c>
      <c r="G1595" s="21" t="str">
        <f t="array" ref="G1595">INDEX(Store[Store_Name],MATCH(F1595,Store[Store_ID],0))</f>
        <v>Aguirre-Keller</v>
      </c>
      <c r="H1595" s="21" t="str">
        <f>Sales[Product_ID]</f>
        <v>PROD25</v>
      </c>
      <c r="I1595" s="21" t="str">
        <f>VLOOKUP(H1595,Products[],2)</f>
        <v>Women's Scarf Set</v>
      </c>
      <c r="J1595" s="24">
        <f>Sales[Total_Amount]</f>
        <v>239.3226</v>
      </c>
      <c r="K1595" s="21" t="str">
        <f t="shared" si="1"/>
        <v>Nov</v>
      </c>
      <c r="L1595" s="21">
        <f t="shared" si="2"/>
        <v>2024</v>
      </c>
      <c r="N1595" s="33"/>
      <c r="O1595" s="34"/>
    </row>
    <row r="1596" ht="22.5" customHeight="1">
      <c r="A1596" s="21" t="s">
        <v>3561</v>
      </c>
      <c r="B1596" s="21" t="s">
        <v>1405</v>
      </c>
      <c r="C1596" s="21" t="str">
        <f t="array" ref="C1596">XLOOKUP(B1596,Customer[Customer_ID],Customer[Name(Cleaned)])</f>
        <v>William Cortez</v>
      </c>
      <c r="D1596" s="22" t="str">
        <f>VLOOKUP(B1596,Customer[#ALL],6)</f>
        <v>Female</v>
      </c>
      <c r="E1596" s="23">
        <f>Sales[Order_Date]</f>
        <v>45338</v>
      </c>
      <c r="F1596" s="21" t="str">
        <f>Sales[Store_ID]</f>
        <v>STORE10</v>
      </c>
      <c r="G1596" s="21" t="str">
        <f t="array" ref="G1596">INDEX(Store[Store_Name],MATCH(F1596,Store[Store_ID],0))</f>
        <v>Hill, Wagner and Ballard</v>
      </c>
      <c r="H1596" s="21" t="str">
        <f>Sales[Product_ID]</f>
        <v>PROD83</v>
      </c>
      <c r="I1596" s="21" t="str">
        <f>VLOOKUP(H1596,Products[],2)</f>
        <v>Hydrating Face Cleanser</v>
      </c>
      <c r="J1596" s="24">
        <f>Sales[Total_Amount]</f>
        <v>246.996</v>
      </c>
      <c r="K1596" s="21" t="str">
        <f t="shared" si="1"/>
        <v>Feb</v>
      </c>
      <c r="L1596" s="21">
        <f t="shared" si="2"/>
        <v>2024</v>
      </c>
      <c r="N1596" s="33"/>
      <c r="O1596" s="34"/>
    </row>
    <row r="1597" ht="22.5" customHeight="1">
      <c r="A1597" s="21" t="s">
        <v>3562</v>
      </c>
      <c r="B1597" s="21" t="s">
        <v>252</v>
      </c>
      <c r="C1597" s="21" t="str">
        <f t="array" ref="C1597">XLOOKUP(B1597,Customer[Customer_ID],Customer[Name(Cleaned)])</f>
        <v>Cody Diaz</v>
      </c>
      <c r="D1597" s="22" t="str">
        <f>VLOOKUP(B1597,Customer[#ALL],6)</f>
        <v>Male</v>
      </c>
      <c r="E1597" s="23">
        <f>Sales[Order_Date]</f>
        <v>45642</v>
      </c>
      <c r="F1597" s="21" t="str">
        <f>Sales[Store_ID]</f>
        <v>STORE4</v>
      </c>
      <c r="G1597" s="21" t="str">
        <f t="array" ref="G1597">INDEX(Store[Store_Name],MATCH(F1597,Store[Store_ID],0))</f>
        <v>Alexander Group</v>
      </c>
      <c r="H1597" s="21" t="str">
        <f>Sales[Product_ID]</f>
        <v>PROD17</v>
      </c>
      <c r="I1597" s="21" t="str">
        <f>VLOOKUP(H1597,Products[],2)</f>
        <v>Soccer Training Cone Set</v>
      </c>
      <c r="J1597" s="24">
        <f>Sales[Total_Amount]</f>
        <v>332.0234</v>
      </c>
      <c r="K1597" s="21" t="str">
        <f t="shared" si="1"/>
        <v>Dec</v>
      </c>
      <c r="L1597" s="21">
        <f t="shared" si="2"/>
        <v>2024</v>
      </c>
      <c r="N1597" s="33"/>
      <c r="O1597" s="34"/>
    </row>
    <row r="1598" ht="22.5" customHeight="1">
      <c r="A1598" s="21" t="s">
        <v>3563</v>
      </c>
      <c r="B1598" s="21" t="s">
        <v>1294</v>
      </c>
      <c r="C1598" s="21" t="str">
        <f t="array" ref="C1598">XLOOKUP(B1598,Customer[Customer_ID],Customer[Name(Cleaned)])</f>
        <v>Katrina Perez</v>
      </c>
      <c r="D1598" s="22" t="str">
        <f>VLOOKUP(B1598,Customer[#ALL],6)</f>
        <v>Female</v>
      </c>
      <c r="E1598" s="23">
        <f>Sales[Order_Date]</f>
        <v>45693</v>
      </c>
      <c r="F1598" s="21" t="str">
        <f>Sales[Store_ID]</f>
        <v>STORE15</v>
      </c>
      <c r="G1598" s="21" t="str">
        <f t="array" ref="G1598">INDEX(Store[Store_Name],MATCH(F1598,Store[Store_ID],0))</f>
        <v>Shelton PLC</v>
      </c>
      <c r="H1598" s="21" t="str">
        <f>Sales[Product_ID]</f>
        <v>PROD18</v>
      </c>
      <c r="I1598" s="21" t="str">
        <f>VLOOKUP(H1598,Products[],2)</f>
        <v>Women's Denim Jeans</v>
      </c>
      <c r="J1598" s="24">
        <f>Sales[Total_Amount]</f>
        <v>116.2314</v>
      </c>
      <c r="K1598" s="21" t="str">
        <f t="shared" si="1"/>
        <v>Feb</v>
      </c>
      <c r="L1598" s="21">
        <f t="shared" si="2"/>
        <v>2025</v>
      </c>
      <c r="N1598" s="33"/>
      <c r="O1598" s="34"/>
    </row>
    <row r="1599" ht="22.5" customHeight="1">
      <c r="A1599" s="21" t="s">
        <v>3564</v>
      </c>
      <c r="B1599" s="21" t="s">
        <v>881</v>
      </c>
      <c r="C1599" s="21" t="str">
        <f t="array" ref="C1599">XLOOKUP(B1599,Customer[Customer_ID],Customer[Name(Cleaned)])</f>
        <v>Adam Rowland</v>
      </c>
      <c r="D1599" s="22" t="str">
        <f>VLOOKUP(B1599,Customer[#ALL],6)</f>
        <v>Male</v>
      </c>
      <c r="E1599" s="23">
        <f>Sales[Order_Date]</f>
        <v>45763</v>
      </c>
      <c r="F1599" s="21" t="str">
        <f>Sales[Store_ID]</f>
        <v>STORE19</v>
      </c>
      <c r="G1599" s="21" t="str">
        <f t="array" ref="G1599">INDEX(Store[Store_Name],MATCH(F1599,Store[Store_ID],0))</f>
        <v>Mann-Austin</v>
      </c>
      <c r="H1599" s="21" t="str">
        <f>Sales[Product_ID]</f>
        <v>PROD73</v>
      </c>
      <c r="I1599" s="21" t="str">
        <f>VLOOKUP(H1599,Products[],2)</f>
        <v>Shin Guards – Adult</v>
      </c>
      <c r="J1599" s="24">
        <f>Sales[Total_Amount]</f>
        <v>655.6104</v>
      </c>
      <c r="K1599" s="21" t="str">
        <f t="shared" si="1"/>
        <v>Apr</v>
      </c>
      <c r="L1599" s="21">
        <f t="shared" si="2"/>
        <v>2025</v>
      </c>
      <c r="N1599" s="33"/>
      <c r="O1599" s="34"/>
    </row>
    <row r="1600" ht="22.5" customHeight="1">
      <c r="A1600" s="21" t="s">
        <v>3565</v>
      </c>
      <c r="B1600" s="21" t="s">
        <v>576</v>
      </c>
      <c r="C1600" s="21" t="str">
        <f t="array" ref="C1600">XLOOKUP(B1600,Customer[Customer_ID],Customer[Name(Cleaned)])</f>
        <v>Christopher Garcia Dds</v>
      </c>
      <c r="D1600" s="22" t="str">
        <f>VLOOKUP(B1600,Customer[#ALL],6)</f>
        <v>Female</v>
      </c>
      <c r="E1600" s="23">
        <f>Sales[Order_Date]</f>
        <v>45572</v>
      </c>
      <c r="F1600" s="21" t="str">
        <f>Sales[Store_ID]</f>
        <v>STORE15</v>
      </c>
      <c r="G1600" s="21" t="str">
        <f t="array" ref="G1600">INDEX(Store[Store_Name],MATCH(F1600,Store[Store_ID],0))</f>
        <v>Shelton PLC</v>
      </c>
      <c r="H1600" s="21" t="str">
        <f>Sales[Product_ID]</f>
        <v>PROD23</v>
      </c>
      <c r="I1600" s="21" t="str">
        <f>VLOOKUP(H1600,Products[],2)</f>
        <v>Men's Formal Shirt</v>
      </c>
      <c r="J1600" s="24">
        <f>Sales[Total_Amount]</f>
        <v>557.6868</v>
      </c>
      <c r="K1600" s="21" t="str">
        <f t="shared" si="1"/>
        <v>Oct</v>
      </c>
      <c r="L1600" s="21">
        <f t="shared" si="2"/>
        <v>2024</v>
      </c>
      <c r="N1600" s="33"/>
      <c r="O1600" s="34"/>
    </row>
    <row r="1601" ht="22.5" customHeight="1">
      <c r="A1601" s="21" t="s">
        <v>3566</v>
      </c>
      <c r="B1601" s="21" t="s">
        <v>1233</v>
      </c>
      <c r="C1601" s="21" t="str">
        <f t="array" ref="C1601">XLOOKUP(B1601,Customer[Customer_ID],Customer[Name(Cleaned)])</f>
        <v>Daniel Bell</v>
      </c>
      <c r="D1601" s="22" t="str">
        <f>VLOOKUP(B1601,Customer[#ALL],6)</f>
        <v>Female</v>
      </c>
      <c r="E1601" s="23">
        <f>Sales[Order_Date]</f>
        <v>45338</v>
      </c>
      <c r="F1601" s="21" t="str">
        <f>Sales[Store_ID]</f>
        <v>STORE0</v>
      </c>
      <c r="G1601" s="21" t="str">
        <f t="array" ref="G1601">INDEX(Store[Store_Name],MATCH(F1601,Store[Store_ID],0))</f>
        <v>Rivera-Warner</v>
      </c>
      <c r="H1601" s="21" t="str">
        <f>Sales[Product_ID]</f>
        <v>PROD11</v>
      </c>
      <c r="I1601" s="21" t="str">
        <f>VLOOKUP(H1601,Products[],2)</f>
        <v>Men's Graphic T-Shirt</v>
      </c>
      <c r="J1601" s="24">
        <f>Sales[Total_Amount]</f>
        <v>264.9389</v>
      </c>
      <c r="K1601" s="21" t="str">
        <f t="shared" si="1"/>
        <v>Feb</v>
      </c>
      <c r="L1601" s="21">
        <f t="shared" si="2"/>
        <v>2024</v>
      </c>
      <c r="N1601" s="33"/>
      <c r="O1601" s="34"/>
    </row>
    <row r="1602" ht="22.5" customHeight="1">
      <c r="A1602" s="21" t="s">
        <v>3567</v>
      </c>
      <c r="B1602" s="21" t="s">
        <v>1071</v>
      </c>
      <c r="C1602" s="21" t="str">
        <f t="array" ref="C1602">XLOOKUP(B1602,Customer[Customer_ID],Customer[Name(Cleaned)])</f>
        <v>John Jones</v>
      </c>
      <c r="D1602" s="22" t="str">
        <f>VLOOKUP(B1602,Customer[#ALL],6)</f>
        <v>Male</v>
      </c>
      <c r="E1602" s="23">
        <f>Sales[Order_Date]</f>
        <v>45373</v>
      </c>
      <c r="F1602" s="21" t="str">
        <f>Sales[Store_ID]</f>
        <v>STORE15</v>
      </c>
      <c r="G1602" s="21" t="str">
        <f t="array" ref="G1602">INDEX(Store[Store_Name],MATCH(F1602,Store[Store_ID],0))</f>
        <v>Shelton PLC</v>
      </c>
      <c r="H1602" s="21" t="str">
        <f>Sales[Product_ID]</f>
        <v>PROD11</v>
      </c>
      <c r="I1602" s="21" t="str">
        <f>VLOOKUP(H1602,Products[],2)</f>
        <v>Men's Graphic T-Shirt</v>
      </c>
      <c r="J1602" s="24">
        <f>Sales[Total_Amount]</f>
        <v>1211.0416</v>
      </c>
      <c r="K1602" s="21" t="str">
        <f t="shared" si="1"/>
        <v>Mar</v>
      </c>
      <c r="L1602" s="21">
        <f t="shared" si="2"/>
        <v>2024</v>
      </c>
      <c r="N1602" s="33"/>
      <c r="O1602" s="34"/>
    </row>
    <row r="1603" ht="22.5" customHeight="1">
      <c r="A1603" s="21" t="s">
        <v>3568</v>
      </c>
      <c r="B1603" s="21" t="s">
        <v>830</v>
      </c>
      <c r="C1603" s="21" t="str">
        <f t="array" ref="C1603">XLOOKUP(B1603,Customer[Customer_ID],Customer[Name(Cleaned)])</f>
        <v>Damon Perez</v>
      </c>
      <c r="D1603" s="22" t="str">
        <f>VLOOKUP(B1603,Customer[#ALL],6)</f>
        <v>Female</v>
      </c>
      <c r="E1603" s="23">
        <f>Sales[Order_Date]</f>
        <v>45914</v>
      </c>
      <c r="F1603" s="21" t="str">
        <f>Sales[Store_ID]</f>
        <v>STORE10</v>
      </c>
      <c r="G1603" s="21" t="str">
        <f t="array" ref="G1603">INDEX(Store[Store_Name],MATCH(F1603,Store[Store_ID],0))</f>
        <v>Hill, Wagner and Ballard</v>
      </c>
      <c r="H1603" s="21" t="str">
        <f>Sales[Product_ID]</f>
        <v>PROD53</v>
      </c>
      <c r="I1603" s="21" t="str">
        <f>VLOOKUP(H1603,Products[],2)</f>
        <v>Men's Track Pants</v>
      </c>
      <c r="J1603" s="24">
        <f>Sales[Total_Amount]</f>
        <v>1425.7782</v>
      </c>
      <c r="K1603" s="21" t="str">
        <f t="shared" si="1"/>
        <v>Sep</v>
      </c>
      <c r="L1603" s="21">
        <f t="shared" si="2"/>
        <v>2025</v>
      </c>
      <c r="N1603" s="33"/>
      <c r="O1603" s="34"/>
    </row>
    <row r="1604" ht="22.5" customHeight="1">
      <c r="A1604" s="21" t="s">
        <v>3569</v>
      </c>
      <c r="B1604" s="21" t="s">
        <v>1291</v>
      </c>
      <c r="C1604" s="21" t="str">
        <f t="array" ref="C1604">XLOOKUP(B1604,Customer[Customer_ID],Customer[Name(Cleaned)])</f>
        <v>Jackie Thompson</v>
      </c>
      <c r="D1604" s="22" t="str">
        <f>VLOOKUP(B1604,Customer[#ALL],6)</f>
        <v>Male</v>
      </c>
      <c r="E1604" s="23">
        <f>Sales[Order_Date]</f>
        <v>45590</v>
      </c>
      <c r="F1604" s="21" t="str">
        <f>Sales[Store_ID]</f>
        <v>STORE14</v>
      </c>
      <c r="G1604" s="21" t="str">
        <f t="array" ref="G1604">INDEX(Store[Store_Name],MATCH(F1604,Store[Store_ID],0))</f>
        <v>Mcdonald Inc</v>
      </c>
      <c r="H1604" s="21" t="str">
        <f>Sales[Product_ID]</f>
        <v>PROD96</v>
      </c>
      <c r="I1604" s="21" t="str">
        <f>VLOOKUP(H1604,Products[],2)</f>
        <v>Women's Formal Blazer</v>
      </c>
      <c r="J1604" s="24">
        <f>Sales[Total_Amount]</f>
        <v>2681.3406</v>
      </c>
      <c r="K1604" s="21" t="str">
        <f t="shared" si="1"/>
        <v>Oct</v>
      </c>
      <c r="L1604" s="21">
        <f t="shared" si="2"/>
        <v>2024</v>
      </c>
      <c r="N1604" s="33"/>
      <c r="O1604" s="34"/>
    </row>
    <row r="1605" ht="22.5" customHeight="1">
      <c r="A1605" s="21" t="s">
        <v>3570</v>
      </c>
      <c r="B1605" s="21" t="s">
        <v>495</v>
      </c>
      <c r="C1605" s="21" t="str">
        <f t="array" ref="C1605">XLOOKUP(B1605,Customer[Customer_ID],Customer[Name(Cleaned)])</f>
        <v>Carlos Skinner</v>
      </c>
      <c r="D1605" s="22" t="str">
        <f>VLOOKUP(B1605,Customer[#ALL],6)</f>
        <v>Female</v>
      </c>
      <c r="E1605" s="23">
        <f>Sales[Order_Date]</f>
        <v>45365</v>
      </c>
      <c r="F1605" s="21" t="str">
        <f>Sales[Store_ID]</f>
        <v>STORE13</v>
      </c>
      <c r="G1605" s="21" t="str">
        <f t="array" ref="G1605">INDEX(Store[Store_Name],MATCH(F1605,Store[Store_ID],0))</f>
        <v>Gardner, Humphrey and Contreras</v>
      </c>
      <c r="H1605" s="21" t="str">
        <f>Sales[Product_ID]</f>
        <v>PROD37</v>
      </c>
      <c r="I1605" s="21" t="str">
        <f>VLOOKUP(H1605,Products[],2)</f>
        <v>Men's Casual Sneakers</v>
      </c>
      <c r="J1605" s="24">
        <f>Sales[Total_Amount]</f>
        <v>1006.2063</v>
      </c>
      <c r="K1605" s="21" t="str">
        <f t="shared" si="1"/>
        <v>Mar</v>
      </c>
      <c r="L1605" s="21">
        <f t="shared" si="2"/>
        <v>2024</v>
      </c>
      <c r="N1605" s="33"/>
      <c r="O1605" s="34"/>
    </row>
    <row r="1606" ht="22.5" customHeight="1">
      <c r="A1606" s="21" t="s">
        <v>3571</v>
      </c>
      <c r="B1606" s="21" t="s">
        <v>504</v>
      </c>
      <c r="C1606" s="21" t="str">
        <f t="array" ref="C1606">XLOOKUP(B1606,Customer[Customer_ID],Customer[Name(Cleaned)])</f>
        <v>Edward Rivera</v>
      </c>
      <c r="D1606" s="22" t="str">
        <f>VLOOKUP(B1606,Customer[#ALL],6)</f>
        <v>Male</v>
      </c>
      <c r="E1606" s="23">
        <f>Sales[Order_Date]</f>
        <v>45711</v>
      </c>
      <c r="F1606" s="21" t="str">
        <f>Sales[Store_ID]</f>
        <v>STORE1</v>
      </c>
      <c r="G1606" s="21" t="str">
        <f t="array" ref="G1606">INDEX(Store[Store_Name],MATCH(F1606,Store[Store_ID],0))</f>
        <v>Martinez, Adkins and Johnson</v>
      </c>
      <c r="H1606" s="21" t="str">
        <f>Sales[Product_ID]</f>
        <v>PROD90</v>
      </c>
      <c r="I1606" s="21" t="str">
        <f>VLOOKUP(H1606,Products[],2)</f>
        <v>Gaming Mouse Pad XL</v>
      </c>
      <c r="J1606" s="24">
        <f>Sales[Total_Amount]</f>
        <v>2380.7628</v>
      </c>
      <c r="K1606" s="21" t="str">
        <f t="shared" si="1"/>
        <v>Feb</v>
      </c>
      <c r="L1606" s="21">
        <f t="shared" si="2"/>
        <v>2025</v>
      </c>
      <c r="N1606" s="33"/>
      <c r="O1606" s="34"/>
    </row>
    <row r="1607" ht="22.5" customHeight="1">
      <c r="A1607" s="21" t="s">
        <v>3572</v>
      </c>
      <c r="B1607" s="21" t="s">
        <v>513</v>
      </c>
      <c r="C1607" s="21" t="str">
        <f t="array" ref="C1607">XLOOKUP(B1607,Customer[Customer_ID],Customer[Name(Cleaned)])</f>
        <v>Denise Griffin</v>
      </c>
      <c r="D1607" s="22" t="str">
        <f>VLOOKUP(B1607,Customer[#ALL],6)</f>
        <v>Female</v>
      </c>
      <c r="E1607" s="23">
        <f>Sales[Order_Date]</f>
        <v>45586</v>
      </c>
      <c r="F1607" s="21" t="str">
        <f>Sales[Store_ID]</f>
        <v>STORE6</v>
      </c>
      <c r="G1607" s="21" t="str">
        <f t="array" ref="G1607">INDEX(Store[Store_Name],MATCH(F1607,Store[Store_ID],0))</f>
        <v>Benson-Elliott</v>
      </c>
      <c r="H1607" s="21" t="str">
        <f>Sales[Product_ID]</f>
        <v>PROD76</v>
      </c>
      <c r="I1607" s="21" t="str">
        <f>VLOOKUP(H1607,Products[],2)</f>
        <v>Wireless Mouse</v>
      </c>
      <c r="J1607" s="24">
        <f>Sales[Total_Amount]</f>
        <v>215.472</v>
      </c>
      <c r="K1607" s="21" t="str">
        <f t="shared" si="1"/>
        <v>Oct</v>
      </c>
      <c r="L1607" s="21">
        <f t="shared" si="2"/>
        <v>2024</v>
      </c>
      <c r="N1607" s="33"/>
      <c r="O1607" s="34"/>
    </row>
    <row r="1608" ht="22.5" customHeight="1">
      <c r="A1608" s="21" t="s">
        <v>3573</v>
      </c>
      <c r="B1608" s="21" t="s">
        <v>640</v>
      </c>
      <c r="C1608" s="21" t="str">
        <f t="array" ref="C1608">XLOOKUP(B1608,Customer[Customer_ID],Customer[Name(Cleaned)])</f>
        <v>Todd Poole</v>
      </c>
      <c r="D1608" s="22" t="str">
        <f>VLOOKUP(B1608,Customer[#ALL],6)</f>
        <v>Male</v>
      </c>
      <c r="E1608" s="23">
        <f>Sales[Order_Date]</f>
        <v>45334</v>
      </c>
      <c r="F1608" s="21" t="str">
        <f>Sales[Store_ID]</f>
        <v>STORE1</v>
      </c>
      <c r="G1608" s="21" t="str">
        <f t="array" ref="G1608">INDEX(Store[Store_Name],MATCH(F1608,Store[Store_ID],0))</f>
        <v>Martinez, Adkins and Johnson</v>
      </c>
      <c r="H1608" s="21" t="str">
        <f>Sales[Product_ID]</f>
        <v>PROD55</v>
      </c>
      <c r="I1608" s="21" t="str">
        <f>VLOOKUP(H1608,Products[],2)</f>
        <v>Ceramic Plant Pot</v>
      </c>
      <c r="J1608" s="24">
        <f>Sales[Total_Amount]</f>
        <v>165.1584</v>
      </c>
      <c r="K1608" s="21" t="str">
        <f t="shared" si="1"/>
        <v>Feb</v>
      </c>
      <c r="L1608" s="21">
        <f t="shared" si="2"/>
        <v>2024</v>
      </c>
      <c r="N1608" s="33"/>
      <c r="O1608" s="34"/>
    </row>
    <row r="1609" ht="22.5" customHeight="1">
      <c r="A1609" s="21" t="s">
        <v>3574</v>
      </c>
      <c r="B1609" s="21" t="s">
        <v>1456</v>
      </c>
      <c r="C1609" s="21" t="str">
        <f t="array" ref="C1609">XLOOKUP(B1609,Customer[Customer_ID],Customer[Name(Cleaned)])</f>
        <v>Michael Foley</v>
      </c>
      <c r="D1609" s="22" t="str">
        <f>VLOOKUP(B1609,Customer[#ALL],6)</f>
        <v>Male</v>
      </c>
      <c r="E1609" s="23">
        <f>Sales[Order_Date]</f>
        <v>45333</v>
      </c>
      <c r="F1609" s="21" t="str">
        <f>Sales[Store_ID]</f>
        <v>STORE1</v>
      </c>
      <c r="G1609" s="21" t="str">
        <f t="array" ref="G1609">INDEX(Store[Store_Name],MATCH(F1609,Store[Store_ID],0))</f>
        <v>Martinez, Adkins and Johnson</v>
      </c>
      <c r="H1609" s="21" t="str">
        <f>Sales[Product_ID]</f>
        <v>PROD54</v>
      </c>
      <c r="I1609" s="21" t="str">
        <f>VLOOKUP(H1609,Products[],2)</f>
        <v>Sports Stopwatch Pro</v>
      </c>
      <c r="J1609" s="24">
        <f>Sales[Total_Amount]</f>
        <v>369.74</v>
      </c>
      <c r="K1609" s="21" t="str">
        <f t="shared" si="1"/>
        <v>Feb</v>
      </c>
      <c r="L1609" s="21">
        <f t="shared" si="2"/>
        <v>2024</v>
      </c>
      <c r="N1609" s="33"/>
      <c r="O1609" s="34"/>
    </row>
    <row r="1610" ht="22.5" customHeight="1">
      <c r="A1610" s="21" t="s">
        <v>3575</v>
      </c>
      <c r="B1610" s="21" t="s">
        <v>1438</v>
      </c>
      <c r="C1610" s="21" t="str">
        <f t="array" ref="C1610">XLOOKUP(B1610,Customer[Customer_ID],Customer[Name(Cleaned)])</f>
        <v>Paul Cox</v>
      </c>
      <c r="D1610" s="22" t="str">
        <f>VLOOKUP(B1610,Customer[#ALL],6)</f>
        <v>Male</v>
      </c>
      <c r="E1610" s="23">
        <f>Sales[Order_Date]</f>
        <v>45778</v>
      </c>
      <c r="F1610" s="21" t="str">
        <f>Sales[Store_ID]</f>
        <v>STORE13</v>
      </c>
      <c r="G1610" s="21" t="str">
        <f t="array" ref="G1610">INDEX(Store[Store_Name],MATCH(F1610,Store[Store_ID],0))</f>
        <v>Gardner, Humphrey and Contreras</v>
      </c>
      <c r="H1610" s="21" t="str">
        <f>Sales[Product_ID]</f>
        <v>PROD77</v>
      </c>
      <c r="I1610" s="21" t="str">
        <f>VLOOKUP(H1610,Products[],2)</f>
        <v>WiFi Mesh Router</v>
      </c>
      <c r="J1610" s="24">
        <f>Sales[Total_Amount]</f>
        <v>2286.1344</v>
      </c>
      <c r="K1610" s="21" t="str">
        <f t="shared" si="1"/>
        <v>May</v>
      </c>
      <c r="L1610" s="21">
        <f t="shared" si="2"/>
        <v>2025</v>
      </c>
      <c r="N1610" s="33"/>
      <c r="O1610" s="34"/>
    </row>
    <row r="1611" ht="22.5" customHeight="1">
      <c r="A1611" s="21" t="s">
        <v>3576</v>
      </c>
      <c r="B1611" s="21" t="s">
        <v>573</v>
      </c>
      <c r="C1611" s="21" t="str">
        <f t="array" ref="C1611">XLOOKUP(B1611,Customer[Customer_ID],Customer[Name(Cleaned)])</f>
        <v>Steve Mclaughlin</v>
      </c>
      <c r="D1611" s="22" t="str">
        <f>VLOOKUP(B1611,Customer[#ALL],6)</f>
        <v>Female</v>
      </c>
      <c r="E1611" s="23">
        <f>Sales[Order_Date]</f>
        <v>45592</v>
      </c>
      <c r="F1611" s="21" t="str">
        <f>Sales[Store_ID]</f>
        <v>STORE1</v>
      </c>
      <c r="G1611" s="21" t="str">
        <f t="array" ref="G1611">INDEX(Store[Store_Name],MATCH(F1611,Store[Store_ID],0))</f>
        <v>Martinez, Adkins and Johnson</v>
      </c>
      <c r="H1611" s="21" t="str">
        <f>Sales[Product_ID]</f>
        <v>PROD19</v>
      </c>
      <c r="I1611" s="21" t="str">
        <f>VLOOKUP(H1611,Products[],2)</f>
        <v>Knee Support Brace</v>
      </c>
      <c r="J1611" s="24">
        <f>Sales[Total_Amount]</f>
        <v>191.88</v>
      </c>
      <c r="K1611" s="21" t="str">
        <f t="shared" si="1"/>
        <v>Oct</v>
      </c>
      <c r="L1611" s="21">
        <f t="shared" si="2"/>
        <v>2024</v>
      </c>
      <c r="N1611" s="33"/>
      <c r="O1611" s="34"/>
    </row>
    <row r="1612" ht="22.5" customHeight="1">
      <c r="A1612" s="21" t="s">
        <v>3577</v>
      </c>
      <c r="B1612" s="21" t="s">
        <v>1206</v>
      </c>
      <c r="C1612" s="21" t="str">
        <f t="array" ref="C1612">XLOOKUP(B1612,Customer[Customer_ID],Customer[Name(Cleaned)])</f>
        <v>Erika Padilla</v>
      </c>
      <c r="D1612" s="22" t="str">
        <f>VLOOKUP(B1612,Customer[#ALL],6)</f>
        <v>Female</v>
      </c>
      <c r="E1612" s="23">
        <f>Sales[Order_Date]</f>
        <v>45259</v>
      </c>
      <c r="F1612" s="21" t="str">
        <f>Sales[Store_ID]</f>
        <v>STORE7</v>
      </c>
      <c r="G1612" s="21" t="str">
        <f t="array" ref="G1612">INDEX(Store[Store_Name],MATCH(F1612,Store[Store_ID],0))</f>
        <v>Martinez-Mullins</v>
      </c>
      <c r="H1612" s="21" t="str">
        <f>Sales[Product_ID]</f>
        <v>PROD26</v>
      </c>
      <c r="I1612" s="21" t="str">
        <f>VLOOKUP(H1612,Products[],2)</f>
        <v>Wireless Bluetooth Speaker</v>
      </c>
      <c r="J1612" s="24">
        <f>Sales[Total_Amount]</f>
        <v>424.875</v>
      </c>
      <c r="K1612" s="21" t="str">
        <f t="shared" si="1"/>
        <v>Nov</v>
      </c>
      <c r="L1612" s="21">
        <f t="shared" si="2"/>
        <v>2023</v>
      </c>
      <c r="N1612" s="33"/>
      <c r="O1612" s="34"/>
    </row>
    <row r="1613" ht="22.5" customHeight="1">
      <c r="A1613" s="21" t="s">
        <v>3578</v>
      </c>
      <c r="B1613" s="21" t="s">
        <v>1268</v>
      </c>
      <c r="C1613" s="21" t="str">
        <f t="array" ref="C1613">XLOOKUP(B1613,Customer[Customer_ID],Customer[Name(Cleaned)])</f>
        <v>Cassandra Perez</v>
      </c>
      <c r="D1613" s="22" t="str">
        <f>VLOOKUP(B1613,Customer[#ALL],6)</f>
        <v>Female</v>
      </c>
      <c r="E1613" s="23">
        <f>Sales[Order_Date]</f>
        <v>45801</v>
      </c>
      <c r="F1613" s="21" t="str">
        <f>Sales[Store_ID]</f>
        <v>STORE0</v>
      </c>
      <c r="G1613" s="21" t="str">
        <f t="array" ref="G1613">INDEX(Store[Store_Name],MATCH(F1613,Store[Store_ID],0))</f>
        <v>Rivera-Warner</v>
      </c>
      <c r="H1613" s="21" t="str">
        <f>Sales[Product_ID]</f>
        <v>PROD21</v>
      </c>
      <c r="I1613" s="21" t="str">
        <f>VLOOKUP(H1613,Products[],2)</f>
        <v>Multi-Purpose Storage Box</v>
      </c>
      <c r="J1613" s="24">
        <f>Sales[Total_Amount]</f>
        <v>605.433</v>
      </c>
      <c r="K1613" s="21" t="str">
        <f t="shared" si="1"/>
        <v>May</v>
      </c>
      <c r="L1613" s="21">
        <f t="shared" si="2"/>
        <v>2025</v>
      </c>
      <c r="N1613" s="33"/>
      <c r="O1613" s="34"/>
    </row>
    <row r="1614" ht="22.5" customHeight="1">
      <c r="A1614" s="21" t="s">
        <v>3579</v>
      </c>
      <c r="B1614" s="21" t="s">
        <v>552</v>
      </c>
      <c r="C1614" s="21" t="str">
        <f t="array" ref="C1614">XLOOKUP(B1614,Customer[Customer_ID],Customer[Name(Cleaned)])</f>
        <v>Mariah Brown</v>
      </c>
      <c r="D1614" s="22" t="str">
        <f>VLOOKUP(B1614,Customer[#ALL],6)</f>
        <v>Female</v>
      </c>
      <c r="E1614" s="23">
        <f>Sales[Order_Date]</f>
        <v>45290</v>
      </c>
      <c r="F1614" s="21" t="str">
        <f>Sales[Store_ID]</f>
        <v>STORE17</v>
      </c>
      <c r="G1614" s="21" t="str">
        <f t="array" ref="G1614">INDEX(Store[Store_Name],MATCH(F1614,Store[Store_ID],0))</f>
        <v>Holloway Ltd</v>
      </c>
      <c r="H1614" s="21" t="str">
        <f>Sales[Product_ID]</f>
        <v>PROD99</v>
      </c>
      <c r="I1614" s="21" t="str">
        <f>VLOOKUP(H1614,Products[],2)</f>
        <v>Stainless Steel Cookware Set</v>
      </c>
      <c r="J1614" s="24">
        <f>Sales[Total_Amount]</f>
        <v>1301.9864</v>
      </c>
      <c r="K1614" s="21" t="str">
        <f t="shared" si="1"/>
        <v>Dec</v>
      </c>
      <c r="L1614" s="21">
        <f t="shared" si="2"/>
        <v>2023</v>
      </c>
      <c r="N1614" s="33"/>
      <c r="O1614" s="34"/>
    </row>
    <row r="1615" ht="22.5" customHeight="1">
      <c r="A1615" s="21" t="s">
        <v>3580</v>
      </c>
      <c r="B1615" s="21" t="s">
        <v>693</v>
      </c>
      <c r="C1615" s="21" t="str">
        <f t="array" ref="C1615">XLOOKUP(B1615,Customer[Customer_ID],Customer[Name(Cleaned)])</f>
        <v>Joan Johnson</v>
      </c>
      <c r="D1615" s="22" t="str">
        <f>VLOOKUP(B1615,Customer[#ALL],6)</f>
        <v>Male</v>
      </c>
      <c r="E1615" s="23">
        <f>Sales[Order_Date]</f>
        <v>45347</v>
      </c>
      <c r="F1615" s="21" t="str">
        <f>Sales[Store_ID]</f>
        <v>STORE3</v>
      </c>
      <c r="G1615" s="21" t="str">
        <f t="array" ref="G1615">INDEX(Store[Store_Name],MATCH(F1615,Store[Store_ID],0))</f>
        <v>Johnson-Wright</v>
      </c>
      <c r="H1615" s="21" t="str">
        <f>Sales[Product_ID]</f>
        <v>PROD58</v>
      </c>
      <c r="I1615" s="21" t="str">
        <f>VLOOKUP(H1615,Products[],2)</f>
        <v>Womens Cotton Scarf</v>
      </c>
      <c r="J1615" s="24">
        <f>Sales[Total_Amount]</f>
        <v>426.411</v>
      </c>
      <c r="K1615" s="21" t="str">
        <f t="shared" si="1"/>
        <v>Feb</v>
      </c>
      <c r="L1615" s="21">
        <f t="shared" si="2"/>
        <v>2024</v>
      </c>
      <c r="N1615" s="33"/>
      <c r="O1615" s="34"/>
    </row>
    <row r="1616" ht="22.5" customHeight="1">
      <c r="A1616" s="21" t="s">
        <v>3581</v>
      </c>
      <c r="B1616" s="21" t="s">
        <v>513</v>
      </c>
      <c r="C1616" s="21" t="str">
        <f t="array" ref="C1616">XLOOKUP(B1616,Customer[Customer_ID],Customer[Name(Cleaned)])</f>
        <v>Denise Griffin</v>
      </c>
      <c r="D1616" s="22" t="str">
        <f>VLOOKUP(B1616,Customer[#ALL],6)</f>
        <v>Female</v>
      </c>
      <c r="E1616" s="23">
        <f>Sales[Order_Date]</f>
        <v>45721</v>
      </c>
      <c r="F1616" s="21" t="str">
        <f>Sales[Store_ID]</f>
        <v>STORE1</v>
      </c>
      <c r="G1616" s="21" t="str">
        <f t="array" ref="G1616">INDEX(Store[Store_Name],MATCH(F1616,Store[Store_ID],0))</f>
        <v>Martinez, Adkins and Johnson</v>
      </c>
      <c r="H1616" s="21" t="str">
        <f>Sales[Product_ID]</f>
        <v>PROD71</v>
      </c>
      <c r="I1616" s="21" t="str">
        <f>VLOOKUP(H1616,Products[],2)</f>
        <v>Hair Repair Oil Treatment</v>
      </c>
      <c r="J1616" s="24">
        <f>Sales[Total_Amount]</f>
        <v>710.44</v>
      </c>
      <c r="K1616" s="21" t="str">
        <f t="shared" si="1"/>
        <v>Mar</v>
      </c>
      <c r="L1616" s="21">
        <f t="shared" si="2"/>
        <v>2025</v>
      </c>
      <c r="N1616" s="33"/>
      <c r="O1616" s="34"/>
    </row>
    <row r="1617" ht="22.5" customHeight="1">
      <c r="A1617" s="21" t="s">
        <v>3582</v>
      </c>
      <c r="B1617" s="21" t="s">
        <v>43</v>
      </c>
      <c r="C1617" s="21" t="str">
        <f t="array" ref="C1617">XLOOKUP(B1617,Customer[Customer_ID],Customer[Name(Cleaned)])</f>
        <v>Amber Jackson</v>
      </c>
      <c r="D1617" s="22" t="str">
        <f>VLOOKUP(B1617,Customer[#ALL],6)</f>
        <v>Male</v>
      </c>
      <c r="E1617" s="23">
        <f>Sales[Order_Date]</f>
        <v>45531</v>
      </c>
      <c r="F1617" s="21" t="str">
        <f>Sales[Store_ID]</f>
        <v>STORE18</v>
      </c>
      <c r="G1617" s="21" t="str">
        <f t="array" ref="G1617">INDEX(Store[Store_Name],MATCH(F1617,Store[Store_ID],0))</f>
        <v>Guerrero-Schmitt</v>
      </c>
      <c r="H1617" s="21" t="str">
        <f>Sales[Product_ID]</f>
        <v>PROD39</v>
      </c>
      <c r="I1617" s="21" t="str">
        <f>VLOOKUP(H1617,Products[],2)</f>
        <v>Portable Power Bank</v>
      </c>
      <c r="J1617" s="24">
        <f>Sales[Total_Amount]</f>
        <v>1197.9756</v>
      </c>
      <c r="K1617" s="21" t="str">
        <f t="shared" si="1"/>
        <v>Aug</v>
      </c>
      <c r="L1617" s="21">
        <f t="shared" si="2"/>
        <v>2024</v>
      </c>
      <c r="N1617" s="33"/>
      <c r="O1617" s="34"/>
    </row>
    <row r="1618" ht="22.5" customHeight="1">
      <c r="A1618" s="21" t="s">
        <v>3583</v>
      </c>
      <c r="B1618" s="21" t="s">
        <v>1378</v>
      </c>
      <c r="C1618" s="21" t="str">
        <f t="array" ref="C1618">XLOOKUP(B1618,Customer[Customer_ID],Customer[Name(Cleaned)])</f>
        <v>Tammy Trevino</v>
      </c>
      <c r="D1618" s="22" t="str">
        <f>VLOOKUP(B1618,Customer[#ALL],6)</f>
        <v>Female</v>
      </c>
      <c r="E1618" s="23">
        <f>Sales[Order_Date]</f>
        <v>45332</v>
      </c>
      <c r="F1618" s="21" t="str">
        <f>Sales[Store_ID]</f>
        <v>STORE3</v>
      </c>
      <c r="G1618" s="21" t="str">
        <f t="array" ref="G1618">INDEX(Store[Store_Name],MATCH(F1618,Store[Store_ID],0))</f>
        <v>Johnson-Wright</v>
      </c>
      <c r="H1618" s="21" t="str">
        <f>Sales[Product_ID]</f>
        <v>PROD64</v>
      </c>
      <c r="I1618" s="21" t="str">
        <f>VLOOKUP(H1618,Products[],2)</f>
        <v>Matte Lipstick Set</v>
      </c>
      <c r="J1618" s="24">
        <f>Sales[Total_Amount]</f>
        <v>729.0776</v>
      </c>
      <c r="K1618" s="21" t="str">
        <f t="shared" si="1"/>
        <v>Feb</v>
      </c>
      <c r="L1618" s="21">
        <f t="shared" si="2"/>
        <v>2024</v>
      </c>
      <c r="N1618" s="33"/>
      <c r="O1618" s="34"/>
    </row>
    <row r="1619" ht="22.5" customHeight="1">
      <c r="A1619" s="21" t="s">
        <v>3584</v>
      </c>
      <c r="B1619" s="21" t="s">
        <v>1191</v>
      </c>
      <c r="C1619" s="21" t="str">
        <f t="array" ref="C1619">XLOOKUP(B1619,Customer[Customer_ID],Customer[Name(Cleaned)])</f>
        <v>Michele Burke</v>
      </c>
      <c r="D1619" s="22" t="str">
        <f>VLOOKUP(B1619,Customer[#ALL],6)</f>
        <v>Female</v>
      </c>
      <c r="E1619" s="23">
        <f>Sales[Order_Date]</f>
        <v>45344</v>
      </c>
      <c r="F1619" s="21" t="str">
        <f>Sales[Store_ID]</f>
        <v>STORE3</v>
      </c>
      <c r="G1619" s="21" t="str">
        <f t="array" ref="G1619">INDEX(Store[Store_Name],MATCH(F1619,Store[Store_ID],0))</f>
        <v>Johnson-Wright</v>
      </c>
      <c r="H1619" s="21" t="str">
        <f>Sales[Product_ID]</f>
        <v>PROD85</v>
      </c>
      <c r="I1619" s="21" t="str">
        <f>VLOOKUP(H1619,Products[],2)</f>
        <v>Women's Beanie Hat</v>
      </c>
      <c r="J1619" s="24">
        <f>Sales[Total_Amount]</f>
        <v>3908.2428</v>
      </c>
      <c r="K1619" s="21" t="str">
        <f t="shared" si="1"/>
        <v>Feb</v>
      </c>
      <c r="L1619" s="21">
        <f t="shared" si="2"/>
        <v>2024</v>
      </c>
      <c r="N1619" s="33"/>
      <c r="O1619" s="34"/>
    </row>
    <row r="1620" ht="22.5" customHeight="1">
      <c r="A1620" s="21" t="s">
        <v>3585</v>
      </c>
      <c r="B1620" s="21" t="s">
        <v>1491</v>
      </c>
      <c r="C1620" s="21" t="str">
        <f t="array" ref="C1620">XLOOKUP(B1620,Customer[Customer_ID],Customer[Name(Cleaned)])</f>
        <v>Dylan Gutierrez</v>
      </c>
      <c r="D1620" s="22" t="str">
        <f>VLOOKUP(B1620,Customer[#ALL],6)</f>
        <v>Female</v>
      </c>
      <c r="E1620" s="23">
        <f>Sales[Order_Date]</f>
        <v>45388</v>
      </c>
      <c r="F1620" s="21" t="str">
        <f>Sales[Store_ID]</f>
        <v>STORE12</v>
      </c>
      <c r="G1620" s="21" t="str">
        <f t="array" ref="G1620">INDEX(Store[Store_Name],MATCH(F1620,Store[Store_ID],0))</f>
        <v>Thomas, Bridges and Harris</v>
      </c>
      <c r="H1620" s="21" t="str">
        <f>Sales[Product_ID]</f>
        <v>PROD22</v>
      </c>
      <c r="I1620" s="21" t="str">
        <f>VLOOKUP(H1620,Products[],2)</f>
        <v>Carbon Fiber Tennis Racket</v>
      </c>
      <c r="J1620" s="24">
        <f>Sales[Total_Amount]</f>
        <v>1547.9168</v>
      </c>
      <c r="K1620" s="21" t="str">
        <f t="shared" si="1"/>
        <v>Apr</v>
      </c>
      <c r="L1620" s="21">
        <f t="shared" si="2"/>
        <v>2024</v>
      </c>
      <c r="N1620" s="33"/>
      <c r="O1620" s="34"/>
    </row>
    <row r="1621" ht="22.5" customHeight="1">
      <c r="A1621" s="21" t="s">
        <v>3586</v>
      </c>
      <c r="B1621" s="21" t="s">
        <v>723</v>
      </c>
      <c r="C1621" s="21" t="str">
        <f t="array" ref="C1621">XLOOKUP(B1621,Customer[Customer_ID],Customer[Name(Cleaned)])</f>
        <v>Jordan Wells</v>
      </c>
      <c r="D1621" s="22" t="str">
        <f>VLOOKUP(B1621,Customer[#ALL],6)</f>
        <v>Male</v>
      </c>
      <c r="E1621" s="23">
        <f>Sales[Order_Date]</f>
        <v>45397</v>
      </c>
      <c r="F1621" s="21" t="str">
        <f>Sales[Store_ID]</f>
        <v>STORE17</v>
      </c>
      <c r="G1621" s="21" t="str">
        <f t="array" ref="G1621">INDEX(Store[Store_Name],MATCH(F1621,Store[Store_ID],0))</f>
        <v>Holloway Ltd</v>
      </c>
      <c r="H1621" s="21" t="str">
        <f>Sales[Product_ID]</f>
        <v>PROD36</v>
      </c>
      <c r="I1621" s="21" t="str">
        <f>VLOOKUP(H1621,Products[],2)</f>
        <v>Women's Summer Dress</v>
      </c>
      <c r="J1621" s="24">
        <f>Sales[Total_Amount]</f>
        <v>1211.364</v>
      </c>
      <c r="K1621" s="21" t="str">
        <f t="shared" si="1"/>
        <v>Apr</v>
      </c>
      <c r="L1621" s="21">
        <f t="shared" si="2"/>
        <v>2024</v>
      </c>
      <c r="N1621" s="33"/>
      <c r="O1621" s="34"/>
    </row>
    <row r="1622" ht="22.5" customHeight="1">
      <c r="A1622" s="21" t="s">
        <v>3587</v>
      </c>
      <c r="B1622" s="21" t="s">
        <v>74</v>
      </c>
      <c r="C1622" s="21" t="str">
        <f t="array" ref="C1622">XLOOKUP(B1622,Customer[Customer_ID],Customer[Name(Cleaned)])</f>
        <v>Ashley Cohen</v>
      </c>
      <c r="D1622" s="22" t="str">
        <f>VLOOKUP(B1622,Customer[#ALL],6)</f>
        <v>Male</v>
      </c>
      <c r="E1622" s="23">
        <f>Sales[Order_Date]</f>
        <v>45633</v>
      </c>
      <c r="F1622" s="21" t="str">
        <f>Sales[Store_ID]</f>
        <v>STORE3</v>
      </c>
      <c r="G1622" s="21" t="str">
        <f t="array" ref="G1622">INDEX(Store[Store_Name],MATCH(F1622,Store[Store_ID],0))</f>
        <v>Johnson-Wright</v>
      </c>
      <c r="H1622" s="21" t="str">
        <f>Sales[Product_ID]</f>
        <v>PROD13</v>
      </c>
      <c r="I1622" s="21" t="str">
        <f>VLOOKUP(H1622,Products[],2)</f>
        <v>USB-C Fast Charger</v>
      </c>
      <c r="J1622" s="24">
        <f>Sales[Total_Amount]</f>
        <v>1548.0453</v>
      </c>
      <c r="K1622" s="21" t="str">
        <f t="shared" si="1"/>
        <v>Dec</v>
      </c>
      <c r="L1622" s="21">
        <f t="shared" si="2"/>
        <v>2024</v>
      </c>
      <c r="N1622" s="33"/>
      <c r="O1622" s="34"/>
    </row>
    <row r="1623" ht="22.5" customHeight="1">
      <c r="A1623" s="21" t="s">
        <v>3588</v>
      </c>
      <c r="B1623" s="21" t="s">
        <v>216</v>
      </c>
      <c r="C1623" s="21" t="str">
        <f t="array" ref="C1623">XLOOKUP(B1623,Customer[Customer_ID],Customer[Name(Cleaned)])</f>
        <v>Wayne Mcpherson</v>
      </c>
      <c r="D1623" s="22" t="str">
        <f>VLOOKUP(B1623,Customer[#ALL],6)</f>
        <v>Male</v>
      </c>
      <c r="E1623" s="23">
        <f>Sales[Order_Date]</f>
        <v>45629</v>
      </c>
      <c r="F1623" s="21" t="str">
        <f>Sales[Store_ID]</f>
        <v>STORE6</v>
      </c>
      <c r="G1623" s="21" t="str">
        <f t="array" ref="G1623">INDEX(Store[Store_Name],MATCH(F1623,Store[Store_ID],0))</f>
        <v>Benson-Elliott</v>
      </c>
      <c r="H1623" s="21" t="str">
        <f>Sales[Product_ID]</f>
        <v>PROD15</v>
      </c>
      <c r="I1623" s="21" t="str">
        <f>VLOOKUP(H1623,Products[],2)</f>
        <v>4K Home Projector</v>
      </c>
      <c r="J1623" s="24">
        <f>Sales[Total_Amount]</f>
        <v>1768.96</v>
      </c>
      <c r="K1623" s="21" t="str">
        <f t="shared" si="1"/>
        <v>Dec</v>
      </c>
      <c r="L1623" s="21">
        <f t="shared" si="2"/>
        <v>2024</v>
      </c>
      <c r="N1623" s="33"/>
      <c r="O1623" s="34"/>
    </row>
    <row r="1624" ht="22.5" customHeight="1">
      <c r="A1624" s="21" t="s">
        <v>3589</v>
      </c>
      <c r="B1624" s="21" t="s">
        <v>189</v>
      </c>
      <c r="C1624" s="21" t="str">
        <f t="array" ref="C1624">XLOOKUP(B1624,Customer[Customer_ID],Customer[Name(Cleaned)])</f>
        <v>Gina Knight</v>
      </c>
      <c r="D1624" s="22" t="str">
        <f>VLOOKUP(B1624,Customer[#ALL],6)</f>
        <v>Male</v>
      </c>
      <c r="E1624" s="23">
        <f>Sales[Order_Date]</f>
        <v>45291</v>
      </c>
      <c r="F1624" s="21" t="str">
        <f>Sales[Store_ID]</f>
        <v>STORE4</v>
      </c>
      <c r="G1624" s="21" t="str">
        <f t="array" ref="G1624">INDEX(Store[Store_Name],MATCH(F1624,Store[Store_ID],0))</f>
        <v>Alexander Group</v>
      </c>
      <c r="H1624" s="21" t="str">
        <f>Sales[Product_ID]</f>
        <v>PROD92</v>
      </c>
      <c r="I1624" s="21" t="str">
        <f>VLOOKUP(H1624,Products[],2)</f>
        <v>Microwave Oven</v>
      </c>
      <c r="J1624" s="24">
        <f>Sales[Total_Amount]</f>
        <v>1745.2989</v>
      </c>
      <c r="K1624" s="21" t="str">
        <f t="shared" si="1"/>
        <v>Dec</v>
      </c>
      <c r="L1624" s="21">
        <f t="shared" si="2"/>
        <v>2023</v>
      </c>
      <c r="N1624" s="33"/>
      <c r="O1624" s="34"/>
    </row>
    <row r="1625" ht="22.5" customHeight="1">
      <c r="A1625" s="21" t="s">
        <v>3590</v>
      </c>
      <c r="B1625" s="21" t="s">
        <v>872</v>
      </c>
      <c r="C1625" s="21" t="str">
        <f t="array" ref="C1625">XLOOKUP(B1625,Customer[Customer_ID],Customer[Name(Cleaned)])</f>
        <v>Tyrone Olson</v>
      </c>
      <c r="D1625" s="22" t="str">
        <f>VLOOKUP(B1625,Customer[#ALL],6)</f>
        <v>Male</v>
      </c>
      <c r="E1625" s="23">
        <f>Sales[Order_Date]</f>
        <v>45213</v>
      </c>
      <c r="F1625" s="21" t="str">
        <f>Sales[Store_ID]</f>
        <v>STORE2</v>
      </c>
      <c r="G1625" s="21" t="str">
        <f t="array" ref="G1625">INDEX(Store[Store_Name],MATCH(F1625,Store[Store_ID],0))</f>
        <v>Black-Horn</v>
      </c>
      <c r="H1625" s="21" t="str">
        <f>Sales[Product_ID]</f>
        <v>PROD77</v>
      </c>
      <c r="I1625" s="21" t="str">
        <f>VLOOKUP(H1625,Products[],2)</f>
        <v>WiFi Mesh Router</v>
      </c>
      <c r="J1625" s="24">
        <f>Sales[Total_Amount]</f>
        <v>2670.74</v>
      </c>
      <c r="K1625" s="21" t="str">
        <f t="shared" si="1"/>
        <v>Oct</v>
      </c>
      <c r="L1625" s="21">
        <f t="shared" si="2"/>
        <v>2023</v>
      </c>
      <c r="N1625" s="33"/>
      <c r="O1625" s="34"/>
    </row>
    <row r="1626" ht="22.5" customHeight="1">
      <c r="A1626" s="21" t="s">
        <v>3591</v>
      </c>
      <c r="B1626" s="21" t="s">
        <v>607</v>
      </c>
      <c r="C1626" s="21" t="str">
        <f t="array" ref="C1626">XLOOKUP(B1626,Customer[Customer_ID],Customer[Name(Cleaned)])</f>
        <v>Wesley Thompson</v>
      </c>
      <c r="D1626" s="22" t="str">
        <f>VLOOKUP(B1626,Customer[#ALL],6)</f>
        <v>Female</v>
      </c>
      <c r="E1626" s="23">
        <f>Sales[Order_Date]</f>
        <v>45914</v>
      </c>
      <c r="F1626" s="21" t="str">
        <f>Sales[Store_ID]</f>
        <v>STORE18</v>
      </c>
      <c r="G1626" s="21" t="str">
        <f t="array" ref="G1626">INDEX(Store[Store_Name],MATCH(F1626,Store[Store_ID],0))</f>
        <v>Guerrero-Schmitt</v>
      </c>
      <c r="H1626" s="21" t="str">
        <f>Sales[Product_ID]</f>
        <v>PROD90</v>
      </c>
      <c r="I1626" s="21" t="str">
        <f>VLOOKUP(H1626,Products[],2)</f>
        <v>Gaming Mouse Pad XL</v>
      </c>
      <c r="J1626" s="24">
        <f>Sales[Total_Amount]</f>
        <v>235.2936</v>
      </c>
      <c r="K1626" s="21" t="str">
        <f t="shared" si="1"/>
        <v>Sep</v>
      </c>
      <c r="L1626" s="21">
        <f t="shared" si="2"/>
        <v>2025</v>
      </c>
      <c r="N1626" s="33"/>
      <c r="O1626" s="34"/>
    </row>
    <row r="1627" ht="22.5" customHeight="1">
      <c r="A1627" s="21" t="s">
        <v>3592</v>
      </c>
      <c r="B1627" s="21" t="s">
        <v>219</v>
      </c>
      <c r="C1627" s="21" t="str">
        <f t="array" ref="C1627">XLOOKUP(B1627,Customer[Customer_ID],Customer[Name(Cleaned)])</f>
        <v>Christopher Sutton</v>
      </c>
      <c r="D1627" s="22" t="str">
        <f>VLOOKUP(B1627,Customer[#ALL],6)</f>
        <v>Male</v>
      </c>
      <c r="E1627" s="23">
        <f>Sales[Order_Date]</f>
        <v>45673</v>
      </c>
      <c r="F1627" s="21" t="str">
        <f>Sales[Store_ID]</f>
        <v>STORE3</v>
      </c>
      <c r="G1627" s="21" t="str">
        <f t="array" ref="G1627">INDEX(Store[Store_Name],MATCH(F1627,Store[Store_ID],0))</f>
        <v>Johnson-Wright</v>
      </c>
      <c r="H1627" s="21" t="str">
        <f>Sales[Product_ID]</f>
        <v>PROD46</v>
      </c>
      <c r="I1627" s="21" t="str">
        <f>VLOOKUP(H1627,Products[],2)</f>
        <v>Men's Winter Jacket</v>
      </c>
      <c r="J1627" s="24">
        <f>Sales[Total_Amount]</f>
        <v>2094.8568</v>
      </c>
      <c r="K1627" s="21" t="str">
        <f t="shared" si="1"/>
        <v>Jan</v>
      </c>
      <c r="L1627" s="21">
        <f t="shared" si="2"/>
        <v>2025</v>
      </c>
      <c r="N1627" s="33"/>
      <c r="O1627" s="34"/>
    </row>
    <row r="1628" ht="22.5" customHeight="1">
      <c r="A1628" s="21" t="s">
        <v>3593</v>
      </c>
      <c r="B1628" s="21" t="s">
        <v>1125</v>
      </c>
      <c r="C1628" s="21" t="str">
        <f t="array" ref="C1628">XLOOKUP(B1628,Customer[Customer_ID],Customer[Name(Cleaned)])</f>
        <v>Ryan Torres</v>
      </c>
      <c r="D1628" s="22" t="str">
        <f>VLOOKUP(B1628,Customer[#ALL],6)</f>
        <v>Female</v>
      </c>
      <c r="E1628" s="23">
        <f>Sales[Order_Date]</f>
        <v>45689</v>
      </c>
      <c r="F1628" s="21" t="str">
        <f>Sales[Store_ID]</f>
        <v>STORE6</v>
      </c>
      <c r="G1628" s="21" t="str">
        <f t="array" ref="G1628">INDEX(Store[Store_Name],MATCH(F1628,Store[Store_ID],0))</f>
        <v>Benson-Elliott</v>
      </c>
      <c r="H1628" s="21" t="str">
        <f>Sales[Product_ID]</f>
        <v>PROD61</v>
      </c>
      <c r="I1628" s="21" t="str">
        <f>VLOOKUP(H1628,Products[],2)</f>
        <v>Tennis Ball 3-Pack</v>
      </c>
      <c r="J1628" s="24">
        <f>Sales[Total_Amount]</f>
        <v>711.0558</v>
      </c>
      <c r="K1628" s="21" t="str">
        <f t="shared" si="1"/>
        <v>Feb</v>
      </c>
      <c r="L1628" s="21">
        <f t="shared" si="2"/>
        <v>2025</v>
      </c>
      <c r="N1628" s="33"/>
      <c r="O1628" s="34"/>
    </row>
    <row r="1629" ht="22.5" customHeight="1">
      <c r="A1629" s="21" t="s">
        <v>3594</v>
      </c>
      <c r="B1629" s="21" t="s">
        <v>434</v>
      </c>
      <c r="C1629" s="21" t="str">
        <f t="array" ref="C1629">XLOOKUP(B1629,Customer[Customer_ID],Customer[Name(Cleaned)])</f>
        <v>Erin Hopkins</v>
      </c>
      <c r="D1629" s="22" t="str">
        <f>VLOOKUP(B1629,Customer[#ALL],6)</f>
        <v>Female</v>
      </c>
      <c r="E1629" s="23">
        <f>Sales[Order_Date]</f>
        <v>45646</v>
      </c>
      <c r="F1629" s="21" t="str">
        <f>Sales[Store_ID]</f>
        <v>STORE6</v>
      </c>
      <c r="G1629" s="21" t="str">
        <f t="array" ref="G1629">INDEX(Store[Store_Name],MATCH(F1629,Store[Store_ID],0))</f>
        <v>Benson-Elliott</v>
      </c>
      <c r="H1629" s="21" t="str">
        <f>Sales[Product_ID]</f>
        <v>PROD22</v>
      </c>
      <c r="I1629" s="21" t="str">
        <f>VLOOKUP(H1629,Products[],2)</f>
        <v>Carbon Fiber Tennis Racket</v>
      </c>
      <c r="J1629" s="24">
        <f>Sales[Total_Amount]</f>
        <v>739.5597</v>
      </c>
      <c r="K1629" s="21" t="str">
        <f t="shared" si="1"/>
        <v>Dec</v>
      </c>
      <c r="L1629" s="21">
        <f t="shared" si="2"/>
        <v>2024</v>
      </c>
      <c r="N1629" s="33"/>
      <c r="O1629" s="34"/>
    </row>
    <row r="1630" ht="22.5" customHeight="1">
      <c r="A1630" s="21" t="s">
        <v>3595</v>
      </c>
      <c r="B1630" s="21" t="s">
        <v>1273</v>
      </c>
      <c r="C1630" s="21" t="str">
        <f t="array" ref="C1630">XLOOKUP(B1630,Customer[Customer_ID],Customer[Name(Cleaned)])</f>
        <v>David Ross</v>
      </c>
      <c r="D1630" s="22" t="str">
        <f>VLOOKUP(B1630,Customer[#ALL],6)</f>
        <v>Male</v>
      </c>
      <c r="E1630" s="23">
        <f>Sales[Order_Date]</f>
        <v>45475</v>
      </c>
      <c r="F1630" s="21" t="str">
        <f>Sales[Store_ID]</f>
        <v>STORE8</v>
      </c>
      <c r="G1630" s="21" t="str">
        <f t="array" ref="G1630">INDEX(Store[Store_Name],MATCH(F1630,Store[Store_ID],0))</f>
        <v>Bean, Jones and Park</v>
      </c>
      <c r="H1630" s="21" t="str">
        <f>Sales[Product_ID]</f>
        <v>PROD16</v>
      </c>
      <c r="I1630" s="21" t="str">
        <f>VLOOKUP(H1630,Products[],2)</f>
        <v>Beard Grooming Kit</v>
      </c>
      <c r="J1630" s="24">
        <f>Sales[Total_Amount]</f>
        <v>2158.7104</v>
      </c>
      <c r="K1630" s="21" t="str">
        <f t="shared" si="1"/>
        <v>Jul</v>
      </c>
      <c r="L1630" s="21">
        <f t="shared" si="2"/>
        <v>2024</v>
      </c>
      <c r="N1630" s="33"/>
      <c r="O1630" s="34"/>
    </row>
    <row r="1631" ht="22.5" customHeight="1">
      <c r="A1631" s="21" t="s">
        <v>3596</v>
      </c>
      <c r="B1631" s="21" t="s">
        <v>193</v>
      </c>
      <c r="C1631" s="21" t="str">
        <f t="array" ref="C1631">XLOOKUP(B1631,Customer[Customer_ID],Customer[Name(Cleaned)])</f>
        <v>April Mullins</v>
      </c>
      <c r="D1631" s="22" t="str">
        <f>VLOOKUP(B1631,Customer[#ALL],6)</f>
        <v>Female</v>
      </c>
      <c r="E1631" s="23">
        <f>Sales[Order_Date]</f>
        <v>45781</v>
      </c>
      <c r="F1631" s="21" t="str">
        <f>Sales[Store_ID]</f>
        <v>STORE14</v>
      </c>
      <c r="G1631" s="21" t="str">
        <f t="array" ref="G1631">INDEX(Store[Store_Name],MATCH(F1631,Store[Store_ID],0))</f>
        <v>Mcdonald Inc</v>
      </c>
      <c r="H1631" s="21" t="str">
        <f>Sales[Product_ID]</f>
        <v>PROD95</v>
      </c>
      <c r="I1631" s="21" t="str">
        <f>VLOOKUP(H1631,Products[],2)</f>
        <v>Sports Stopwatch Basic</v>
      </c>
      <c r="J1631" s="24">
        <f>Sales[Total_Amount]</f>
        <v>67.5024</v>
      </c>
      <c r="K1631" s="21" t="str">
        <f t="shared" si="1"/>
        <v>May</v>
      </c>
      <c r="L1631" s="21">
        <f t="shared" si="2"/>
        <v>2025</v>
      </c>
      <c r="N1631" s="33"/>
      <c r="O1631" s="34"/>
    </row>
    <row r="1632" ht="22.5" customHeight="1">
      <c r="A1632" s="21" t="s">
        <v>3597</v>
      </c>
      <c r="B1632" s="21" t="s">
        <v>238</v>
      </c>
      <c r="C1632" s="21" t="str">
        <f t="array" ref="C1632">XLOOKUP(B1632,Customer[Customer_ID],Customer[Name(Cleaned)])</f>
        <v>James Bean</v>
      </c>
      <c r="D1632" s="22" t="str">
        <f>VLOOKUP(B1632,Customer[#ALL],6)</f>
        <v>Female</v>
      </c>
      <c r="E1632" s="23">
        <f>Sales[Order_Date]</f>
        <v>45654</v>
      </c>
      <c r="F1632" s="21" t="str">
        <f>Sales[Store_ID]</f>
        <v>STORE11</v>
      </c>
      <c r="G1632" s="21" t="str">
        <f t="array" ref="G1632">INDEX(Store[Store_Name],MATCH(F1632,Store[Store_ID],0))</f>
        <v>Aguirre-Keller</v>
      </c>
      <c r="H1632" s="21" t="str">
        <f>Sales[Product_ID]</f>
        <v>PROD37</v>
      </c>
      <c r="I1632" s="21" t="str">
        <f>VLOOKUP(H1632,Products[],2)</f>
        <v>Men's Casual Sneakers</v>
      </c>
      <c r="J1632" s="24">
        <f>Sales[Total_Amount]</f>
        <v>2092.2192</v>
      </c>
      <c r="K1632" s="21" t="str">
        <f t="shared" si="1"/>
        <v>Dec</v>
      </c>
      <c r="L1632" s="21">
        <f t="shared" si="2"/>
        <v>2024</v>
      </c>
      <c r="N1632" s="33"/>
      <c r="O1632" s="34"/>
    </row>
    <row r="1633" ht="22.5" customHeight="1">
      <c r="A1633" s="21" t="s">
        <v>3598</v>
      </c>
      <c r="B1633" s="21" t="s">
        <v>203</v>
      </c>
      <c r="C1633" s="21" t="str">
        <f t="array" ref="C1633">XLOOKUP(B1633,Customer[Customer_ID],Customer[Name(Cleaned)])</f>
        <v>Sarah Rodgers</v>
      </c>
      <c r="D1633" s="22" t="str">
        <f>VLOOKUP(B1633,Customer[#ALL],6)</f>
        <v>Male</v>
      </c>
      <c r="E1633" s="23">
        <f>Sales[Order_Date]</f>
        <v>45594</v>
      </c>
      <c r="F1633" s="21" t="str">
        <f>Sales[Store_ID]</f>
        <v>STORE0</v>
      </c>
      <c r="G1633" s="21" t="str">
        <f t="array" ref="G1633">INDEX(Store[Store_Name],MATCH(F1633,Store[Store_ID],0))</f>
        <v>Rivera-Warner</v>
      </c>
      <c r="H1633" s="21" t="str">
        <f>Sales[Product_ID]</f>
        <v>PROD21</v>
      </c>
      <c r="I1633" s="21" t="str">
        <f>VLOOKUP(H1633,Products[],2)</f>
        <v>Multi-Purpose Storage Box</v>
      </c>
      <c r="J1633" s="24">
        <f>Sales[Total_Amount]</f>
        <v>198.5056</v>
      </c>
      <c r="K1633" s="21" t="str">
        <f t="shared" si="1"/>
        <v>Oct</v>
      </c>
      <c r="L1633" s="21">
        <f t="shared" si="2"/>
        <v>2024</v>
      </c>
      <c r="N1633" s="33"/>
      <c r="O1633" s="34"/>
    </row>
    <row r="1634" ht="22.5" customHeight="1">
      <c r="A1634" s="21" t="s">
        <v>3599</v>
      </c>
      <c r="B1634" s="21" t="s">
        <v>222</v>
      </c>
      <c r="C1634" s="21" t="str">
        <f t="array" ref="C1634">XLOOKUP(B1634,Customer[Customer_ID],Customer[Name(Cleaned)])</f>
        <v>Jay Patel</v>
      </c>
      <c r="D1634" s="22" t="str">
        <f>VLOOKUP(B1634,Customer[#ALL],6)</f>
        <v>Male</v>
      </c>
      <c r="E1634" s="23">
        <f>Sales[Order_Date]</f>
        <v>45581</v>
      </c>
      <c r="F1634" s="21" t="str">
        <f>Sales[Store_ID]</f>
        <v>STORE7</v>
      </c>
      <c r="G1634" s="21" t="str">
        <f t="array" ref="G1634">INDEX(Store[Store_Name],MATCH(F1634,Store[Store_ID],0))</f>
        <v>Martinez-Mullins</v>
      </c>
      <c r="H1634" s="21" t="str">
        <f>Sales[Product_ID]</f>
        <v>PROD63</v>
      </c>
      <c r="I1634" s="21" t="str">
        <f>VLOOKUP(H1634,Products[],2)</f>
        <v>Organic Sunscreen Lotion</v>
      </c>
      <c r="J1634" s="24">
        <f>Sales[Total_Amount]</f>
        <v>391.7764</v>
      </c>
      <c r="K1634" s="21" t="str">
        <f t="shared" si="1"/>
        <v>Oct</v>
      </c>
      <c r="L1634" s="21">
        <f t="shared" si="2"/>
        <v>2024</v>
      </c>
      <c r="N1634" s="33"/>
      <c r="O1634" s="34"/>
    </row>
    <row r="1635" ht="22.5" customHeight="1">
      <c r="A1635" s="21" t="s">
        <v>3600</v>
      </c>
      <c r="B1635" s="21" t="s">
        <v>346</v>
      </c>
      <c r="C1635" s="21" t="str">
        <f t="array" ref="C1635">XLOOKUP(B1635,Customer[Customer_ID],Customer[Name(Cleaned)])</f>
        <v>David Patterson</v>
      </c>
      <c r="D1635" s="22" t="str">
        <f>VLOOKUP(B1635,Customer[#ALL],6)</f>
        <v>Male</v>
      </c>
      <c r="E1635" s="23">
        <f>Sales[Order_Date]</f>
        <v>45748</v>
      </c>
      <c r="F1635" s="21" t="str">
        <f>Sales[Store_ID]</f>
        <v>STORE4</v>
      </c>
      <c r="G1635" s="21" t="str">
        <f t="array" ref="G1635">INDEX(Store[Store_Name],MATCH(F1635,Store[Store_ID],0))</f>
        <v>Alexander Group</v>
      </c>
      <c r="H1635" s="21" t="str">
        <f>Sales[Product_ID]</f>
        <v>PROD29</v>
      </c>
      <c r="I1635" s="21" t="str">
        <f>VLOOKUP(H1635,Products[],2)</f>
        <v>Fabric Sofa Throw Blanket</v>
      </c>
      <c r="J1635" s="24">
        <f>Sales[Total_Amount]</f>
        <v>214.8664</v>
      </c>
      <c r="K1635" s="21" t="str">
        <f t="shared" si="1"/>
        <v>Apr</v>
      </c>
      <c r="L1635" s="21">
        <f t="shared" si="2"/>
        <v>2025</v>
      </c>
      <c r="N1635" s="33"/>
      <c r="O1635" s="34"/>
    </row>
    <row r="1636" ht="22.5" customHeight="1">
      <c r="A1636" s="21" t="s">
        <v>3601</v>
      </c>
      <c r="B1636" s="21" t="s">
        <v>1503</v>
      </c>
      <c r="C1636" s="21" t="str">
        <f t="array" ref="C1636">XLOOKUP(B1636,Customer[Customer_ID],Customer[Name(Cleaned)])</f>
        <v>Sarah Smith</v>
      </c>
      <c r="D1636" s="22" t="str">
        <f>VLOOKUP(B1636,Customer[#ALL],6)</f>
        <v>Female</v>
      </c>
      <c r="E1636" s="23">
        <f>Sales[Order_Date]</f>
        <v>45255</v>
      </c>
      <c r="F1636" s="21" t="str">
        <f>Sales[Store_ID]</f>
        <v>STORE2</v>
      </c>
      <c r="G1636" s="21" t="str">
        <f t="array" ref="G1636">INDEX(Store[Store_Name],MATCH(F1636,Store[Store_ID],0))</f>
        <v>Black-Horn</v>
      </c>
      <c r="H1636" s="21" t="str">
        <f>Sales[Product_ID]</f>
        <v>PROD12</v>
      </c>
      <c r="I1636" s="21" t="str">
        <f>VLOOKUP(H1636,Products[],2)</f>
        <v>Hair Strengthening Shampoo</v>
      </c>
      <c r="J1636" s="24">
        <f>Sales[Total_Amount]</f>
        <v>791.336</v>
      </c>
      <c r="K1636" s="21" t="str">
        <f t="shared" si="1"/>
        <v>Nov</v>
      </c>
      <c r="L1636" s="21">
        <f t="shared" si="2"/>
        <v>2023</v>
      </c>
      <c r="N1636" s="33"/>
      <c r="O1636" s="34"/>
    </row>
    <row r="1637" ht="22.5" customHeight="1">
      <c r="A1637" s="21" t="s">
        <v>3602</v>
      </c>
      <c r="B1637" s="21" t="s">
        <v>730</v>
      </c>
      <c r="C1637" s="21" t="str">
        <f t="array" ref="C1637">XLOOKUP(B1637,Customer[Customer_ID],Customer[Name(Cleaned)])</f>
        <v>Lisa Young</v>
      </c>
      <c r="D1637" s="22" t="str">
        <f>VLOOKUP(B1637,Customer[#ALL],6)</f>
        <v>Female</v>
      </c>
      <c r="E1637" s="23">
        <f>Sales[Order_Date]</f>
        <v>45369</v>
      </c>
      <c r="F1637" s="21" t="str">
        <f>Sales[Store_ID]</f>
        <v>STORE4</v>
      </c>
      <c r="G1637" s="21" t="str">
        <f t="array" ref="G1637">INDEX(Store[Store_Name],MATCH(F1637,Store[Store_ID],0))</f>
        <v>Alexander Group</v>
      </c>
      <c r="H1637" s="21" t="str">
        <f>Sales[Product_ID]</f>
        <v>PROD67</v>
      </c>
      <c r="I1637" s="21" t="str">
        <f>VLOOKUP(H1637,Products[],2)</f>
        <v>Smart LED Light Strip</v>
      </c>
      <c r="J1637" s="24">
        <f>Sales[Total_Amount]</f>
        <v>231.0198</v>
      </c>
      <c r="K1637" s="21" t="str">
        <f t="shared" si="1"/>
        <v>Mar</v>
      </c>
      <c r="L1637" s="21">
        <f t="shared" si="2"/>
        <v>2024</v>
      </c>
      <c r="N1637" s="33"/>
      <c r="O1637" s="34"/>
    </row>
    <row r="1638" ht="22.5" customHeight="1">
      <c r="A1638" s="21" t="s">
        <v>3603</v>
      </c>
      <c r="B1638" s="21" t="s">
        <v>70</v>
      </c>
      <c r="C1638" s="21" t="str">
        <f t="array" ref="C1638">XLOOKUP(B1638,Customer[Customer_ID],Customer[Name(Cleaned)])</f>
        <v>Nathan Hernandez</v>
      </c>
      <c r="D1638" s="22" t="str">
        <f>VLOOKUP(B1638,Customer[#ALL],6)</f>
        <v>Male</v>
      </c>
      <c r="E1638" s="23">
        <f>Sales[Order_Date]</f>
        <v>45701</v>
      </c>
      <c r="F1638" s="21" t="str">
        <f>Sales[Store_ID]</f>
        <v>STORE9</v>
      </c>
      <c r="G1638" s="21" t="str">
        <f t="array" ref="G1638">INDEX(Store[Store_Name],MATCH(F1638,Store[Store_ID],0))</f>
        <v>Moore, Padilla and Butler</v>
      </c>
      <c r="H1638" s="21" t="str">
        <f>Sales[Product_ID]</f>
        <v>PROD41</v>
      </c>
      <c r="I1638" s="21" t="str">
        <f>VLOOKUP(H1638,Products[],2)</f>
        <v>Yoga Exercise Mat</v>
      </c>
      <c r="J1638" s="24">
        <f>Sales[Total_Amount]</f>
        <v>2346.4584</v>
      </c>
      <c r="K1638" s="21" t="str">
        <f t="shared" si="1"/>
        <v>Feb</v>
      </c>
      <c r="L1638" s="21">
        <f t="shared" si="2"/>
        <v>2025</v>
      </c>
      <c r="N1638" s="33"/>
      <c r="O1638" s="34"/>
    </row>
    <row r="1639" ht="22.5" customHeight="1">
      <c r="A1639" s="21" t="s">
        <v>3604</v>
      </c>
      <c r="B1639" s="21" t="s">
        <v>1511</v>
      </c>
      <c r="C1639" s="21" t="str">
        <f t="array" ref="C1639">XLOOKUP(B1639,Customer[Customer_ID],Customer[Name(Cleaned)])</f>
        <v>Eric Lee</v>
      </c>
      <c r="D1639" s="22" t="str">
        <f>VLOOKUP(B1639,Customer[#ALL],6)</f>
        <v>Male</v>
      </c>
      <c r="E1639" s="23">
        <f>Sales[Order_Date]</f>
        <v>45510</v>
      </c>
      <c r="F1639" s="21" t="str">
        <f>Sales[Store_ID]</f>
        <v>STORE17</v>
      </c>
      <c r="G1639" s="21" t="str">
        <f t="array" ref="G1639">INDEX(Store[Store_Name],MATCH(F1639,Store[Store_ID],0))</f>
        <v>Holloway Ltd</v>
      </c>
      <c r="H1639" s="21" t="str">
        <f>Sales[Product_ID]</f>
        <v>PROD40</v>
      </c>
      <c r="I1639" s="21" t="str">
        <f>VLOOKUP(H1639,Products[],2)</f>
        <v>Noise-Canceling Headphones</v>
      </c>
      <c r="J1639" s="24">
        <f>Sales[Total_Amount]</f>
        <v>1730.148</v>
      </c>
      <c r="K1639" s="21" t="str">
        <f t="shared" si="1"/>
        <v>Aug</v>
      </c>
      <c r="L1639" s="21">
        <f t="shared" si="2"/>
        <v>2024</v>
      </c>
      <c r="N1639" s="33"/>
      <c r="O1639" s="34"/>
    </row>
    <row r="1640" ht="22.5" customHeight="1">
      <c r="A1640" s="21" t="s">
        <v>3605</v>
      </c>
      <c r="B1640" s="21" t="s">
        <v>767</v>
      </c>
      <c r="C1640" s="21" t="str">
        <f t="array" ref="C1640">XLOOKUP(B1640,Customer[Customer_ID],Customer[Name(Cleaned)])</f>
        <v>Nathaniel Hill</v>
      </c>
      <c r="D1640" s="22" t="str">
        <f>VLOOKUP(B1640,Customer[#ALL],6)</f>
        <v>Male</v>
      </c>
      <c r="E1640" s="23">
        <f>Sales[Order_Date]</f>
        <v>45538</v>
      </c>
      <c r="F1640" s="21" t="str">
        <f>Sales[Store_ID]</f>
        <v>STORE16</v>
      </c>
      <c r="G1640" s="21" t="str">
        <f t="array" ref="G1640">INDEX(Store[Store_Name],MATCH(F1640,Store[Store_ID],0))</f>
        <v>Frederick-Wright</v>
      </c>
      <c r="H1640" s="21" t="str">
        <f>Sales[Product_ID]</f>
        <v>PROD37</v>
      </c>
      <c r="I1640" s="21" t="str">
        <f>VLOOKUP(H1640,Products[],2)</f>
        <v>Men's Casual Sneakers</v>
      </c>
      <c r="J1640" s="24">
        <f>Sales[Total_Amount]</f>
        <v>878.0688</v>
      </c>
      <c r="K1640" s="21" t="str">
        <f t="shared" si="1"/>
        <v>Sep</v>
      </c>
      <c r="L1640" s="21">
        <f t="shared" si="2"/>
        <v>2024</v>
      </c>
      <c r="N1640" s="33"/>
      <c r="O1640" s="34"/>
    </row>
    <row r="1641" ht="22.5" customHeight="1">
      <c r="A1641" s="21" t="s">
        <v>3606</v>
      </c>
      <c r="B1641" s="21" t="s">
        <v>1474</v>
      </c>
      <c r="C1641" s="21" t="str">
        <f t="array" ref="C1641">XLOOKUP(B1641,Customer[Customer_ID],Customer[Name(Cleaned)])</f>
        <v>Laura Mathews</v>
      </c>
      <c r="D1641" s="22" t="str">
        <f>VLOOKUP(B1641,Customer[#ALL],6)</f>
        <v>Female</v>
      </c>
      <c r="E1641" s="23">
        <f>Sales[Order_Date]</f>
        <v>45665</v>
      </c>
      <c r="F1641" s="21" t="str">
        <f>Sales[Store_ID]</f>
        <v>STORE17</v>
      </c>
      <c r="G1641" s="21" t="str">
        <f t="array" ref="G1641">INDEX(Store[Store_Name],MATCH(F1641,Store[Store_ID],0))</f>
        <v>Holloway Ltd</v>
      </c>
      <c r="H1641" s="21" t="str">
        <f>Sales[Product_ID]</f>
        <v>PROD57</v>
      </c>
      <c r="I1641" s="21" t="str">
        <f>VLOOKUP(H1641,Products[],2)</f>
        <v>Foam Roller</v>
      </c>
      <c r="J1641" s="24">
        <f>Sales[Total_Amount]</f>
        <v>427.4956</v>
      </c>
      <c r="K1641" s="21" t="str">
        <f t="shared" si="1"/>
        <v>Jan</v>
      </c>
      <c r="L1641" s="21">
        <f t="shared" si="2"/>
        <v>2025</v>
      </c>
      <c r="N1641" s="33"/>
      <c r="O1641" s="34"/>
    </row>
    <row r="1642" ht="22.5" customHeight="1">
      <c r="A1642" s="21" t="s">
        <v>3607</v>
      </c>
      <c r="B1642" s="21" t="s">
        <v>222</v>
      </c>
      <c r="C1642" s="21" t="str">
        <f t="array" ref="C1642">XLOOKUP(B1642,Customer[Customer_ID],Customer[Name(Cleaned)])</f>
        <v>Jay Patel</v>
      </c>
      <c r="D1642" s="22" t="str">
        <f>VLOOKUP(B1642,Customer[#ALL],6)</f>
        <v>Male</v>
      </c>
      <c r="E1642" s="23">
        <f>Sales[Order_Date]</f>
        <v>45859</v>
      </c>
      <c r="F1642" s="21" t="str">
        <f>Sales[Store_ID]</f>
        <v>STORE6</v>
      </c>
      <c r="G1642" s="21" t="str">
        <f t="array" ref="G1642">INDEX(Store[Store_Name],MATCH(F1642,Store[Store_ID],0))</f>
        <v>Benson-Elliott</v>
      </c>
      <c r="H1642" s="21" t="str">
        <f>Sales[Product_ID]</f>
        <v>PROD1</v>
      </c>
      <c r="I1642" s="21" t="str">
        <f>VLOOKUP(H1642,Products[],2)</f>
        <v>Men's Graphic T-Shirt</v>
      </c>
      <c r="J1642" s="24">
        <f>Sales[Total_Amount]</f>
        <v>3179.3808</v>
      </c>
      <c r="K1642" s="21" t="str">
        <f t="shared" si="1"/>
        <v>Jul</v>
      </c>
      <c r="L1642" s="21">
        <f t="shared" si="2"/>
        <v>2025</v>
      </c>
      <c r="N1642" s="33"/>
      <c r="O1642" s="34"/>
    </row>
    <row r="1643" ht="22.5" customHeight="1">
      <c r="A1643" s="21" t="s">
        <v>3608</v>
      </c>
      <c r="B1643" s="21" t="s">
        <v>450</v>
      </c>
      <c r="C1643" s="21" t="str">
        <f t="array" ref="C1643">XLOOKUP(B1643,Customer[Customer_ID],Customer[Name(Cleaned)])</f>
        <v>Susan Mcdonald</v>
      </c>
      <c r="D1643" s="22" t="str">
        <f>VLOOKUP(B1643,Customer[#ALL],6)</f>
        <v>Female</v>
      </c>
      <c r="E1643" s="23">
        <f>Sales[Order_Date]</f>
        <v>45255</v>
      </c>
      <c r="F1643" s="21" t="str">
        <f>Sales[Store_ID]</f>
        <v>STORE2</v>
      </c>
      <c r="G1643" s="21" t="str">
        <f t="array" ref="G1643">INDEX(Store[Store_Name],MATCH(F1643,Store[Store_ID],0))</f>
        <v>Black-Horn</v>
      </c>
      <c r="H1643" s="21" t="str">
        <f>Sales[Product_ID]</f>
        <v>PROD80</v>
      </c>
      <c r="I1643" s="21" t="str">
        <f>VLOOKUP(H1643,Products[],2)</f>
        <v>Wall-Mounted Spice Rack</v>
      </c>
      <c r="J1643" s="24">
        <f>Sales[Total_Amount]</f>
        <v>191.4016</v>
      </c>
      <c r="K1643" s="21" t="str">
        <f t="shared" si="1"/>
        <v>Nov</v>
      </c>
      <c r="L1643" s="21">
        <f t="shared" si="2"/>
        <v>2023</v>
      </c>
      <c r="N1643" s="33"/>
      <c r="O1643" s="34"/>
    </row>
    <row r="1644" ht="22.5" customHeight="1">
      <c r="A1644" s="21" t="s">
        <v>3609</v>
      </c>
      <c r="B1644" s="21" t="s">
        <v>597</v>
      </c>
      <c r="C1644" s="21" t="str">
        <f t="array" ref="C1644">XLOOKUP(B1644,Customer[Customer_ID],Customer[Name(Cleaned)])</f>
        <v>Curtis Lam</v>
      </c>
      <c r="D1644" s="22" t="str">
        <f>VLOOKUP(B1644,Customer[#ALL],6)</f>
        <v>Female</v>
      </c>
      <c r="E1644" s="23">
        <f>Sales[Order_Date]</f>
        <v>45842</v>
      </c>
      <c r="F1644" s="21" t="str">
        <f>Sales[Store_ID]</f>
        <v>STORE14</v>
      </c>
      <c r="G1644" s="21" t="str">
        <f t="array" ref="G1644">INDEX(Store[Store_Name],MATCH(F1644,Store[Store_ID],0))</f>
        <v>Mcdonald Inc</v>
      </c>
      <c r="H1644" s="21" t="str">
        <f>Sales[Product_ID]</f>
        <v>PROD59</v>
      </c>
      <c r="I1644" s="21" t="str">
        <f>VLOOKUP(H1644,Products[],2)</f>
        <v>Men's Hair Styling Gel</v>
      </c>
      <c r="J1644" s="24">
        <f>Sales[Total_Amount]</f>
        <v>60.2802</v>
      </c>
      <c r="K1644" s="21" t="str">
        <f t="shared" si="1"/>
        <v>Jul</v>
      </c>
      <c r="L1644" s="21">
        <f t="shared" si="2"/>
        <v>2025</v>
      </c>
      <c r="N1644" s="33"/>
      <c r="O1644" s="34"/>
    </row>
    <row r="1645" ht="22.5" customHeight="1">
      <c r="A1645" s="21" t="s">
        <v>3610</v>
      </c>
      <c r="B1645" s="21" t="s">
        <v>1311</v>
      </c>
      <c r="C1645" s="21" t="str">
        <f t="array" ref="C1645">XLOOKUP(B1645,Customer[Customer_ID],Customer[Name(Cleaned)])</f>
        <v>Karen King</v>
      </c>
      <c r="D1645" s="22" t="str">
        <f>VLOOKUP(B1645,Customer[#ALL],6)</f>
        <v>Male</v>
      </c>
      <c r="E1645" s="23">
        <f>Sales[Order_Date]</f>
        <v>45220</v>
      </c>
      <c r="F1645" s="21" t="str">
        <f>Sales[Store_ID]</f>
        <v>STORE13</v>
      </c>
      <c r="G1645" s="21" t="str">
        <f t="array" ref="G1645">INDEX(Store[Store_Name],MATCH(F1645,Store[Store_ID],0))</f>
        <v>Gardner, Humphrey and Contreras</v>
      </c>
      <c r="H1645" s="21" t="str">
        <f>Sales[Product_ID]</f>
        <v>PROD62</v>
      </c>
      <c r="I1645" s="21" t="str">
        <f>VLOOKUP(H1645,Products[],2)</f>
        <v>Laptop Cooling Pad</v>
      </c>
      <c r="J1645" s="24">
        <f>Sales[Total_Amount]</f>
        <v>318.4608</v>
      </c>
      <c r="K1645" s="21" t="str">
        <f t="shared" si="1"/>
        <v>Oct</v>
      </c>
      <c r="L1645" s="21">
        <f t="shared" si="2"/>
        <v>2023</v>
      </c>
      <c r="N1645" s="33"/>
      <c r="O1645" s="34"/>
    </row>
    <row r="1646" ht="22.5" customHeight="1">
      <c r="A1646" s="21" t="s">
        <v>3611</v>
      </c>
      <c r="B1646" s="21" t="s">
        <v>1155</v>
      </c>
      <c r="C1646" s="21" t="str">
        <f t="array" ref="C1646">XLOOKUP(B1646,Customer[Customer_ID],Customer[Name(Cleaned)])</f>
        <v>Chloe Aguilar</v>
      </c>
      <c r="D1646" s="22" t="str">
        <f>VLOOKUP(B1646,Customer[#ALL],6)</f>
        <v>Female</v>
      </c>
      <c r="E1646" s="23">
        <f>Sales[Order_Date]</f>
        <v>45273</v>
      </c>
      <c r="F1646" s="21" t="str">
        <f>Sales[Store_ID]</f>
        <v>STORE12</v>
      </c>
      <c r="G1646" s="21" t="str">
        <f t="array" ref="G1646">INDEX(Store[Store_Name],MATCH(F1646,Store[Store_ID],0))</f>
        <v>Thomas, Bridges and Harris</v>
      </c>
      <c r="H1646" s="21" t="str">
        <f>Sales[Product_ID]</f>
        <v>PROD70</v>
      </c>
      <c r="I1646" s="21" t="str">
        <f>VLOOKUP(H1646,Products[],2)</f>
        <v>Kitchen Storage Rack</v>
      </c>
      <c r="J1646" s="24">
        <f>Sales[Total_Amount]</f>
        <v>837.3183</v>
      </c>
      <c r="K1646" s="21" t="str">
        <f t="shared" si="1"/>
        <v>Dec</v>
      </c>
      <c r="L1646" s="21">
        <f t="shared" si="2"/>
        <v>2023</v>
      </c>
      <c r="N1646" s="33"/>
      <c r="O1646" s="34"/>
    </row>
    <row r="1647" ht="22.5" customHeight="1">
      <c r="A1647" s="21" t="s">
        <v>3612</v>
      </c>
      <c r="B1647" s="21" t="s">
        <v>1179</v>
      </c>
      <c r="C1647" s="21" t="str">
        <f t="array" ref="C1647">XLOOKUP(B1647,Customer[Customer_ID],Customer[Name(Cleaned)])</f>
        <v>Jacqueline Anthony</v>
      </c>
      <c r="D1647" s="22" t="str">
        <f>VLOOKUP(B1647,Customer[#ALL],6)</f>
        <v>Female</v>
      </c>
      <c r="E1647" s="23">
        <f>Sales[Order_Date]</f>
        <v>45270</v>
      </c>
      <c r="F1647" s="21" t="str">
        <f>Sales[Store_ID]</f>
        <v>STORE10</v>
      </c>
      <c r="G1647" s="21" t="str">
        <f t="array" ref="G1647">INDEX(Store[Store_Name],MATCH(F1647,Store[Store_ID],0))</f>
        <v>Hill, Wagner and Ballard</v>
      </c>
      <c r="H1647" s="21" t="str">
        <f>Sales[Product_ID]</f>
        <v>PROD72</v>
      </c>
      <c r="I1647" s="21" t="str">
        <f>VLOOKUP(H1647,Products[],2)</f>
        <v>Professional Jump Rope</v>
      </c>
      <c r="J1647" s="24">
        <f>Sales[Total_Amount]</f>
        <v>204.9344</v>
      </c>
      <c r="K1647" s="21" t="str">
        <f t="shared" si="1"/>
        <v>Dec</v>
      </c>
      <c r="L1647" s="21">
        <f t="shared" si="2"/>
        <v>2023</v>
      </c>
      <c r="N1647" s="33"/>
      <c r="O1647" s="34"/>
    </row>
    <row r="1648" ht="22.5" customHeight="1">
      <c r="A1648" s="21" t="s">
        <v>3613</v>
      </c>
      <c r="B1648" s="21" t="s">
        <v>875</v>
      </c>
      <c r="C1648" s="21" t="str">
        <f t="array" ref="C1648">XLOOKUP(B1648,Customer[Customer_ID],Customer[Name(Cleaned)])</f>
        <v>Brian Garcia</v>
      </c>
      <c r="D1648" s="22" t="str">
        <f>VLOOKUP(B1648,Customer[#ALL],6)</f>
        <v>Male</v>
      </c>
      <c r="E1648" s="23">
        <f>Sales[Order_Date]</f>
        <v>45456</v>
      </c>
      <c r="F1648" s="21" t="str">
        <f>Sales[Store_ID]</f>
        <v>STORE6</v>
      </c>
      <c r="G1648" s="21" t="str">
        <f t="array" ref="G1648">INDEX(Store[Store_Name],MATCH(F1648,Store[Store_ID],0))</f>
        <v>Benson-Elliott</v>
      </c>
      <c r="H1648" s="21" t="str">
        <f>Sales[Product_ID]</f>
        <v>PROD25</v>
      </c>
      <c r="I1648" s="21" t="str">
        <f>VLOOKUP(H1648,Products[],2)</f>
        <v>Women's Scarf Set</v>
      </c>
      <c r="J1648" s="24">
        <f>Sales[Total_Amount]</f>
        <v>1396.5696</v>
      </c>
      <c r="K1648" s="21" t="str">
        <f t="shared" si="1"/>
        <v>Jun</v>
      </c>
      <c r="L1648" s="21">
        <f t="shared" si="2"/>
        <v>2024</v>
      </c>
      <c r="N1648" s="33"/>
      <c r="O1648" s="34"/>
    </row>
    <row r="1649" ht="22.5" customHeight="1">
      <c r="A1649" s="21" t="s">
        <v>3614</v>
      </c>
      <c r="B1649" s="21" t="s">
        <v>176</v>
      </c>
      <c r="C1649" s="21" t="str">
        <f t="array" ref="C1649">XLOOKUP(B1649,Customer[Customer_ID],Customer[Name(Cleaned)])</f>
        <v>Joseph Snow</v>
      </c>
      <c r="D1649" s="22" t="str">
        <f>VLOOKUP(B1649,Customer[#ALL],6)</f>
        <v>Female</v>
      </c>
      <c r="E1649" s="23">
        <f>Sales[Order_Date]</f>
        <v>45292</v>
      </c>
      <c r="F1649" s="21" t="str">
        <f>Sales[Store_ID]</f>
        <v>STORE5</v>
      </c>
      <c r="G1649" s="21" t="str">
        <f t="array" ref="G1649">INDEX(Store[Store_Name],MATCH(F1649,Store[Store_ID],0))</f>
        <v>Gray Ltd</v>
      </c>
      <c r="H1649" s="21" t="str">
        <f>Sales[Product_ID]</f>
        <v>PROD50</v>
      </c>
      <c r="I1649" s="21" t="str">
        <f>VLOOKUP(H1649,Products[],2)</f>
        <v>Boxing Hand Wraps</v>
      </c>
      <c r="J1649" s="24">
        <f>Sales[Total_Amount]</f>
        <v>78.1944</v>
      </c>
      <c r="K1649" s="21" t="str">
        <f t="shared" si="1"/>
        <v>Jan</v>
      </c>
      <c r="L1649" s="21">
        <f t="shared" si="2"/>
        <v>2024</v>
      </c>
      <c r="N1649" s="33"/>
      <c r="O1649" s="34"/>
    </row>
    <row r="1650" ht="22.5" customHeight="1">
      <c r="A1650" s="21" t="s">
        <v>3615</v>
      </c>
      <c r="B1650" s="21" t="s">
        <v>908</v>
      </c>
      <c r="C1650" s="21" t="str">
        <f t="array" ref="C1650">XLOOKUP(B1650,Customer[Customer_ID],Customer[Name(Cleaned)])</f>
        <v>Brittany Watson</v>
      </c>
      <c r="D1650" s="22" t="str">
        <f>VLOOKUP(B1650,Customer[#ALL],6)</f>
        <v>Female</v>
      </c>
      <c r="E1650" s="23">
        <f>Sales[Order_Date]</f>
        <v>45278</v>
      </c>
      <c r="F1650" s="21" t="str">
        <f>Sales[Store_ID]</f>
        <v>STORE6</v>
      </c>
      <c r="G1650" s="21" t="str">
        <f t="array" ref="G1650">INDEX(Store[Store_Name],MATCH(F1650,Store[Store_ID],0))</f>
        <v>Benson-Elliott</v>
      </c>
      <c r="H1650" s="21" t="str">
        <f>Sales[Product_ID]</f>
        <v>PROD55</v>
      </c>
      <c r="I1650" s="21" t="str">
        <f>VLOOKUP(H1650,Products[],2)</f>
        <v>Ceramic Plant Pot</v>
      </c>
      <c r="J1650" s="24">
        <f>Sales[Total_Amount]</f>
        <v>1402.7832</v>
      </c>
      <c r="K1650" s="21" t="str">
        <f t="shared" si="1"/>
        <v>Dec</v>
      </c>
      <c r="L1650" s="21">
        <f t="shared" si="2"/>
        <v>2023</v>
      </c>
      <c r="N1650" s="33"/>
      <c r="O1650" s="34"/>
    </row>
    <row r="1651" ht="22.5" customHeight="1">
      <c r="A1651" s="21" t="s">
        <v>3616</v>
      </c>
      <c r="B1651" s="21" t="s">
        <v>1134</v>
      </c>
      <c r="C1651" s="21" t="str">
        <f t="array" ref="C1651">XLOOKUP(B1651,Customer[Customer_ID],Customer[Name(Cleaned)])</f>
        <v>Manuel Castillo</v>
      </c>
      <c r="D1651" s="22" t="str">
        <f>VLOOKUP(B1651,Customer[#ALL],6)</f>
        <v>Female</v>
      </c>
      <c r="E1651" s="23">
        <f>Sales[Order_Date]</f>
        <v>45232</v>
      </c>
      <c r="F1651" s="21" t="str">
        <f>Sales[Store_ID]</f>
        <v>STORE1</v>
      </c>
      <c r="G1651" s="21" t="str">
        <f t="array" ref="G1651">INDEX(Store[Store_Name],MATCH(F1651,Store[Store_ID],0))</f>
        <v>Martinez, Adkins and Johnson</v>
      </c>
      <c r="H1651" s="21" t="str">
        <f>Sales[Product_ID]</f>
        <v>PROD17</v>
      </c>
      <c r="I1651" s="21" t="str">
        <f>VLOOKUP(H1651,Products[],2)</f>
        <v>Soccer Training Cone Set</v>
      </c>
      <c r="J1651" s="24">
        <f>Sales[Total_Amount]</f>
        <v>1192.2174</v>
      </c>
      <c r="K1651" s="21" t="str">
        <f t="shared" si="1"/>
        <v>Nov</v>
      </c>
      <c r="L1651" s="21">
        <f t="shared" si="2"/>
        <v>2023</v>
      </c>
      <c r="N1651" s="33"/>
      <c r="O1651" s="34"/>
    </row>
    <row r="1652" ht="22.5" customHeight="1">
      <c r="A1652" s="21" t="s">
        <v>3617</v>
      </c>
      <c r="B1652" s="21" t="s">
        <v>643</v>
      </c>
      <c r="C1652" s="21" t="str">
        <f t="array" ref="C1652">XLOOKUP(B1652,Customer[Customer_ID],Customer[Name(Cleaned)])</f>
        <v>Jacob Wood</v>
      </c>
      <c r="D1652" s="22" t="str">
        <f>VLOOKUP(B1652,Customer[#ALL],6)</f>
        <v>Female</v>
      </c>
      <c r="E1652" s="23">
        <f>Sales[Order_Date]</f>
        <v>45907</v>
      </c>
      <c r="F1652" s="21" t="str">
        <f>Sales[Store_ID]</f>
        <v>STORE8</v>
      </c>
      <c r="G1652" s="21" t="str">
        <f t="array" ref="G1652">INDEX(Store[Store_Name],MATCH(F1652,Store[Store_ID],0))</f>
        <v>Bean, Jones and Park</v>
      </c>
      <c r="H1652" s="21" t="str">
        <f>Sales[Product_ID]</f>
        <v>PROD46</v>
      </c>
      <c r="I1652" s="21" t="str">
        <f>VLOOKUP(H1652,Products[],2)</f>
        <v>Men's Winter Jacket</v>
      </c>
      <c r="J1652" s="24">
        <f>Sales[Total_Amount]</f>
        <v>1663.9504</v>
      </c>
      <c r="K1652" s="21" t="str">
        <f t="shared" si="1"/>
        <v>Sep</v>
      </c>
      <c r="L1652" s="21">
        <f t="shared" si="2"/>
        <v>2025</v>
      </c>
      <c r="N1652" s="33"/>
      <c r="O1652" s="34"/>
    </row>
    <row r="1653" ht="22.5" customHeight="1">
      <c r="A1653" s="21" t="s">
        <v>3618</v>
      </c>
      <c r="B1653" s="21" t="s">
        <v>1424</v>
      </c>
      <c r="C1653" s="21" t="str">
        <f t="array" ref="C1653">XLOOKUP(B1653,Customer[Customer_ID],Customer[Name(Cleaned)])</f>
        <v>Julie Powell</v>
      </c>
      <c r="D1653" s="22" t="str">
        <f>VLOOKUP(B1653,Customer[#ALL],6)</f>
        <v>Male</v>
      </c>
      <c r="E1653" s="23">
        <f>Sales[Order_Date]</f>
        <v>45270</v>
      </c>
      <c r="F1653" s="21" t="str">
        <f>Sales[Store_ID]</f>
        <v>STORE13</v>
      </c>
      <c r="G1653" s="21" t="str">
        <f t="array" ref="G1653">INDEX(Store[Store_Name],MATCH(F1653,Store[Store_ID],0))</f>
        <v>Gardner, Humphrey and Contreras</v>
      </c>
      <c r="H1653" s="21" t="str">
        <f>Sales[Product_ID]</f>
        <v>PROD88</v>
      </c>
      <c r="I1653" s="21" t="str">
        <f>VLOOKUP(H1653,Products[],2)</f>
        <v>Sports Wrist Sweatbands</v>
      </c>
      <c r="J1653" s="24">
        <f>Sales[Total_Amount]</f>
        <v>1697.3016</v>
      </c>
      <c r="K1653" s="21" t="str">
        <f t="shared" si="1"/>
        <v>Dec</v>
      </c>
      <c r="L1653" s="21">
        <f t="shared" si="2"/>
        <v>2023</v>
      </c>
      <c r="N1653" s="33"/>
      <c r="O1653" s="34"/>
    </row>
    <row r="1654" ht="22.5" customHeight="1">
      <c r="A1654" s="21" t="s">
        <v>3619</v>
      </c>
      <c r="B1654" s="21" t="s">
        <v>861</v>
      </c>
      <c r="C1654" s="21" t="str">
        <f t="array" ref="C1654">XLOOKUP(B1654,Customer[Customer_ID],Customer[Name(Cleaned)])</f>
        <v>Tracy Kelly</v>
      </c>
      <c r="D1654" s="22" t="str">
        <f>VLOOKUP(B1654,Customer[#ALL],6)</f>
        <v>Female</v>
      </c>
      <c r="E1654" s="23">
        <f>Sales[Order_Date]</f>
        <v>45942</v>
      </c>
      <c r="F1654" s="21" t="str">
        <f>Sales[Store_ID]</f>
        <v>STORE9</v>
      </c>
      <c r="G1654" s="21" t="str">
        <f t="array" ref="G1654">INDEX(Store[Store_Name],MATCH(F1654,Store[Store_ID],0))</f>
        <v>Moore, Padilla and Butler</v>
      </c>
      <c r="H1654" s="21" t="str">
        <f>Sales[Product_ID]</f>
        <v>PROD91</v>
      </c>
      <c r="I1654" s="21" t="str">
        <f>VLOOKUP(H1654,Products[],2)</f>
        <v>Women's High Heels</v>
      </c>
      <c r="J1654" s="24">
        <f>Sales[Total_Amount]</f>
        <v>1641.63</v>
      </c>
      <c r="K1654" s="21" t="str">
        <f t="shared" si="1"/>
        <v>Oct</v>
      </c>
      <c r="L1654" s="21">
        <f t="shared" si="2"/>
        <v>2025</v>
      </c>
      <c r="N1654" s="33"/>
      <c r="O1654" s="34"/>
    </row>
    <row r="1655" ht="22.5" customHeight="1">
      <c r="A1655" s="21" t="s">
        <v>3620</v>
      </c>
      <c r="B1655" s="21" t="s">
        <v>675</v>
      </c>
      <c r="C1655" s="21" t="str">
        <f t="array" ref="C1655">XLOOKUP(B1655,Customer[Customer_ID],Customer[Name(Cleaned)])</f>
        <v>Sarah Brady</v>
      </c>
      <c r="D1655" s="22" t="str">
        <f>VLOOKUP(B1655,Customer[#ALL],6)</f>
        <v>Female</v>
      </c>
      <c r="E1655" s="23">
        <f>Sales[Order_Date]</f>
        <v>45750</v>
      </c>
      <c r="F1655" s="21" t="str">
        <f>Sales[Store_ID]</f>
        <v>STORE4</v>
      </c>
      <c r="G1655" s="21" t="str">
        <f t="array" ref="G1655">INDEX(Store[Store_Name],MATCH(F1655,Store[Store_ID],0))</f>
        <v>Alexander Group</v>
      </c>
      <c r="H1655" s="21" t="str">
        <f>Sales[Product_ID]</f>
        <v>PROD87</v>
      </c>
      <c r="I1655" s="21" t="str">
        <f>VLOOKUP(H1655,Products[],2)</f>
        <v>LED Bedside Lamp</v>
      </c>
      <c r="J1655" s="24">
        <f>Sales[Total_Amount]</f>
        <v>783.424</v>
      </c>
      <c r="K1655" s="21" t="str">
        <f t="shared" si="1"/>
        <v>Apr</v>
      </c>
      <c r="L1655" s="21">
        <f t="shared" si="2"/>
        <v>2025</v>
      </c>
      <c r="N1655" s="33"/>
      <c r="O1655" s="34"/>
    </row>
    <row r="1656" ht="22.5" customHeight="1">
      <c r="A1656" s="21" t="s">
        <v>3621</v>
      </c>
      <c r="B1656" s="21" t="s">
        <v>1447</v>
      </c>
      <c r="C1656" s="21" t="str">
        <f t="array" ref="C1656">XLOOKUP(B1656,Customer[Customer_ID],Customer[Name(Cleaned)])</f>
        <v>David Pierce</v>
      </c>
      <c r="D1656" s="22" t="str">
        <f>VLOOKUP(B1656,Customer[#ALL],6)</f>
        <v>Male</v>
      </c>
      <c r="E1656" s="23">
        <f>Sales[Order_Date]</f>
        <v>45300</v>
      </c>
      <c r="F1656" s="21" t="str">
        <f>Sales[Store_ID]</f>
        <v>STORE7</v>
      </c>
      <c r="G1656" s="21" t="str">
        <f t="array" ref="G1656">INDEX(Store[Store_Name],MATCH(F1656,Store[Store_ID],0))</f>
        <v>Martinez-Mullins</v>
      </c>
      <c r="H1656" s="21" t="str">
        <f>Sales[Product_ID]</f>
        <v>PROD56</v>
      </c>
      <c r="I1656" s="21" t="str">
        <f>VLOOKUP(H1656,Products[],2)</f>
        <v>Premium Blanket Throw</v>
      </c>
      <c r="J1656" s="24">
        <f>Sales[Total_Amount]</f>
        <v>1012.1856</v>
      </c>
      <c r="K1656" s="21" t="str">
        <f t="shared" si="1"/>
        <v>Jan</v>
      </c>
      <c r="L1656" s="21">
        <f t="shared" si="2"/>
        <v>2024</v>
      </c>
      <c r="N1656" s="33"/>
      <c r="O1656" s="34"/>
    </row>
    <row r="1657" ht="22.5" customHeight="1">
      <c r="A1657" s="21" t="s">
        <v>3622</v>
      </c>
      <c r="B1657" s="21" t="s">
        <v>25</v>
      </c>
      <c r="C1657" s="21" t="str">
        <f t="array" ref="C1657">XLOOKUP(B1657,Customer[Customer_ID],Customer[Name(Cleaned)])</f>
        <v>Dr. Benjamin Price</v>
      </c>
      <c r="D1657" s="22" t="str">
        <f>VLOOKUP(B1657,Customer[#ALL],6)</f>
        <v>Male</v>
      </c>
      <c r="E1657" s="23">
        <f>Sales[Order_Date]</f>
        <v>45876</v>
      </c>
      <c r="F1657" s="21" t="str">
        <f>Sales[Store_ID]</f>
        <v>STORE5</v>
      </c>
      <c r="G1657" s="21" t="str">
        <f t="array" ref="G1657">INDEX(Store[Store_Name],MATCH(F1657,Store[Store_ID],0))</f>
        <v>Gray Ltd</v>
      </c>
      <c r="H1657" s="21" t="str">
        <f>Sales[Product_ID]</f>
        <v>PROD54</v>
      </c>
      <c r="I1657" s="21" t="str">
        <f>VLOOKUP(H1657,Products[],2)</f>
        <v>Sports Stopwatch Pro</v>
      </c>
      <c r="J1657" s="24">
        <f>Sales[Total_Amount]</f>
        <v>616.5475</v>
      </c>
      <c r="K1657" s="21" t="str">
        <f t="shared" si="1"/>
        <v>Aug</v>
      </c>
      <c r="L1657" s="21">
        <f t="shared" si="2"/>
        <v>2025</v>
      </c>
      <c r="N1657" s="33"/>
      <c r="O1657" s="34"/>
    </row>
    <row r="1658" ht="22.5" customHeight="1">
      <c r="A1658" s="21" t="s">
        <v>3623</v>
      </c>
      <c r="B1658" s="21" t="s">
        <v>1329</v>
      </c>
      <c r="C1658" s="21" t="str">
        <f t="array" ref="C1658">XLOOKUP(B1658,Customer[Customer_ID],Customer[Name(Cleaned)])</f>
        <v>Rebecca Baker</v>
      </c>
      <c r="D1658" s="22" t="str">
        <f>VLOOKUP(B1658,Customer[#ALL],6)</f>
        <v>Female</v>
      </c>
      <c r="E1658" s="23">
        <f>Sales[Order_Date]</f>
        <v>45897</v>
      </c>
      <c r="F1658" s="21" t="str">
        <f>Sales[Store_ID]</f>
        <v>STORE16</v>
      </c>
      <c r="G1658" s="21" t="str">
        <f t="array" ref="G1658">INDEX(Store[Store_Name],MATCH(F1658,Store[Store_ID],0))</f>
        <v>Frederick-Wright</v>
      </c>
      <c r="H1658" s="21" t="str">
        <f>Sales[Product_ID]</f>
        <v>PROD13</v>
      </c>
      <c r="I1658" s="21" t="str">
        <f>VLOOKUP(H1658,Products[],2)</f>
        <v>USB-C Fast Charger</v>
      </c>
      <c r="J1658" s="24">
        <f>Sales[Total_Amount]</f>
        <v>1706.1696</v>
      </c>
      <c r="K1658" s="21" t="str">
        <f t="shared" si="1"/>
        <v>Aug</v>
      </c>
      <c r="L1658" s="21">
        <f t="shared" si="2"/>
        <v>2025</v>
      </c>
      <c r="N1658" s="33"/>
      <c r="O1658" s="34"/>
    </row>
    <row r="1659" ht="22.5" customHeight="1">
      <c r="A1659" s="21" t="s">
        <v>3624</v>
      </c>
      <c r="B1659" s="21" t="s">
        <v>555</v>
      </c>
      <c r="C1659" s="21" t="str">
        <f t="array" ref="C1659">XLOOKUP(B1659,Customer[Customer_ID],Customer[Name(Cleaned)])</f>
        <v>Joseph Jones</v>
      </c>
      <c r="D1659" s="22" t="str">
        <f>VLOOKUP(B1659,Customer[#ALL],6)</f>
        <v>Female</v>
      </c>
      <c r="E1659" s="23">
        <f>Sales[Order_Date]</f>
        <v>45301</v>
      </c>
      <c r="F1659" s="21" t="str">
        <f>Sales[Store_ID]</f>
        <v>STORE3</v>
      </c>
      <c r="G1659" s="21" t="str">
        <f t="array" ref="G1659">INDEX(Store[Store_Name],MATCH(F1659,Store[Store_ID],0))</f>
        <v>Johnson-Wright</v>
      </c>
      <c r="H1659" s="21" t="str">
        <f>Sales[Product_ID]</f>
        <v>PROD63</v>
      </c>
      <c r="I1659" s="21" t="str">
        <f>VLOOKUP(H1659,Products[],2)</f>
        <v>Organic Sunscreen Lotion</v>
      </c>
      <c r="J1659" s="24">
        <f>Sales[Total_Amount]</f>
        <v>424.2051</v>
      </c>
      <c r="K1659" s="21" t="str">
        <f t="shared" si="1"/>
        <v>Jan</v>
      </c>
      <c r="L1659" s="21">
        <f t="shared" si="2"/>
        <v>2024</v>
      </c>
      <c r="N1659" s="33"/>
      <c r="O1659" s="34"/>
    </row>
    <row r="1660" ht="22.5" customHeight="1">
      <c r="A1660" s="21" t="s">
        <v>3625</v>
      </c>
      <c r="B1660" s="21" t="s">
        <v>437</v>
      </c>
      <c r="C1660" s="21" t="str">
        <f t="array" ref="C1660">XLOOKUP(B1660,Customer[Customer_ID],Customer[Name(Cleaned)])</f>
        <v>Donald Lee</v>
      </c>
      <c r="D1660" s="22" t="str">
        <f>VLOOKUP(B1660,Customer[#ALL],6)</f>
        <v>Female</v>
      </c>
      <c r="E1660" s="23">
        <f>Sales[Order_Date]</f>
        <v>45857</v>
      </c>
      <c r="F1660" s="21" t="str">
        <f>Sales[Store_ID]</f>
        <v>STORE2</v>
      </c>
      <c r="G1660" s="21" t="str">
        <f t="array" ref="G1660">INDEX(Store[Store_Name],MATCH(F1660,Store[Store_ID],0))</f>
        <v>Black-Horn</v>
      </c>
      <c r="H1660" s="21" t="str">
        <f>Sales[Product_ID]</f>
        <v>PROD22</v>
      </c>
      <c r="I1660" s="21" t="str">
        <f>VLOOKUP(H1660,Products[],2)</f>
        <v>Carbon Fiber Tennis Racket</v>
      </c>
      <c r="J1660" s="24">
        <f>Sales[Total_Amount]</f>
        <v>695.955</v>
      </c>
      <c r="K1660" s="21" t="str">
        <f t="shared" si="1"/>
        <v>Jul</v>
      </c>
      <c r="L1660" s="21">
        <f t="shared" si="2"/>
        <v>2025</v>
      </c>
      <c r="N1660" s="33"/>
      <c r="O1660" s="34"/>
    </row>
    <row r="1661" ht="22.5" customHeight="1">
      <c r="A1661" s="21" t="s">
        <v>3626</v>
      </c>
      <c r="B1661" s="21" t="s">
        <v>785</v>
      </c>
      <c r="C1661" s="21" t="str">
        <f t="array" ref="C1661">XLOOKUP(B1661,Customer[Customer_ID],Customer[Name(Cleaned)])</f>
        <v>William Hull</v>
      </c>
      <c r="D1661" s="22" t="str">
        <f>VLOOKUP(B1661,Customer[#ALL],6)</f>
        <v>Male</v>
      </c>
      <c r="E1661" s="23">
        <f>Sales[Order_Date]</f>
        <v>45650</v>
      </c>
      <c r="F1661" s="21" t="str">
        <f>Sales[Store_ID]</f>
        <v>STORE19</v>
      </c>
      <c r="G1661" s="21" t="str">
        <f t="array" ref="G1661">INDEX(Store[Store_Name],MATCH(F1661,Store[Store_ID],0))</f>
        <v>Mann-Austin</v>
      </c>
      <c r="H1661" s="21" t="str">
        <f>Sales[Product_ID]</f>
        <v>PROD26</v>
      </c>
      <c r="I1661" s="21" t="str">
        <f>VLOOKUP(H1661,Products[],2)</f>
        <v>Wireless Bluetooth Speaker</v>
      </c>
      <c r="J1661" s="24">
        <f>Sales[Total_Amount]</f>
        <v>1169.2264</v>
      </c>
      <c r="K1661" s="21" t="str">
        <f t="shared" si="1"/>
        <v>Dec</v>
      </c>
      <c r="L1661" s="21">
        <f t="shared" si="2"/>
        <v>2024</v>
      </c>
      <c r="N1661" s="33"/>
      <c r="O1661" s="34"/>
    </row>
    <row r="1662" ht="22.5" customHeight="1">
      <c r="A1662" s="21" t="s">
        <v>3627</v>
      </c>
      <c r="B1662" s="21" t="s">
        <v>19</v>
      </c>
      <c r="C1662" s="21" t="str">
        <f t="array" ref="C1662">XLOOKUP(B1662,Customer[Customer_ID],Customer[Name(Cleaned)])</f>
        <v>Eugene Nelson</v>
      </c>
      <c r="D1662" s="22" t="str">
        <f>VLOOKUP(B1662,Customer[#ALL],6)</f>
        <v>Male</v>
      </c>
      <c r="E1662" s="23">
        <f>Sales[Order_Date]</f>
        <v>45520</v>
      </c>
      <c r="F1662" s="21" t="str">
        <f>Sales[Store_ID]</f>
        <v>STORE2</v>
      </c>
      <c r="G1662" s="21" t="str">
        <f t="array" ref="G1662">INDEX(Store[Store_Name],MATCH(F1662,Store[Store_ID],0))</f>
        <v>Black-Horn</v>
      </c>
      <c r="H1662" s="21" t="str">
        <f>Sales[Product_ID]</f>
        <v>PROD48</v>
      </c>
      <c r="I1662" s="21" t="str">
        <f>VLOOKUP(H1662,Products[],2)</f>
        <v>Car Dashboard Phone Holder</v>
      </c>
      <c r="J1662" s="24">
        <f>Sales[Total_Amount]</f>
        <v>268.1036</v>
      </c>
      <c r="K1662" s="21" t="str">
        <f t="shared" si="1"/>
        <v>Aug</v>
      </c>
      <c r="L1662" s="21">
        <f t="shared" si="2"/>
        <v>2024</v>
      </c>
      <c r="N1662" s="33"/>
      <c r="O1662" s="34"/>
    </row>
    <row r="1663" ht="22.5" customHeight="1">
      <c r="A1663" s="21" t="s">
        <v>3628</v>
      </c>
      <c r="B1663" s="21" t="s">
        <v>929</v>
      </c>
      <c r="C1663" s="21" t="str">
        <f t="array" ref="C1663">XLOOKUP(B1663,Customer[Customer_ID],Customer[Name(Cleaned)])</f>
        <v>Misty Ferguson</v>
      </c>
      <c r="D1663" s="22" t="str">
        <f>VLOOKUP(B1663,Customer[#ALL],6)</f>
        <v>Female</v>
      </c>
      <c r="E1663" s="23">
        <f>Sales[Order_Date]</f>
        <v>45497</v>
      </c>
      <c r="F1663" s="21" t="str">
        <f>Sales[Store_ID]</f>
        <v>STORE5</v>
      </c>
      <c r="G1663" s="21" t="str">
        <f t="array" ref="G1663">INDEX(Store[Store_Name],MATCH(F1663,Store[Store_ID],0))</f>
        <v>Gray Ltd</v>
      </c>
      <c r="H1663" s="21" t="str">
        <f>Sales[Product_ID]</f>
        <v>PROD85</v>
      </c>
      <c r="I1663" s="21" t="str">
        <f>VLOOKUP(H1663,Products[],2)</f>
        <v>Women's Beanie Hat</v>
      </c>
      <c r="J1663" s="24">
        <f>Sales[Total_Amount]</f>
        <v>1276.7118</v>
      </c>
      <c r="K1663" s="21" t="str">
        <f t="shared" si="1"/>
        <v>Jul</v>
      </c>
      <c r="L1663" s="21">
        <f t="shared" si="2"/>
        <v>2024</v>
      </c>
      <c r="N1663" s="33"/>
      <c r="O1663" s="34"/>
    </row>
    <row r="1664" ht="22.5" customHeight="1">
      <c r="A1664" s="21" t="s">
        <v>3629</v>
      </c>
      <c r="B1664" s="21" t="s">
        <v>1116</v>
      </c>
      <c r="C1664" s="21" t="str">
        <f t="array" ref="C1664">XLOOKUP(B1664,Customer[Customer_ID],Customer[Name(Cleaned)])</f>
        <v>Jeffrey Mccarthy</v>
      </c>
      <c r="D1664" s="22" t="str">
        <f>VLOOKUP(B1664,Customer[#ALL],6)</f>
        <v>Male</v>
      </c>
      <c r="E1664" s="23">
        <f>Sales[Order_Date]</f>
        <v>45615</v>
      </c>
      <c r="F1664" s="21" t="str">
        <f>Sales[Store_ID]</f>
        <v>STORE10</v>
      </c>
      <c r="G1664" s="21" t="str">
        <f t="array" ref="G1664">INDEX(Store[Store_Name],MATCH(F1664,Store[Store_ID],0))</f>
        <v>Hill, Wagner and Ballard</v>
      </c>
      <c r="H1664" s="21" t="str">
        <f>Sales[Product_ID]</f>
        <v>PROD26</v>
      </c>
      <c r="I1664" s="21" t="str">
        <f>VLOOKUP(H1664,Products[],2)</f>
        <v>Wireless Bluetooth Speaker</v>
      </c>
      <c r="J1664" s="24">
        <f>Sales[Total_Amount]</f>
        <v>1620.8416</v>
      </c>
      <c r="K1664" s="21" t="str">
        <f t="shared" si="1"/>
        <v>Nov</v>
      </c>
      <c r="L1664" s="21">
        <f t="shared" si="2"/>
        <v>2024</v>
      </c>
      <c r="N1664" s="33"/>
      <c r="O1664" s="34"/>
    </row>
    <row r="1665" ht="22.5" customHeight="1">
      <c r="A1665" s="21" t="s">
        <v>3630</v>
      </c>
      <c r="B1665" s="21" t="s">
        <v>658</v>
      </c>
      <c r="C1665" s="21" t="str">
        <f t="array" ref="C1665">XLOOKUP(B1665,Customer[Customer_ID],Customer[Name(Cleaned)])</f>
        <v>Andrea Jacobs</v>
      </c>
      <c r="D1665" s="22" t="str">
        <f>VLOOKUP(B1665,Customer[#ALL],6)</f>
        <v>Male</v>
      </c>
      <c r="E1665" s="23">
        <f>Sales[Order_Date]</f>
        <v>45365</v>
      </c>
      <c r="F1665" s="21" t="str">
        <f>Sales[Store_ID]</f>
        <v>STORE1</v>
      </c>
      <c r="G1665" s="21" t="str">
        <f t="array" ref="G1665">INDEX(Store[Store_Name],MATCH(F1665,Store[Store_ID],0))</f>
        <v>Martinez, Adkins and Johnson</v>
      </c>
      <c r="H1665" s="21" t="str">
        <f>Sales[Product_ID]</f>
        <v>PROD8</v>
      </c>
      <c r="I1665" s="21" t="str">
        <f>VLOOKUP(H1665,Products[],2)</f>
        <v>Decorative Lamp Shade</v>
      </c>
      <c r="J1665" s="24">
        <f>Sales[Total_Amount]</f>
        <v>570.622</v>
      </c>
      <c r="K1665" s="21" t="str">
        <f t="shared" si="1"/>
        <v>Mar</v>
      </c>
      <c r="L1665" s="21">
        <f t="shared" si="2"/>
        <v>2024</v>
      </c>
      <c r="N1665" s="33"/>
      <c r="O1665" s="34"/>
    </row>
    <row r="1666" ht="22.5" customHeight="1">
      <c r="A1666" s="21" t="s">
        <v>3631</v>
      </c>
      <c r="B1666" s="21" t="s">
        <v>483</v>
      </c>
      <c r="C1666" s="21" t="str">
        <f t="array" ref="C1666">XLOOKUP(B1666,Customer[Customer_ID],Customer[Name(Cleaned)])</f>
        <v>Brian Holder</v>
      </c>
      <c r="D1666" s="22" t="str">
        <f>VLOOKUP(B1666,Customer[#ALL],6)</f>
        <v>Female</v>
      </c>
      <c r="E1666" s="23">
        <f>Sales[Order_Date]</f>
        <v>45832</v>
      </c>
      <c r="F1666" s="21" t="str">
        <f>Sales[Store_ID]</f>
        <v>STORE18</v>
      </c>
      <c r="G1666" s="21" t="str">
        <f t="array" ref="G1666">INDEX(Store[Store_Name],MATCH(F1666,Store[Store_ID],0))</f>
        <v>Guerrero-Schmitt</v>
      </c>
      <c r="H1666" s="21" t="str">
        <f>Sales[Product_ID]</f>
        <v>PROD15</v>
      </c>
      <c r="I1666" s="21" t="str">
        <f>VLOOKUP(H1666,Products[],2)</f>
        <v>4K Home Projector</v>
      </c>
      <c r="J1666" s="24">
        <f>Sales[Total_Amount]</f>
        <v>1043.8272</v>
      </c>
      <c r="K1666" s="21" t="str">
        <f t="shared" si="1"/>
        <v>Jun</v>
      </c>
      <c r="L1666" s="21">
        <f t="shared" si="2"/>
        <v>2025</v>
      </c>
      <c r="N1666" s="33"/>
      <c r="O1666" s="34"/>
    </row>
    <row r="1667" ht="22.5" customHeight="1">
      <c r="A1667" s="21" t="s">
        <v>3632</v>
      </c>
      <c r="B1667" s="21" t="s">
        <v>161</v>
      </c>
      <c r="C1667" s="21" t="str">
        <f t="array" ref="C1667">XLOOKUP(B1667,Customer[Customer_ID],Customer[Name(Cleaned)])</f>
        <v>Tonya Reynolds</v>
      </c>
      <c r="D1667" s="22" t="str">
        <f>VLOOKUP(B1667,Customer[#ALL],6)</f>
        <v>Male</v>
      </c>
      <c r="E1667" s="23">
        <f>Sales[Order_Date]</f>
        <v>45530</v>
      </c>
      <c r="F1667" s="21" t="str">
        <f>Sales[Store_ID]</f>
        <v>STORE7</v>
      </c>
      <c r="G1667" s="21" t="str">
        <f t="array" ref="G1667">INDEX(Store[Store_Name],MATCH(F1667,Store[Store_ID],0))</f>
        <v>Martinez-Mullins</v>
      </c>
      <c r="H1667" s="21" t="str">
        <f>Sales[Product_ID]</f>
        <v>PROD37</v>
      </c>
      <c r="I1667" s="21" t="str">
        <f>VLOOKUP(H1667,Products[],2)</f>
        <v>Men's Casual Sneakers</v>
      </c>
      <c r="J1667" s="24">
        <f>Sales[Total_Amount]</f>
        <v>853.0542</v>
      </c>
      <c r="K1667" s="21" t="str">
        <f t="shared" si="1"/>
        <v>Aug</v>
      </c>
      <c r="L1667" s="21">
        <f t="shared" si="2"/>
        <v>2024</v>
      </c>
      <c r="N1667" s="33"/>
      <c r="O1667" s="34"/>
    </row>
    <row r="1668" ht="22.5" customHeight="1">
      <c r="A1668" s="21" t="s">
        <v>3633</v>
      </c>
      <c r="B1668" s="21" t="s">
        <v>229</v>
      </c>
      <c r="C1668" s="21" t="str">
        <f t="array" ref="C1668">XLOOKUP(B1668,Customer[Customer_ID],Customer[Name(Cleaned)])</f>
        <v>Alyssa Vargas</v>
      </c>
      <c r="D1668" s="22" t="str">
        <f>VLOOKUP(B1668,Customer[#ALL],6)</f>
        <v>Female</v>
      </c>
      <c r="E1668" s="23">
        <f>Sales[Order_Date]</f>
        <v>45939</v>
      </c>
      <c r="F1668" s="21" t="str">
        <f>Sales[Store_ID]</f>
        <v>STORE19</v>
      </c>
      <c r="G1668" s="21" t="str">
        <f t="array" ref="G1668">INDEX(Store[Store_Name],MATCH(F1668,Store[Store_ID],0))</f>
        <v>Mann-Austin</v>
      </c>
      <c r="H1668" s="21" t="str">
        <f>Sales[Product_ID]</f>
        <v>PROD23</v>
      </c>
      <c r="I1668" s="21" t="str">
        <f>VLOOKUP(H1668,Products[],2)</f>
        <v>Men's Formal Shirt</v>
      </c>
      <c r="J1668" s="24">
        <f>Sales[Total_Amount]</f>
        <v>1555.992</v>
      </c>
      <c r="K1668" s="21" t="str">
        <f t="shared" si="1"/>
        <v>Oct</v>
      </c>
      <c r="L1668" s="21">
        <f t="shared" si="2"/>
        <v>2025</v>
      </c>
      <c r="N1668" s="33"/>
      <c r="O1668" s="34"/>
    </row>
    <row r="1669" ht="22.5" customHeight="1">
      <c r="A1669" s="21" t="s">
        <v>3634</v>
      </c>
      <c r="B1669" s="21" t="s">
        <v>522</v>
      </c>
      <c r="C1669" s="21" t="str">
        <f t="array" ref="C1669">XLOOKUP(B1669,Customer[Customer_ID],Customer[Name(Cleaned)])</f>
        <v>Patrick Roberts</v>
      </c>
      <c r="D1669" s="22" t="str">
        <f>VLOOKUP(B1669,Customer[#ALL],6)</f>
        <v>Male</v>
      </c>
      <c r="E1669" s="23">
        <f>Sales[Order_Date]</f>
        <v>45248</v>
      </c>
      <c r="F1669" s="21" t="str">
        <f>Sales[Store_ID]</f>
        <v>STORE8</v>
      </c>
      <c r="G1669" s="21" t="str">
        <f t="array" ref="G1669">INDEX(Store[Store_Name],MATCH(F1669,Store[Store_ID],0))</f>
        <v>Bean, Jones and Park</v>
      </c>
      <c r="H1669" s="21" t="str">
        <f>Sales[Product_ID]</f>
        <v>PROD70</v>
      </c>
      <c r="I1669" s="21" t="str">
        <f>VLOOKUP(H1669,Products[],2)</f>
        <v>Kitchen Storage Rack</v>
      </c>
      <c r="J1669" s="24">
        <f>Sales[Total_Amount]</f>
        <v>1054.5612</v>
      </c>
      <c r="K1669" s="21" t="str">
        <f t="shared" si="1"/>
        <v>Nov</v>
      </c>
      <c r="L1669" s="21">
        <f t="shared" si="2"/>
        <v>2023</v>
      </c>
      <c r="N1669" s="33"/>
      <c r="O1669" s="34"/>
    </row>
    <row r="1670" ht="22.5" customHeight="1">
      <c r="A1670" s="21" t="s">
        <v>3635</v>
      </c>
      <c r="B1670" s="21" t="s">
        <v>226</v>
      </c>
      <c r="C1670" s="21" t="str">
        <f t="array" ref="C1670">XLOOKUP(B1670,Customer[Customer_ID],Customer[Name(Cleaned)])</f>
        <v>Cheryl Copeland</v>
      </c>
      <c r="D1670" s="22" t="str">
        <f>VLOOKUP(B1670,Customer[#ALL],6)</f>
        <v>Female</v>
      </c>
      <c r="E1670" s="23">
        <f>Sales[Order_Date]</f>
        <v>45849</v>
      </c>
      <c r="F1670" s="21" t="str">
        <f>Sales[Store_ID]</f>
        <v>STORE5</v>
      </c>
      <c r="G1670" s="21" t="str">
        <f t="array" ref="G1670">INDEX(Store[Store_Name],MATCH(F1670,Store[Store_ID],0))</f>
        <v>Gray Ltd</v>
      </c>
      <c r="H1670" s="21" t="str">
        <f>Sales[Product_ID]</f>
        <v>PROD60</v>
      </c>
      <c r="I1670" s="21" t="str">
        <f>VLOOKUP(H1670,Products[],2)</f>
        <v>Luxury Perfume Spray</v>
      </c>
      <c r="J1670" s="24">
        <f>Sales[Total_Amount]</f>
        <v>199.2384</v>
      </c>
      <c r="K1670" s="21" t="str">
        <f t="shared" si="1"/>
        <v>Jul</v>
      </c>
      <c r="L1670" s="21">
        <f t="shared" si="2"/>
        <v>2025</v>
      </c>
      <c r="N1670" s="33"/>
      <c r="O1670" s="34"/>
    </row>
    <row r="1671" ht="22.5" customHeight="1">
      <c r="A1671" s="21" t="s">
        <v>3636</v>
      </c>
      <c r="B1671" s="21" t="s">
        <v>920</v>
      </c>
      <c r="C1671" s="21" t="str">
        <f t="array" ref="C1671">XLOOKUP(B1671,Customer[Customer_ID],Customer[Name(Cleaned)])</f>
        <v>Donna Guerra</v>
      </c>
      <c r="D1671" s="22" t="str">
        <f>VLOOKUP(B1671,Customer[#ALL],6)</f>
        <v>Male</v>
      </c>
      <c r="E1671" s="23">
        <f>Sales[Order_Date]</f>
        <v>45401</v>
      </c>
      <c r="F1671" s="21" t="str">
        <f>Sales[Store_ID]</f>
        <v>STORE2</v>
      </c>
      <c r="G1671" s="21" t="str">
        <f t="array" ref="G1671">INDEX(Store[Store_Name],MATCH(F1671,Store[Store_ID],0))</f>
        <v>Black-Horn</v>
      </c>
      <c r="H1671" s="21" t="str">
        <f>Sales[Product_ID]</f>
        <v>PROD6</v>
      </c>
      <c r="I1671" s="21" t="str">
        <f>VLOOKUP(H1671,Products[],2)</f>
        <v>Men's Hair Styling Gel</v>
      </c>
      <c r="J1671" s="24">
        <f>Sales[Total_Amount]</f>
        <v>958.5744</v>
      </c>
      <c r="K1671" s="21" t="str">
        <f t="shared" si="1"/>
        <v>Apr</v>
      </c>
      <c r="L1671" s="21">
        <f t="shared" si="2"/>
        <v>2024</v>
      </c>
      <c r="N1671" s="33"/>
      <c r="O1671" s="34"/>
    </row>
    <row r="1672" ht="22.5" customHeight="1">
      <c r="A1672" s="21" t="s">
        <v>3637</v>
      </c>
      <c r="B1672" s="21" t="s">
        <v>1077</v>
      </c>
      <c r="C1672" s="21" t="str">
        <f t="array" ref="C1672">XLOOKUP(B1672,Customer[Customer_ID],Customer[Name(Cleaned)])</f>
        <v>Jasmine Snyder</v>
      </c>
      <c r="D1672" s="22" t="str">
        <f>VLOOKUP(B1672,Customer[#ALL],6)</f>
        <v>Male</v>
      </c>
      <c r="E1672" s="23">
        <f>Sales[Order_Date]</f>
        <v>45420</v>
      </c>
      <c r="F1672" s="21" t="str">
        <f>Sales[Store_ID]</f>
        <v>STORE4</v>
      </c>
      <c r="G1672" s="21" t="str">
        <f t="array" ref="G1672">INDEX(Store[Store_Name],MATCH(F1672,Store[Store_ID],0))</f>
        <v>Alexander Group</v>
      </c>
      <c r="H1672" s="21" t="str">
        <f>Sales[Product_ID]</f>
        <v>PROD81</v>
      </c>
      <c r="I1672" s="21" t="str">
        <f>VLOOKUP(H1672,Products[],2)</f>
        <v>Badminton Racket Set</v>
      </c>
      <c r="J1672" s="24">
        <f>Sales[Total_Amount]</f>
        <v>320.76</v>
      </c>
      <c r="K1672" s="21" t="str">
        <f t="shared" si="1"/>
        <v>May</v>
      </c>
      <c r="L1672" s="21">
        <f t="shared" si="2"/>
        <v>2024</v>
      </c>
      <c r="N1672" s="33"/>
      <c r="O1672" s="34"/>
    </row>
    <row r="1673" ht="22.5" customHeight="1">
      <c r="A1673" s="21" t="s">
        <v>3638</v>
      </c>
      <c r="B1673" s="21" t="s">
        <v>730</v>
      </c>
      <c r="C1673" s="21" t="str">
        <f t="array" ref="C1673">XLOOKUP(B1673,Customer[Customer_ID],Customer[Name(Cleaned)])</f>
        <v>Lisa Young</v>
      </c>
      <c r="D1673" s="22" t="str">
        <f>VLOOKUP(B1673,Customer[#ALL],6)</f>
        <v>Female</v>
      </c>
      <c r="E1673" s="23">
        <f>Sales[Order_Date]</f>
        <v>45459</v>
      </c>
      <c r="F1673" s="21" t="str">
        <f>Sales[Store_ID]</f>
        <v>STORE4</v>
      </c>
      <c r="G1673" s="21" t="str">
        <f t="array" ref="G1673">INDEX(Store[Store_Name],MATCH(F1673,Store[Store_ID],0))</f>
        <v>Alexander Group</v>
      </c>
      <c r="H1673" s="21" t="str">
        <f>Sales[Product_ID]</f>
        <v>PROD90</v>
      </c>
      <c r="I1673" s="21" t="str">
        <f>VLOOKUP(H1673,Products[],2)</f>
        <v>Gaming Mouse Pad XL</v>
      </c>
      <c r="J1673" s="24">
        <f>Sales[Total_Amount]</f>
        <v>810.846</v>
      </c>
      <c r="K1673" s="21" t="str">
        <f t="shared" si="1"/>
        <v>Jun</v>
      </c>
      <c r="L1673" s="21">
        <f t="shared" si="2"/>
        <v>2024</v>
      </c>
      <c r="N1673" s="33"/>
      <c r="O1673" s="34"/>
    </row>
    <row r="1674" ht="22.5" customHeight="1">
      <c r="A1674" s="21" t="s">
        <v>3639</v>
      </c>
      <c r="B1674" s="21" t="s">
        <v>655</v>
      </c>
      <c r="C1674" s="21" t="str">
        <f t="array" ref="C1674">XLOOKUP(B1674,Customer[Customer_ID],Customer[Name(Cleaned)])</f>
        <v>Megan Greer</v>
      </c>
      <c r="D1674" s="22" t="str">
        <f>VLOOKUP(B1674,Customer[#ALL],6)</f>
        <v>Male</v>
      </c>
      <c r="E1674" s="23">
        <f>Sales[Order_Date]</f>
        <v>45429</v>
      </c>
      <c r="F1674" s="21" t="str">
        <f>Sales[Store_ID]</f>
        <v>STORE16</v>
      </c>
      <c r="G1674" s="21" t="str">
        <f t="array" ref="G1674">INDEX(Store[Store_Name],MATCH(F1674,Store[Store_ID],0))</f>
        <v>Frederick-Wright</v>
      </c>
      <c r="H1674" s="21" t="str">
        <f>Sales[Product_ID]</f>
        <v>PROD15</v>
      </c>
      <c r="I1674" s="21" t="str">
        <f>VLOOKUP(H1674,Products[],2)</f>
        <v>4K Home Projector</v>
      </c>
      <c r="J1674" s="24">
        <f>Sales[Total_Amount]</f>
        <v>756.5472</v>
      </c>
      <c r="K1674" s="21" t="str">
        <f t="shared" si="1"/>
        <v>May</v>
      </c>
      <c r="L1674" s="21">
        <f t="shared" si="2"/>
        <v>2024</v>
      </c>
      <c r="N1674" s="33"/>
      <c r="O1674" s="34"/>
    </row>
    <row r="1675" ht="22.5" customHeight="1">
      <c r="A1675" s="21" t="s">
        <v>3640</v>
      </c>
      <c r="B1675" s="21" t="s">
        <v>1500</v>
      </c>
      <c r="C1675" s="21" t="str">
        <f t="array" ref="C1675">XLOOKUP(B1675,Customer[Customer_ID],Customer[Name(Cleaned)])</f>
        <v>Sheri Joyce</v>
      </c>
      <c r="D1675" s="22" t="str">
        <f>VLOOKUP(B1675,Customer[#ALL],6)</f>
        <v>Female</v>
      </c>
      <c r="E1675" s="23">
        <f>Sales[Order_Date]</f>
        <v>45386</v>
      </c>
      <c r="F1675" s="21" t="str">
        <f>Sales[Store_ID]</f>
        <v>STORE2</v>
      </c>
      <c r="G1675" s="21" t="str">
        <f t="array" ref="G1675">INDEX(Store[Store_Name],MATCH(F1675,Store[Store_ID],0))</f>
        <v>Black-Horn</v>
      </c>
      <c r="H1675" s="21" t="str">
        <f>Sales[Product_ID]</f>
        <v>PROD68</v>
      </c>
      <c r="I1675" s="21" t="str">
        <f>VLOOKUP(H1675,Products[],2)</f>
        <v>Wooden Nightstand</v>
      </c>
      <c r="J1675" s="24">
        <f>Sales[Total_Amount]</f>
        <v>497.7648</v>
      </c>
      <c r="K1675" s="21" t="str">
        <f t="shared" si="1"/>
        <v>Apr</v>
      </c>
      <c r="L1675" s="21">
        <f t="shared" si="2"/>
        <v>2024</v>
      </c>
      <c r="N1675" s="33"/>
      <c r="O1675" s="34"/>
    </row>
    <row r="1676" ht="22.5" customHeight="1">
      <c r="A1676" s="21" t="s">
        <v>3641</v>
      </c>
      <c r="B1676" s="21" t="s">
        <v>519</v>
      </c>
      <c r="C1676" s="21" t="str">
        <f t="array" ref="C1676">XLOOKUP(B1676,Customer[Customer_ID],Customer[Name(Cleaned)])</f>
        <v>Michael Davies</v>
      </c>
      <c r="D1676" s="22" t="str">
        <f>VLOOKUP(B1676,Customer[#ALL],6)</f>
        <v>Male</v>
      </c>
      <c r="E1676" s="23">
        <f>Sales[Order_Date]</f>
        <v>45803</v>
      </c>
      <c r="F1676" s="21" t="str">
        <f>Sales[Store_ID]</f>
        <v>STORE18</v>
      </c>
      <c r="G1676" s="21" t="str">
        <f t="array" ref="G1676">INDEX(Store[Store_Name],MATCH(F1676,Store[Store_ID],0))</f>
        <v>Guerrero-Schmitt</v>
      </c>
      <c r="H1676" s="21" t="str">
        <f>Sales[Product_ID]</f>
        <v>PROD24</v>
      </c>
      <c r="I1676" s="21" t="str">
        <f>VLOOKUP(H1676,Products[],2)</f>
        <v>Foldable Camping Chair</v>
      </c>
      <c r="J1676" s="24">
        <f>Sales[Total_Amount]</f>
        <v>2364.648</v>
      </c>
      <c r="K1676" s="21" t="str">
        <f t="shared" si="1"/>
        <v>May</v>
      </c>
      <c r="L1676" s="21">
        <f t="shared" si="2"/>
        <v>2025</v>
      </c>
      <c r="N1676" s="33"/>
      <c r="O1676" s="34"/>
    </row>
    <row r="1677" ht="22.5" customHeight="1">
      <c r="A1677" s="21" t="s">
        <v>3642</v>
      </c>
      <c r="B1677" s="21" t="s">
        <v>85</v>
      </c>
      <c r="C1677" s="21" t="str">
        <f t="array" ref="C1677">XLOOKUP(B1677,Customer[Customer_ID],Customer[Name(Cleaned)])</f>
        <v>Adam Cruz</v>
      </c>
      <c r="D1677" s="22" t="str">
        <f>VLOOKUP(B1677,Customer[#ALL],6)</f>
        <v>Male</v>
      </c>
      <c r="E1677" s="23">
        <f>Sales[Order_Date]</f>
        <v>45346</v>
      </c>
      <c r="F1677" s="21" t="str">
        <f>Sales[Store_ID]</f>
        <v>STORE17</v>
      </c>
      <c r="G1677" s="21" t="str">
        <f t="array" ref="G1677">INDEX(Store[Store_Name],MATCH(F1677,Store[Store_ID],0))</f>
        <v>Holloway Ltd</v>
      </c>
      <c r="H1677" s="21" t="str">
        <f>Sales[Product_ID]</f>
        <v>PROD80</v>
      </c>
      <c r="I1677" s="21" t="str">
        <f>VLOOKUP(H1677,Products[],2)</f>
        <v>Wall-Mounted Spice Rack</v>
      </c>
      <c r="J1677" s="24">
        <f>Sales[Total_Amount]</f>
        <v>778.3568</v>
      </c>
      <c r="K1677" s="21" t="str">
        <f t="shared" si="1"/>
        <v>Feb</v>
      </c>
      <c r="L1677" s="21">
        <f t="shared" si="2"/>
        <v>2024</v>
      </c>
      <c r="N1677" s="33"/>
      <c r="O1677" s="34"/>
    </row>
    <row r="1678" ht="22.5" customHeight="1">
      <c r="A1678" s="21" t="s">
        <v>3643</v>
      </c>
      <c r="B1678" s="21" t="s">
        <v>543</v>
      </c>
      <c r="C1678" s="21" t="str">
        <f t="array" ref="C1678">XLOOKUP(B1678,Customer[Customer_ID],Customer[Name(Cleaned)])</f>
        <v>Brian Choi</v>
      </c>
      <c r="D1678" s="22" t="str">
        <f>VLOOKUP(B1678,Customer[#ALL],6)</f>
        <v>Male</v>
      </c>
      <c r="E1678" s="23">
        <f>Sales[Order_Date]</f>
        <v>45267</v>
      </c>
      <c r="F1678" s="21" t="str">
        <f>Sales[Store_ID]</f>
        <v>STORE7</v>
      </c>
      <c r="G1678" s="21" t="str">
        <f t="array" ref="G1678">INDEX(Store[Store_Name],MATCH(F1678,Store[Store_ID],0))</f>
        <v>Martinez-Mullins</v>
      </c>
      <c r="H1678" s="21" t="str">
        <f>Sales[Product_ID]</f>
        <v>PROD38</v>
      </c>
      <c r="I1678" s="21" t="str">
        <f>VLOOKUP(H1678,Products[],2)</f>
        <v>Sports Water Hydration Pack</v>
      </c>
      <c r="J1678" s="24">
        <f>Sales[Total_Amount]</f>
        <v>447.453</v>
      </c>
      <c r="K1678" s="21" t="str">
        <f t="shared" si="1"/>
        <v>Dec</v>
      </c>
      <c r="L1678" s="21">
        <f t="shared" si="2"/>
        <v>2023</v>
      </c>
      <c r="N1678" s="33"/>
      <c r="O1678" s="34"/>
    </row>
    <row r="1679" ht="22.5" customHeight="1">
      <c r="A1679" s="21" t="s">
        <v>3644</v>
      </c>
      <c r="B1679" s="21" t="s">
        <v>1396</v>
      </c>
      <c r="C1679" s="21" t="str">
        <f t="array" ref="C1679">XLOOKUP(B1679,Customer[Customer_ID],Customer[Name(Cleaned)])</f>
        <v>Shannon Turner</v>
      </c>
      <c r="D1679" s="22" t="str">
        <f>VLOOKUP(B1679,Customer[#ALL],6)</f>
        <v>Female</v>
      </c>
      <c r="E1679" s="23">
        <f>Sales[Order_Date]</f>
        <v>45572</v>
      </c>
      <c r="F1679" s="21" t="str">
        <f>Sales[Store_ID]</f>
        <v>STORE4</v>
      </c>
      <c r="G1679" s="21" t="str">
        <f t="array" ref="G1679">INDEX(Store[Store_Name],MATCH(F1679,Store[Store_ID],0))</f>
        <v>Alexander Group</v>
      </c>
      <c r="H1679" s="21" t="str">
        <f>Sales[Product_ID]</f>
        <v>PROD31</v>
      </c>
      <c r="I1679" s="21" t="str">
        <f>VLOOKUP(H1679,Products[],2)</f>
        <v>Basketball</v>
      </c>
      <c r="J1679" s="24">
        <f>Sales[Total_Amount]</f>
        <v>2724.32</v>
      </c>
      <c r="K1679" s="21" t="str">
        <f t="shared" si="1"/>
        <v>Oct</v>
      </c>
      <c r="L1679" s="21">
        <f t="shared" si="2"/>
        <v>2024</v>
      </c>
      <c r="N1679" s="33"/>
      <c r="O1679" s="34"/>
    </row>
    <row r="1680" ht="22.5" customHeight="1">
      <c r="A1680" s="21" t="s">
        <v>3645</v>
      </c>
      <c r="B1680" s="21" t="s">
        <v>1270</v>
      </c>
      <c r="C1680" s="21" t="str">
        <f t="array" ref="C1680">XLOOKUP(B1680,Customer[Customer_ID],Customer[Name(Cleaned)])</f>
        <v>Justin Ingram</v>
      </c>
      <c r="D1680" s="22" t="str">
        <f>VLOOKUP(B1680,Customer[#ALL],6)</f>
        <v>Female</v>
      </c>
      <c r="E1680" s="23">
        <f>Sales[Order_Date]</f>
        <v>45252</v>
      </c>
      <c r="F1680" s="21" t="str">
        <f>Sales[Store_ID]</f>
        <v>STORE7</v>
      </c>
      <c r="G1680" s="21" t="str">
        <f t="array" ref="G1680">INDEX(Store[Store_Name],MATCH(F1680,Store[Store_ID],0))</f>
        <v>Martinez-Mullins</v>
      </c>
      <c r="H1680" s="21" t="str">
        <f>Sales[Product_ID]</f>
        <v>PROD4</v>
      </c>
      <c r="I1680" s="21" t="str">
        <f>VLOOKUP(H1680,Products[],2)</f>
        <v>Portable Power Bank</v>
      </c>
      <c r="J1680" s="24">
        <f>Sales[Total_Amount]</f>
        <v>2488.6336</v>
      </c>
      <c r="K1680" s="21" t="str">
        <f t="shared" si="1"/>
        <v>Nov</v>
      </c>
      <c r="L1680" s="21">
        <f t="shared" si="2"/>
        <v>2023</v>
      </c>
      <c r="N1680" s="33"/>
      <c r="O1680" s="34"/>
    </row>
    <row r="1681" ht="22.5" customHeight="1">
      <c r="A1681" s="21" t="s">
        <v>3646</v>
      </c>
      <c r="B1681" s="21" t="s">
        <v>570</v>
      </c>
      <c r="C1681" s="21" t="str">
        <f t="array" ref="C1681">XLOOKUP(B1681,Customer[Customer_ID],Customer[Name(Cleaned)])</f>
        <v>Daniel Contreras</v>
      </c>
      <c r="D1681" s="22" t="str">
        <f>VLOOKUP(B1681,Customer[#ALL],6)</f>
        <v>Male</v>
      </c>
      <c r="E1681" s="23">
        <f>Sales[Order_Date]</f>
        <v>45889</v>
      </c>
      <c r="F1681" s="21" t="str">
        <f>Sales[Store_ID]</f>
        <v>STORE1</v>
      </c>
      <c r="G1681" s="21" t="str">
        <f t="array" ref="G1681">INDEX(Store[Store_Name],MATCH(F1681,Store[Store_ID],0))</f>
        <v>Martinez, Adkins and Johnson</v>
      </c>
      <c r="H1681" s="21" t="str">
        <f>Sales[Product_ID]</f>
        <v>PROD72</v>
      </c>
      <c r="I1681" s="21" t="str">
        <f>VLOOKUP(H1681,Products[],2)</f>
        <v>Professional Jump Rope</v>
      </c>
      <c r="J1681" s="24">
        <f>Sales[Total_Amount]</f>
        <v>1243.038</v>
      </c>
      <c r="K1681" s="21" t="str">
        <f t="shared" si="1"/>
        <v>Aug</v>
      </c>
      <c r="L1681" s="21">
        <f t="shared" si="2"/>
        <v>2025</v>
      </c>
      <c r="N1681" s="33"/>
      <c r="O1681" s="34"/>
    </row>
    <row r="1682" ht="22.5" customHeight="1">
      <c r="A1682" s="21" t="s">
        <v>3647</v>
      </c>
      <c r="B1682" s="21" t="s">
        <v>444</v>
      </c>
      <c r="C1682" s="21" t="str">
        <f t="array" ref="C1682">XLOOKUP(B1682,Customer[Customer_ID],Customer[Name(Cleaned)])</f>
        <v>James Wolfe</v>
      </c>
      <c r="D1682" s="22" t="str">
        <f>VLOOKUP(B1682,Customer[#ALL],6)</f>
        <v>Male</v>
      </c>
      <c r="E1682" s="23">
        <f>Sales[Order_Date]</f>
        <v>45939</v>
      </c>
      <c r="F1682" s="21" t="str">
        <f>Sales[Store_ID]</f>
        <v>STORE14</v>
      </c>
      <c r="G1682" s="21" t="str">
        <f t="array" ref="G1682">INDEX(Store[Store_Name],MATCH(F1682,Store[Store_ID],0))</f>
        <v>Mcdonald Inc</v>
      </c>
      <c r="H1682" s="21" t="str">
        <f>Sales[Product_ID]</f>
        <v>PROD31</v>
      </c>
      <c r="I1682" s="21" t="str">
        <f>VLOOKUP(H1682,Products[],2)</f>
        <v>Basketball</v>
      </c>
      <c r="J1682" s="24">
        <f>Sales[Total_Amount]</f>
        <v>1661.0528</v>
      </c>
      <c r="K1682" s="21" t="str">
        <f t="shared" si="1"/>
        <v>Oct</v>
      </c>
      <c r="L1682" s="21">
        <f t="shared" si="2"/>
        <v>2025</v>
      </c>
      <c r="N1682" s="33"/>
      <c r="O1682" s="34"/>
    </row>
    <row r="1683" ht="22.5" customHeight="1">
      <c r="A1683" s="21" t="s">
        <v>3648</v>
      </c>
      <c r="B1683" s="21" t="s">
        <v>1161</v>
      </c>
      <c r="C1683" s="21" t="str">
        <f t="array" ref="C1683">XLOOKUP(B1683,Customer[Customer_ID],Customer[Name(Cleaned)])</f>
        <v>Mallory Allen</v>
      </c>
      <c r="D1683" s="22" t="str">
        <f>VLOOKUP(B1683,Customer[#ALL],6)</f>
        <v>Male</v>
      </c>
      <c r="E1683" s="23">
        <f>Sales[Order_Date]</f>
        <v>45559</v>
      </c>
      <c r="F1683" s="21" t="str">
        <f>Sales[Store_ID]</f>
        <v>STORE17</v>
      </c>
      <c r="G1683" s="21" t="str">
        <f t="array" ref="G1683">INDEX(Store[Store_Name],MATCH(F1683,Store[Store_ID],0))</f>
        <v>Holloway Ltd</v>
      </c>
      <c r="H1683" s="21" t="str">
        <f>Sales[Product_ID]</f>
        <v>PROD71</v>
      </c>
      <c r="I1683" s="21" t="str">
        <f>VLOOKUP(H1683,Products[],2)</f>
        <v>Hair Repair Oil Treatment</v>
      </c>
      <c r="J1683" s="24">
        <f>Sales[Total_Amount]</f>
        <v>527.3348</v>
      </c>
      <c r="K1683" s="21" t="str">
        <f t="shared" si="1"/>
        <v>Sep</v>
      </c>
      <c r="L1683" s="21">
        <f t="shared" si="2"/>
        <v>2024</v>
      </c>
      <c r="N1683" s="33"/>
      <c r="O1683" s="34"/>
    </row>
    <row r="1684" ht="22.5" customHeight="1">
      <c r="A1684" s="21" t="s">
        <v>3649</v>
      </c>
      <c r="B1684" s="21" t="s">
        <v>203</v>
      </c>
      <c r="C1684" s="21" t="str">
        <f t="array" ref="C1684">XLOOKUP(B1684,Customer[Customer_ID],Customer[Name(Cleaned)])</f>
        <v>Sarah Rodgers</v>
      </c>
      <c r="D1684" s="22" t="str">
        <f>VLOOKUP(B1684,Customer[#ALL],6)</f>
        <v>Male</v>
      </c>
      <c r="E1684" s="23">
        <f>Sales[Order_Date]</f>
        <v>45229</v>
      </c>
      <c r="F1684" s="21" t="str">
        <f>Sales[Store_ID]</f>
        <v>STORE4</v>
      </c>
      <c r="G1684" s="21" t="str">
        <f t="array" ref="G1684">INDEX(Store[Store_Name],MATCH(F1684,Store[Store_ID],0))</f>
        <v>Alexander Group</v>
      </c>
      <c r="H1684" s="21" t="str">
        <f>Sales[Product_ID]</f>
        <v>PROD43</v>
      </c>
      <c r="I1684" s="21" t="str">
        <f>VLOOKUP(H1684,Products[],2)</f>
        <v>USB External Hard Drive</v>
      </c>
      <c r="J1684" s="24">
        <f>Sales[Total_Amount]</f>
        <v>494.9956</v>
      </c>
      <c r="K1684" s="21" t="str">
        <f t="shared" si="1"/>
        <v>Oct</v>
      </c>
      <c r="L1684" s="21">
        <f t="shared" si="2"/>
        <v>2023</v>
      </c>
      <c r="N1684" s="33"/>
      <c r="O1684" s="34"/>
    </row>
    <row r="1685" ht="22.5" customHeight="1">
      <c r="A1685" s="21" t="s">
        <v>3650</v>
      </c>
      <c r="B1685" s="21" t="s">
        <v>111</v>
      </c>
      <c r="C1685" s="21" t="str">
        <f t="array" ref="C1685">XLOOKUP(B1685,Customer[Customer_ID],Customer[Name(Cleaned)])</f>
        <v>Heather Collins</v>
      </c>
      <c r="D1685" s="22" t="str">
        <f>VLOOKUP(B1685,Customer[#ALL],6)</f>
        <v>Female</v>
      </c>
      <c r="E1685" s="23">
        <f>Sales[Order_Date]</f>
        <v>45333</v>
      </c>
      <c r="F1685" s="21" t="str">
        <f>Sales[Store_ID]</f>
        <v>STORE6</v>
      </c>
      <c r="G1685" s="21" t="str">
        <f t="array" ref="G1685">INDEX(Store[Store_Name],MATCH(F1685,Store[Store_ID],0))</f>
        <v>Benson-Elliott</v>
      </c>
      <c r="H1685" s="21" t="str">
        <f>Sales[Product_ID]</f>
        <v>PROD3</v>
      </c>
      <c r="I1685" s="21" t="str">
        <f>VLOOKUP(H1685,Products[],2)</f>
        <v>Fabric Sofa Throw Blanket</v>
      </c>
      <c r="J1685" s="24">
        <f>Sales[Total_Amount]</f>
        <v>1143.252</v>
      </c>
      <c r="K1685" s="21" t="str">
        <f t="shared" si="1"/>
        <v>Feb</v>
      </c>
      <c r="L1685" s="21">
        <f t="shared" si="2"/>
        <v>2024</v>
      </c>
      <c r="N1685" s="33"/>
      <c r="O1685" s="34"/>
    </row>
    <row r="1686" ht="22.5" customHeight="1">
      <c r="A1686" s="21" t="s">
        <v>3651</v>
      </c>
      <c r="B1686" s="21" t="s">
        <v>1203</v>
      </c>
      <c r="C1686" s="21" t="str">
        <f t="array" ref="C1686">XLOOKUP(B1686,Customer[Customer_ID],Customer[Name(Cleaned)])</f>
        <v>Shelley Ponce</v>
      </c>
      <c r="D1686" s="22" t="str">
        <f>VLOOKUP(B1686,Customer[#ALL],6)</f>
        <v>Female</v>
      </c>
      <c r="E1686" s="23">
        <f>Sales[Order_Date]</f>
        <v>45752</v>
      </c>
      <c r="F1686" s="21" t="str">
        <f>Sales[Store_ID]</f>
        <v>STORE14</v>
      </c>
      <c r="G1686" s="21" t="str">
        <f t="array" ref="G1686">INDEX(Store[Store_Name],MATCH(F1686,Store[Store_ID],0))</f>
        <v>Mcdonald Inc</v>
      </c>
      <c r="H1686" s="21" t="str">
        <f>Sales[Product_ID]</f>
        <v>PROD98</v>
      </c>
      <c r="I1686" s="21" t="str">
        <f>VLOOKUP(H1686,Products[],2)</f>
        <v>Portable Bluetooth Speaker</v>
      </c>
      <c r="J1686" s="24">
        <f>Sales[Total_Amount]</f>
        <v>3139.3784</v>
      </c>
      <c r="K1686" s="21" t="str">
        <f t="shared" si="1"/>
        <v>Apr</v>
      </c>
      <c r="L1686" s="21">
        <f t="shared" si="2"/>
        <v>2025</v>
      </c>
      <c r="N1686" s="33"/>
      <c r="O1686" s="34"/>
    </row>
    <row r="1687" ht="22.5" customHeight="1">
      <c r="A1687" s="21" t="s">
        <v>3652</v>
      </c>
      <c r="B1687" s="21" t="s">
        <v>887</v>
      </c>
      <c r="C1687" s="21" t="str">
        <f t="array" ref="C1687">XLOOKUP(B1687,Customer[Customer_ID],Customer[Name(Cleaned)])</f>
        <v>Sarah Lane</v>
      </c>
      <c r="D1687" s="22" t="str">
        <f>VLOOKUP(B1687,Customer[#ALL],6)</f>
        <v>Female</v>
      </c>
      <c r="E1687" s="23">
        <f>Sales[Order_Date]</f>
        <v>45795</v>
      </c>
      <c r="F1687" s="21" t="str">
        <f>Sales[Store_ID]</f>
        <v>STORE7</v>
      </c>
      <c r="G1687" s="21" t="str">
        <f t="array" ref="G1687">INDEX(Store[Store_Name],MATCH(F1687,Store[Store_ID],0))</f>
        <v>Martinez-Mullins</v>
      </c>
      <c r="H1687" s="21" t="str">
        <f>Sales[Product_ID]</f>
        <v>PROD47</v>
      </c>
      <c r="I1687" s="21" t="str">
        <f>VLOOKUP(H1687,Products[],2)</f>
        <v>Makeup Brush Set</v>
      </c>
      <c r="J1687" s="24">
        <f>Sales[Total_Amount]</f>
        <v>217.7721</v>
      </c>
      <c r="K1687" s="21" t="str">
        <f t="shared" si="1"/>
        <v>May</v>
      </c>
      <c r="L1687" s="21">
        <f t="shared" si="2"/>
        <v>2025</v>
      </c>
      <c r="N1687" s="33"/>
      <c r="O1687" s="34"/>
    </row>
    <row r="1688" ht="22.5" customHeight="1">
      <c r="A1688" s="21" t="s">
        <v>3653</v>
      </c>
      <c r="B1688" s="21" t="s">
        <v>896</v>
      </c>
      <c r="C1688" s="21" t="str">
        <f t="array" ref="C1688">XLOOKUP(B1688,Customer[Customer_ID],Customer[Name(Cleaned)])</f>
        <v>Jeffrey Gomez</v>
      </c>
      <c r="D1688" s="22" t="str">
        <f>VLOOKUP(B1688,Customer[#ALL],6)</f>
        <v>Male</v>
      </c>
      <c r="E1688" s="23">
        <f>Sales[Order_Date]</f>
        <v>45755</v>
      </c>
      <c r="F1688" s="21" t="str">
        <f>Sales[Store_ID]</f>
        <v>STORE15</v>
      </c>
      <c r="G1688" s="21" t="str">
        <f t="array" ref="G1688">INDEX(Store[Store_Name],MATCH(F1688,Store[Store_ID],0))</f>
        <v>Shelton PLC</v>
      </c>
      <c r="H1688" s="21" t="str">
        <f>Sales[Product_ID]</f>
        <v>PROD94</v>
      </c>
      <c r="I1688" s="21" t="str">
        <f>VLOOKUP(H1688,Products[],2)</f>
        <v>Vitamin E Body Lotion</v>
      </c>
      <c r="J1688" s="24">
        <f>Sales[Total_Amount]</f>
        <v>1810.56</v>
      </c>
      <c r="K1688" s="21" t="str">
        <f t="shared" si="1"/>
        <v>Apr</v>
      </c>
      <c r="L1688" s="21">
        <f t="shared" si="2"/>
        <v>2025</v>
      </c>
      <c r="N1688" s="33"/>
      <c r="O1688" s="34"/>
    </row>
    <row r="1689" ht="22.5" customHeight="1">
      <c r="A1689" s="21" t="s">
        <v>3654</v>
      </c>
      <c r="B1689" s="21" t="s">
        <v>289</v>
      </c>
      <c r="C1689" s="21" t="str">
        <f t="array" ref="C1689">XLOOKUP(B1689,Customer[Customer_ID],Customer[Name(Cleaned)])</f>
        <v>Katherine Young</v>
      </c>
      <c r="D1689" s="22" t="str">
        <f>VLOOKUP(B1689,Customer[#ALL],6)</f>
        <v>Female</v>
      </c>
      <c r="E1689" s="23">
        <f>Sales[Order_Date]</f>
        <v>45625</v>
      </c>
      <c r="F1689" s="21" t="str">
        <f>Sales[Store_ID]</f>
        <v>STORE12</v>
      </c>
      <c r="G1689" s="21" t="str">
        <f t="array" ref="G1689">INDEX(Store[Store_Name],MATCH(F1689,Store[Store_ID],0))</f>
        <v>Thomas, Bridges and Harris</v>
      </c>
      <c r="H1689" s="21" t="str">
        <f>Sales[Product_ID]</f>
        <v>PROD77</v>
      </c>
      <c r="I1689" s="21" t="str">
        <f>VLOOKUP(H1689,Products[],2)</f>
        <v>WiFi Mesh Router</v>
      </c>
      <c r="J1689" s="24">
        <f>Sales[Total_Amount]</f>
        <v>1395.6096</v>
      </c>
      <c r="K1689" s="21" t="str">
        <f t="shared" si="1"/>
        <v>Nov</v>
      </c>
      <c r="L1689" s="21">
        <f t="shared" si="2"/>
        <v>2024</v>
      </c>
      <c r="N1689" s="33"/>
      <c r="O1689" s="34"/>
    </row>
    <row r="1690" ht="22.5" customHeight="1">
      <c r="A1690" s="21" t="s">
        <v>3655</v>
      </c>
      <c r="B1690" s="21" t="s">
        <v>1543</v>
      </c>
      <c r="C1690" s="21" t="str">
        <f t="array" ref="C1690">XLOOKUP(B1690,Customer[Customer_ID],Customer[Name(Cleaned)])</f>
        <v>Sarah Marsh</v>
      </c>
      <c r="D1690" s="22" t="str">
        <f>VLOOKUP(B1690,Customer[#ALL],6)</f>
        <v>Male</v>
      </c>
      <c r="E1690" s="23">
        <f>Sales[Order_Date]</f>
        <v>45656</v>
      </c>
      <c r="F1690" s="21" t="str">
        <f>Sales[Store_ID]</f>
        <v>STORE9</v>
      </c>
      <c r="G1690" s="21" t="str">
        <f t="array" ref="G1690">INDEX(Store[Store_Name],MATCH(F1690,Store[Store_ID],0))</f>
        <v>Moore, Padilla and Butler</v>
      </c>
      <c r="H1690" s="21" t="str">
        <f>Sales[Product_ID]</f>
        <v>PROD33</v>
      </c>
      <c r="I1690" s="21" t="str">
        <f>VLOOKUP(H1690,Products[],2)</f>
        <v>Modern Wall Clock</v>
      </c>
      <c r="J1690" s="24">
        <f>Sales[Total_Amount]</f>
        <v>1656.395</v>
      </c>
      <c r="K1690" s="21" t="str">
        <f t="shared" si="1"/>
        <v>Dec</v>
      </c>
      <c r="L1690" s="21">
        <f t="shared" si="2"/>
        <v>2024</v>
      </c>
      <c r="N1690" s="33"/>
      <c r="O1690" s="34"/>
    </row>
    <row r="1691" ht="22.5" customHeight="1">
      <c r="A1691" s="21" t="s">
        <v>3656</v>
      </c>
      <c r="B1691" s="21" t="s">
        <v>1482</v>
      </c>
      <c r="C1691" s="21" t="str">
        <f t="array" ref="C1691">XLOOKUP(B1691,Customer[Customer_ID],Customer[Name(Cleaned)])</f>
        <v>Elizabeth Foster</v>
      </c>
      <c r="D1691" s="22" t="str">
        <f>VLOOKUP(B1691,Customer[#ALL],6)</f>
        <v>Male</v>
      </c>
      <c r="E1691" s="23">
        <f>Sales[Order_Date]</f>
        <v>45824</v>
      </c>
      <c r="F1691" s="21" t="str">
        <f>Sales[Store_ID]</f>
        <v>STORE17</v>
      </c>
      <c r="G1691" s="21" t="str">
        <f t="array" ref="G1691">INDEX(Store[Store_Name],MATCH(F1691,Store[Store_ID],0))</f>
        <v>Holloway Ltd</v>
      </c>
      <c r="H1691" s="21" t="str">
        <f>Sales[Product_ID]</f>
        <v>PROD95</v>
      </c>
      <c r="I1691" s="21" t="str">
        <f>VLOOKUP(H1691,Products[],2)</f>
        <v>Sports Stopwatch Basic</v>
      </c>
      <c r="J1691" s="24">
        <f>Sales[Total_Amount]</f>
        <v>161.238</v>
      </c>
      <c r="K1691" s="21" t="str">
        <f t="shared" si="1"/>
        <v>Jun</v>
      </c>
      <c r="L1691" s="21">
        <f t="shared" si="2"/>
        <v>2025</v>
      </c>
      <c r="N1691" s="33"/>
      <c r="O1691" s="34"/>
    </row>
    <row r="1692" ht="22.5" customHeight="1">
      <c r="A1692" s="21" t="s">
        <v>3657</v>
      </c>
      <c r="B1692" s="21" t="s">
        <v>1288</v>
      </c>
      <c r="C1692" s="21" t="str">
        <f t="array" ref="C1692">XLOOKUP(B1692,Customer[Customer_ID],Customer[Name(Cleaned)])</f>
        <v>Sarah Smith</v>
      </c>
      <c r="D1692" s="22" t="str">
        <f>VLOOKUP(B1692,Customer[#ALL],6)</f>
        <v>Female</v>
      </c>
      <c r="E1692" s="23">
        <f>Sales[Order_Date]</f>
        <v>45533</v>
      </c>
      <c r="F1692" s="21" t="str">
        <f>Sales[Store_ID]</f>
        <v>STORE5</v>
      </c>
      <c r="G1692" s="21" t="str">
        <f t="array" ref="G1692">INDEX(Store[Store_Name],MATCH(F1692,Store[Store_ID],0))</f>
        <v>Gray Ltd</v>
      </c>
      <c r="H1692" s="21" t="str">
        <f>Sales[Product_ID]</f>
        <v>PROD38</v>
      </c>
      <c r="I1692" s="21" t="str">
        <f>VLOOKUP(H1692,Products[],2)</f>
        <v>Sports Water Hydration Pack</v>
      </c>
      <c r="J1692" s="24">
        <f>Sales[Total_Amount]</f>
        <v>503.9762</v>
      </c>
      <c r="K1692" s="21" t="str">
        <f t="shared" si="1"/>
        <v>Aug</v>
      </c>
      <c r="L1692" s="21">
        <f t="shared" si="2"/>
        <v>2024</v>
      </c>
      <c r="N1692" s="33"/>
      <c r="O1692" s="34"/>
    </row>
    <row r="1693" ht="22.5" customHeight="1">
      <c r="A1693" s="21" t="s">
        <v>3658</v>
      </c>
      <c r="B1693" s="21" t="s">
        <v>1173</v>
      </c>
      <c r="C1693" s="21" t="str">
        <f t="array" ref="C1693">XLOOKUP(B1693,Customer[Customer_ID],Customer[Name(Cleaned)])</f>
        <v>James Holloway Jr.</v>
      </c>
      <c r="D1693" s="22" t="str">
        <f>VLOOKUP(B1693,Customer[#ALL],6)</f>
        <v>Female</v>
      </c>
      <c r="E1693" s="23">
        <f>Sales[Order_Date]</f>
        <v>45824</v>
      </c>
      <c r="F1693" s="21" t="str">
        <f>Sales[Store_ID]</f>
        <v>STORE17</v>
      </c>
      <c r="G1693" s="21" t="str">
        <f t="array" ref="G1693">INDEX(Store[Store_Name],MATCH(F1693,Store[Store_ID],0))</f>
        <v>Holloway Ltd</v>
      </c>
      <c r="H1693" s="21" t="str">
        <f>Sales[Product_ID]</f>
        <v>PROD65</v>
      </c>
      <c r="I1693" s="21" t="str">
        <f>VLOOKUP(H1693,Products[],2)</f>
        <v>Adjustable Dumbbells 20kg</v>
      </c>
      <c r="J1693" s="24">
        <f>Sales[Total_Amount]</f>
        <v>1574.4498</v>
      </c>
      <c r="K1693" s="21" t="str">
        <f t="shared" si="1"/>
        <v>Jun</v>
      </c>
      <c r="L1693" s="21">
        <f t="shared" si="2"/>
        <v>2025</v>
      </c>
      <c r="N1693" s="33"/>
      <c r="O1693" s="34"/>
    </row>
    <row r="1694" ht="22.5" customHeight="1">
      <c r="A1694" s="21" t="s">
        <v>3659</v>
      </c>
      <c r="B1694" s="21" t="s">
        <v>597</v>
      </c>
      <c r="C1694" s="21" t="str">
        <f t="array" ref="C1694">XLOOKUP(B1694,Customer[Customer_ID],Customer[Name(Cleaned)])</f>
        <v>Curtis Lam</v>
      </c>
      <c r="D1694" s="22" t="str">
        <f>VLOOKUP(B1694,Customer[#ALL],6)</f>
        <v>Female</v>
      </c>
      <c r="E1694" s="23">
        <f>Sales[Order_Date]</f>
        <v>45384</v>
      </c>
      <c r="F1694" s="21" t="str">
        <f>Sales[Store_ID]</f>
        <v>STORE15</v>
      </c>
      <c r="G1694" s="21" t="str">
        <f t="array" ref="G1694">INDEX(Store[Store_Name],MATCH(F1694,Store[Store_ID],0))</f>
        <v>Shelton PLC</v>
      </c>
      <c r="H1694" s="21" t="str">
        <f>Sales[Product_ID]</f>
        <v>PROD83</v>
      </c>
      <c r="I1694" s="21" t="str">
        <f>VLOOKUP(H1694,Products[],2)</f>
        <v>Hydrating Face Cleanser</v>
      </c>
      <c r="J1694" s="24">
        <f>Sales[Total_Amount]</f>
        <v>207.2793</v>
      </c>
      <c r="K1694" s="21" t="str">
        <f t="shared" si="1"/>
        <v>Apr</v>
      </c>
      <c r="L1694" s="21">
        <f t="shared" si="2"/>
        <v>2024</v>
      </c>
      <c r="N1694" s="33"/>
      <c r="O1694" s="34"/>
    </row>
    <row r="1695" ht="22.5" customHeight="1">
      <c r="A1695" s="21" t="s">
        <v>3660</v>
      </c>
      <c r="B1695" s="21" t="s">
        <v>788</v>
      </c>
      <c r="C1695" s="21" t="str">
        <f t="array" ref="C1695">XLOOKUP(B1695,Customer[Customer_ID],Customer[Name(Cleaned)])</f>
        <v>Mr. William Horton</v>
      </c>
      <c r="D1695" s="22" t="str">
        <f>VLOOKUP(B1695,Customer[#ALL],6)</f>
        <v>Female</v>
      </c>
      <c r="E1695" s="23">
        <f>Sales[Order_Date]</f>
        <v>45379</v>
      </c>
      <c r="F1695" s="21" t="str">
        <f>Sales[Store_ID]</f>
        <v>STORE14</v>
      </c>
      <c r="G1695" s="21" t="str">
        <f t="array" ref="G1695">INDEX(Store[Store_Name],MATCH(F1695,Store[Store_ID],0))</f>
        <v>Mcdonald Inc</v>
      </c>
      <c r="H1695" s="21" t="str">
        <f>Sales[Product_ID]</f>
        <v>PROD15</v>
      </c>
      <c r="I1695" s="21" t="str">
        <f>VLOOKUP(H1695,Products[],2)</f>
        <v>4K Home Projector</v>
      </c>
      <c r="J1695" s="24">
        <f>Sales[Total_Amount]</f>
        <v>24.7744</v>
      </c>
      <c r="K1695" s="21" t="str">
        <f t="shared" si="1"/>
        <v>Mar</v>
      </c>
      <c r="L1695" s="21">
        <f t="shared" si="2"/>
        <v>2024</v>
      </c>
      <c r="N1695" s="33"/>
      <c r="O1695" s="34"/>
    </row>
    <row r="1696" ht="22.5" customHeight="1">
      <c r="A1696" s="21" t="s">
        <v>3661</v>
      </c>
      <c r="B1696" s="21" t="s">
        <v>1086</v>
      </c>
      <c r="C1696" s="21" t="str">
        <f t="array" ref="C1696">XLOOKUP(B1696,Customer[Customer_ID],Customer[Name(Cleaned)])</f>
        <v>Angela Williams</v>
      </c>
      <c r="D1696" s="22" t="str">
        <f>VLOOKUP(B1696,Customer[#ALL],6)</f>
        <v>Male</v>
      </c>
      <c r="E1696" s="23">
        <f>Sales[Order_Date]</f>
        <v>45674</v>
      </c>
      <c r="F1696" s="21" t="str">
        <f>Sales[Store_ID]</f>
        <v>STORE13</v>
      </c>
      <c r="G1696" s="21" t="str">
        <f t="array" ref="G1696">INDEX(Store[Store_Name],MATCH(F1696,Store[Store_ID],0))</f>
        <v>Gardner, Humphrey and Contreras</v>
      </c>
      <c r="H1696" s="21" t="str">
        <f>Sales[Product_ID]</f>
        <v>PROD41</v>
      </c>
      <c r="I1696" s="21" t="str">
        <f>VLOOKUP(H1696,Products[],2)</f>
        <v>Yoga Exercise Mat</v>
      </c>
      <c r="J1696" s="24">
        <f>Sales[Total_Amount]</f>
        <v>955.546</v>
      </c>
      <c r="K1696" s="21" t="str">
        <f t="shared" si="1"/>
        <v>Jan</v>
      </c>
      <c r="L1696" s="21">
        <f t="shared" si="2"/>
        <v>2025</v>
      </c>
      <c r="N1696" s="33"/>
      <c r="O1696" s="34"/>
    </row>
    <row r="1697" ht="22.5" customHeight="1">
      <c r="A1697" s="21" t="s">
        <v>3662</v>
      </c>
      <c r="B1697" s="21" t="s">
        <v>818</v>
      </c>
      <c r="C1697" s="21" t="str">
        <f t="array" ref="C1697">XLOOKUP(B1697,Customer[Customer_ID],Customer[Name(Cleaned)])</f>
        <v>Tyler Garner</v>
      </c>
      <c r="D1697" s="22" t="str">
        <f>VLOOKUP(B1697,Customer[#ALL],6)</f>
        <v>Female</v>
      </c>
      <c r="E1697" s="23">
        <f>Sales[Order_Date]</f>
        <v>45760</v>
      </c>
      <c r="F1697" s="21" t="str">
        <f>Sales[Store_ID]</f>
        <v>STORE16</v>
      </c>
      <c r="G1697" s="21" t="str">
        <f t="array" ref="G1697">INDEX(Store[Store_Name],MATCH(F1697,Store[Store_ID],0))</f>
        <v>Frederick-Wright</v>
      </c>
      <c r="H1697" s="21" t="str">
        <f>Sales[Product_ID]</f>
        <v>PROD66</v>
      </c>
      <c r="I1697" s="21" t="str">
        <f>VLOOKUP(H1697,Products[],2)</f>
        <v>Women's Hair Dryer Brush</v>
      </c>
      <c r="J1697" s="24">
        <f>Sales[Total_Amount]</f>
        <v>3030.5224</v>
      </c>
      <c r="K1697" s="21" t="str">
        <f t="shared" si="1"/>
        <v>Apr</v>
      </c>
      <c r="L1697" s="21">
        <f t="shared" si="2"/>
        <v>2025</v>
      </c>
      <c r="N1697" s="33"/>
      <c r="O1697" s="34"/>
    </row>
    <row r="1698" ht="22.5" customHeight="1">
      <c r="A1698" s="21" t="s">
        <v>3663</v>
      </c>
      <c r="B1698" s="21" t="s">
        <v>1227</v>
      </c>
      <c r="C1698" s="21" t="str">
        <f t="array" ref="C1698">XLOOKUP(B1698,Customer[Customer_ID],Customer[Name(Cleaned)])</f>
        <v>Timothy Valenzuela</v>
      </c>
      <c r="D1698" s="22" t="str">
        <f>VLOOKUP(B1698,Customer[#ALL],6)</f>
        <v>Female</v>
      </c>
      <c r="E1698" s="23">
        <f>Sales[Order_Date]</f>
        <v>45474</v>
      </c>
      <c r="F1698" s="21" t="str">
        <f>Sales[Store_ID]</f>
        <v>STORE1</v>
      </c>
      <c r="G1698" s="21" t="str">
        <f t="array" ref="G1698">INDEX(Store[Store_Name],MATCH(F1698,Store[Store_ID],0))</f>
        <v>Martinez, Adkins and Johnson</v>
      </c>
      <c r="H1698" s="21" t="str">
        <f>Sales[Product_ID]</f>
        <v>PROD71</v>
      </c>
      <c r="I1698" s="21" t="str">
        <f>VLOOKUP(H1698,Products[],2)</f>
        <v>Hair Repair Oil Treatment</v>
      </c>
      <c r="J1698" s="24">
        <f>Sales[Total_Amount]</f>
        <v>364.716</v>
      </c>
      <c r="K1698" s="21" t="str">
        <f t="shared" si="1"/>
        <v>Jul</v>
      </c>
      <c r="L1698" s="21">
        <f t="shared" si="2"/>
        <v>2024</v>
      </c>
      <c r="N1698" s="33"/>
      <c r="O1698" s="34"/>
    </row>
    <row r="1699" ht="22.5" customHeight="1">
      <c r="A1699" s="21" t="s">
        <v>3664</v>
      </c>
      <c r="B1699" s="21" t="s">
        <v>456</v>
      </c>
      <c r="C1699" s="21" t="str">
        <f t="array" ref="C1699">XLOOKUP(B1699,Customer[Customer_ID],Customer[Name(Cleaned)])</f>
        <v>Jamie Reyes</v>
      </c>
      <c r="D1699" s="22" t="str">
        <f>VLOOKUP(B1699,Customer[#ALL],6)</f>
        <v>Female</v>
      </c>
      <c r="E1699" s="23">
        <f>Sales[Order_Date]</f>
        <v>45640</v>
      </c>
      <c r="F1699" s="21" t="str">
        <f>Sales[Store_ID]</f>
        <v>STORE11</v>
      </c>
      <c r="G1699" s="21" t="str">
        <f t="array" ref="G1699">INDEX(Store[Store_Name],MATCH(F1699,Store[Store_ID],0))</f>
        <v>Aguirre-Keller</v>
      </c>
      <c r="H1699" s="21" t="str">
        <f>Sales[Product_ID]</f>
        <v>PROD41</v>
      </c>
      <c r="I1699" s="21" t="str">
        <f>VLOOKUP(H1699,Products[],2)</f>
        <v>Yoga Exercise Mat</v>
      </c>
      <c r="J1699" s="24">
        <f>Sales[Total_Amount]</f>
        <v>84.3486</v>
      </c>
      <c r="K1699" s="21" t="str">
        <f t="shared" si="1"/>
        <v>Dec</v>
      </c>
      <c r="L1699" s="21">
        <f t="shared" si="2"/>
        <v>2024</v>
      </c>
      <c r="N1699" s="33"/>
      <c r="O1699" s="34"/>
    </row>
    <row r="1700" ht="22.5" customHeight="1">
      <c r="A1700" s="21" t="s">
        <v>3665</v>
      </c>
      <c r="B1700" s="21" t="s">
        <v>1224</v>
      </c>
      <c r="C1700" s="21" t="str">
        <f t="array" ref="C1700">XLOOKUP(B1700,Customer[Customer_ID],Customer[Name(Cleaned)])</f>
        <v>Timothy Gardner</v>
      </c>
      <c r="D1700" s="22" t="str">
        <f>VLOOKUP(B1700,Customer[#ALL],6)</f>
        <v>Male</v>
      </c>
      <c r="E1700" s="23">
        <f>Sales[Order_Date]</f>
        <v>45253</v>
      </c>
      <c r="F1700" s="21" t="str">
        <f>Sales[Store_ID]</f>
        <v>STORE4</v>
      </c>
      <c r="G1700" s="21" t="str">
        <f t="array" ref="G1700">INDEX(Store[Store_Name],MATCH(F1700,Store[Store_ID],0))</f>
        <v>Alexander Group</v>
      </c>
      <c r="H1700" s="21" t="str">
        <f>Sales[Product_ID]</f>
        <v>PROD76</v>
      </c>
      <c r="I1700" s="21" t="str">
        <f>VLOOKUP(H1700,Products[],2)</f>
        <v>Wireless Mouse</v>
      </c>
      <c r="J1700" s="24">
        <f>Sales[Total_Amount]</f>
        <v>81.6739</v>
      </c>
      <c r="K1700" s="21" t="str">
        <f t="shared" si="1"/>
        <v>Nov</v>
      </c>
      <c r="L1700" s="21">
        <f t="shared" si="2"/>
        <v>2023</v>
      </c>
      <c r="N1700" s="33"/>
      <c r="O1700" s="34"/>
    </row>
    <row r="1701" ht="22.5" customHeight="1">
      <c r="A1701" s="21" t="s">
        <v>3666</v>
      </c>
      <c r="B1701" s="21" t="s">
        <v>845</v>
      </c>
      <c r="C1701" s="21" t="str">
        <f t="array" ref="C1701">XLOOKUP(B1701,Customer[Customer_ID],Customer[Name(Cleaned)])</f>
        <v>Russell Lamb</v>
      </c>
      <c r="D1701" s="22" t="str">
        <f>VLOOKUP(B1701,Customer[#ALL],6)</f>
        <v>Male</v>
      </c>
      <c r="E1701" s="23">
        <f>Sales[Order_Date]</f>
        <v>45225</v>
      </c>
      <c r="F1701" s="21" t="str">
        <f>Sales[Store_ID]</f>
        <v>STORE0</v>
      </c>
      <c r="G1701" s="21" t="str">
        <f t="array" ref="G1701">INDEX(Store[Store_Name],MATCH(F1701,Store[Store_ID],0))</f>
        <v>Rivera-Warner</v>
      </c>
      <c r="H1701" s="21" t="str">
        <f>Sales[Product_ID]</f>
        <v>PROD91</v>
      </c>
      <c r="I1701" s="21" t="str">
        <f>VLOOKUP(H1701,Products[],2)</f>
        <v>Women's High Heels</v>
      </c>
      <c r="J1701" s="24">
        <f>Sales[Total_Amount]</f>
        <v>1089.5352</v>
      </c>
      <c r="K1701" s="21" t="str">
        <f t="shared" si="1"/>
        <v>Oct</v>
      </c>
      <c r="L1701" s="21">
        <f t="shared" si="2"/>
        <v>2023</v>
      </c>
      <c r="N1701" s="33"/>
      <c r="O1701" s="34"/>
    </row>
    <row r="1702" ht="22.5" customHeight="1">
      <c r="A1702" s="21" t="s">
        <v>3667</v>
      </c>
      <c r="B1702" s="21" t="s">
        <v>534</v>
      </c>
      <c r="C1702" s="21" t="str">
        <f t="array" ref="C1702">XLOOKUP(B1702,Customer[Customer_ID],Customer[Name(Cleaned)])</f>
        <v>Maria Sanchez</v>
      </c>
      <c r="D1702" s="22" t="str">
        <f>VLOOKUP(B1702,Customer[#ALL],6)</f>
        <v>Female</v>
      </c>
      <c r="E1702" s="23">
        <f>Sales[Order_Date]</f>
        <v>45263</v>
      </c>
      <c r="F1702" s="21" t="str">
        <f>Sales[Store_ID]</f>
        <v>STORE18</v>
      </c>
      <c r="G1702" s="21" t="str">
        <f t="array" ref="G1702">INDEX(Store[Store_Name],MATCH(F1702,Store[Store_ID],0))</f>
        <v>Guerrero-Schmitt</v>
      </c>
      <c r="H1702" s="21" t="str">
        <f>Sales[Product_ID]</f>
        <v>PROD83</v>
      </c>
      <c r="I1702" s="21" t="str">
        <f>VLOOKUP(H1702,Products[],2)</f>
        <v>Hydrating Face Cleanser</v>
      </c>
      <c r="J1702" s="24">
        <f>Sales[Total_Amount]</f>
        <v>701.4348</v>
      </c>
      <c r="K1702" s="21" t="str">
        <f t="shared" si="1"/>
        <v>Dec</v>
      </c>
      <c r="L1702" s="21">
        <f t="shared" si="2"/>
        <v>2023</v>
      </c>
      <c r="N1702" s="33"/>
      <c r="O1702" s="34"/>
    </row>
    <row r="1703" ht="22.5" customHeight="1">
      <c r="A1703" s="21" t="s">
        <v>3668</v>
      </c>
      <c r="B1703" s="21" t="s">
        <v>155</v>
      </c>
      <c r="C1703" s="21" t="str">
        <f t="array" ref="C1703">XLOOKUP(B1703,Customer[Customer_ID],Customer[Name(Cleaned)])</f>
        <v>Christopher Carter</v>
      </c>
      <c r="D1703" s="22" t="str">
        <f>VLOOKUP(B1703,Customer[#ALL],6)</f>
        <v>Male</v>
      </c>
      <c r="E1703" s="23">
        <f>Sales[Order_Date]</f>
        <v>45626</v>
      </c>
      <c r="F1703" s="21" t="str">
        <f>Sales[Store_ID]</f>
        <v>STORE11</v>
      </c>
      <c r="G1703" s="21" t="str">
        <f t="array" ref="G1703">INDEX(Store[Store_Name],MATCH(F1703,Store[Store_ID],0))</f>
        <v>Aguirre-Keller</v>
      </c>
      <c r="H1703" s="21" t="str">
        <f>Sales[Product_ID]</f>
        <v>PROD45</v>
      </c>
      <c r="I1703" s="21" t="str">
        <f>VLOOKUP(H1703,Products[],2)</f>
        <v>High-Grip Football</v>
      </c>
      <c r="J1703" s="24">
        <f>Sales[Total_Amount]</f>
        <v>968.1882</v>
      </c>
      <c r="K1703" s="21" t="str">
        <f t="shared" si="1"/>
        <v>Nov</v>
      </c>
      <c r="L1703" s="21">
        <f t="shared" si="2"/>
        <v>2024</v>
      </c>
      <c r="N1703" s="33"/>
      <c r="O1703" s="34"/>
    </row>
    <row r="1704" ht="22.5" customHeight="1">
      <c r="A1704" s="21" t="s">
        <v>3669</v>
      </c>
      <c r="B1704" s="21" t="s">
        <v>1218</v>
      </c>
      <c r="C1704" s="21" t="str">
        <f t="array" ref="C1704">XLOOKUP(B1704,Customer[Customer_ID],Customer[Name(Cleaned)])</f>
        <v>Tammy Brennan</v>
      </c>
      <c r="D1704" s="22" t="str">
        <f>VLOOKUP(B1704,Customer[#ALL],6)</f>
        <v>Female</v>
      </c>
      <c r="E1704" s="23">
        <f>Sales[Order_Date]</f>
        <v>45554</v>
      </c>
      <c r="F1704" s="21" t="str">
        <f>Sales[Store_ID]</f>
        <v>STORE14</v>
      </c>
      <c r="G1704" s="21" t="str">
        <f t="array" ref="G1704">INDEX(Store[Store_Name],MATCH(F1704,Store[Store_ID],0))</f>
        <v>Mcdonald Inc</v>
      </c>
      <c r="H1704" s="21" t="str">
        <f>Sales[Product_ID]</f>
        <v>PROD68</v>
      </c>
      <c r="I1704" s="21" t="str">
        <f>VLOOKUP(H1704,Products[],2)</f>
        <v>Wooden Nightstand</v>
      </c>
      <c r="J1704" s="24">
        <f>Sales[Total_Amount]</f>
        <v>392.04</v>
      </c>
      <c r="K1704" s="21" t="str">
        <f t="shared" si="1"/>
        <v>Sep</v>
      </c>
      <c r="L1704" s="21">
        <f t="shared" si="2"/>
        <v>2024</v>
      </c>
      <c r="N1704" s="33"/>
      <c r="O1704" s="34"/>
    </row>
    <row r="1705" ht="22.5" customHeight="1">
      <c r="A1705" s="21" t="s">
        <v>3670</v>
      </c>
      <c r="B1705" s="21" t="s">
        <v>222</v>
      </c>
      <c r="C1705" s="21" t="str">
        <f t="array" ref="C1705">XLOOKUP(B1705,Customer[Customer_ID],Customer[Name(Cleaned)])</f>
        <v>Jay Patel</v>
      </c>
      <c r="D1705" s="22" t="str">
        <f>VLOOKUP(B1705,Customer[#ALL],6)</f>
        <v>Male</v>
      </c>
      <c r="E1705" s="23">
        <f>Sales[Order_Date]</f>
        <v>45569</v>
      </c>
      <c r="F1705" s="21" t="str">
        <f>Sales[Store_ID]</f>
        <v>STORE9</v>
      </c>
      <c r="G1705" s="21" t="str">
        <f t="array" ref="G1705">INDEX(Store[Store_Name],MATCH(F1705,Store[Store_ID],0))</f>
        <v>Moore, Padilla and Butler</v>
      </c>
      <c r="H1705" s="21" t="str">
        <f>Sales[Product_ID]</f>
        <v>PROD5</v>
      </c>
      <c r="I1705" s="21" t="str">
        <f>VLOOKUP(H1705,Products[],2)</f>
        <v>Men's Roll-On Perfume</v>
      </c>
      <c r="J1705" s="24">
        <f>Sales[Total_Amount]</f>
        <v>2811.1182</v>
      </c>
      <c r="K1705" s="21" t="str">
        <f t="shared" si="1"/>
        <v>Oct</v>
      </c>
      <c r="L1705" s="21">
        <f t="shared" si="2"/>
        <v>2024</v>
      </c>
      <c r="N1705" s="33"/>
      <c r="O1705" s="34"/>
    </row>
    <row r="1706" ht="22.5" customHeight="1">
      <c r="A1706" s="21" t="s">
        <v>3671</v>
      </c>
      <c r="B1706" s="21" t="s">
        <v>739</v>
      </c>
      <c r="C1706" s="21" t="str">
        <f t="array" ref="C1706">XLOOKUP(B1706,Customer[Customer_ID],Customer[Name(Cleaned)])</f>
        <v>Anthony Morgan</v>
      </c>
      <c r="D1706" s="22" t="str">
        <f>VLOOKUP(B1706,Customer[#ALL],6)</f>
        <v>Female</v>
      </c>
      <c r="E1706" s="23">
        <f>Sales[Order_Date]</f>
        <v>45217</v>
      </c>
      <c r="F1706" s="21" t="str">
        <f>Sales[Store_ID]</f>
        <v>STORE17</v>
      </c>
      <c r="G1706" s="21" t="str">
        <f t="array" ref="G1706">INDEX(Store[Store_Name],MATCH(F1706,Store[Store_ID],0))</f>
        <v>Holloway Ltd</v>
      </c>
      <c r="H1706" s="21" t="str">
        <f>Sales[Product_ID]</f>
        <v>PROD50</v>
      </c>
      <c r="I1706" s="21" t="str">
        <f>VLOOKUP(H1706,Products[],2)</f>
        <v>Boxing Hand Wraps</v>
      </c>
      <c r="J1706" s="24">
        <f>Sales[Total_Amount]</f>
        <v>478.6656</v>
      </c>
      <c r="K1706" s="21" t="str">
        <f t="shared" si="1"/>
        <v>Oct</v>
      </c>
      <c r="L1706" s="21">
        <f t="shared" si="2"/>
        <v>2023</v>
      </c>
      <c r="N1706" s="33"/>
      <c r="O1706" s="34"/>
    </row>
    <row r="1707" ht="22.5" customHeight="1">
      <c r="A1707" s="21" t="s">
        <v>3672</v>
      </c>
      <c r="B1707" s="21" t="s">
        <v>1053</v>
      </c>
      <c r="C1707" s="21" t="str">
        <f t="array" ref="C1707">XLOOKUP(B1707,Customer[Customer_ID],Customer[Name(Cleaned)])</f>
        <v>Pamela Mcguire</v>
      </c>
      <c r="D1707" s="22" t="str">
        <f>VLOOKUP(B1707,Customer[#ALL],6)</f>
        <v>Female</v>
      </c>
      <c r="E1707" s="23">
        <f>Sales[Order_Date]</f>
        <v>45783</v>
      </c>
      <c r="F1707" s="21" t="str">
        <f>Sales[Store_ID]</f>
        <v>STORE6</v>
      </c>
      <c r="G1707" s="21" t="str">
        <f t="array" ref="G1707">INDEX(Store[Store_Name],MATCH(F1707,Store[Store_ID],0))</f>
        <v>Benson-Elliott</v>
      </c>
      <c r="H1707" s="21" t="str">
        <f>Sales[Product_ID]</f>
        <v>PROD42</v>
      </c>
      <c r="I1707" s="21" t="str">
        <f>VLOOKUP(H1707,Products[],2)</f>
        <v>Smart Home WiFi Camera</v>
      </c>
      <c r="J1707" s="24">
        <f>Sales[Total_Amount]</f>
        <v>2881.426</v>
      </c>
      <c r="K1707" s="21" t="str">
        <f t="shared" si="1"/>
        <v>May</v>
      </c>
      <c r="L1707" s="21">
        <f t="shared" si="2"/>
        <v>2025</v>
      </c>
      <c r="N1707" s="33"/>
      <c r="O1707" s="34"/>
    </row>
    <row r="1708" ht="22.5" customHeight="1">
      <c r="A1708" s="21" t="s">
        <v>3673</v>
      </c>
      <c r="B1708" s="21" t="s">
        <v>660</v>
      </c>
      <c r="C1708" s="21" t="str">
        <f t="array" ref="C1708">XLOOKUP(B1708,Customer[Customer_ID],Customer[Name(Cleaned)])</f>
        <v>Wanda Snyder</v>
      </c>
      <c r="D1708" s="22" t="str">
        <f>VLOOKUP(B1708,Customer[#ALL],6)</f>
        <v>Female</v>
      </c>
      <c r="E1708" s="23">
        <f>Sales[Order_Date]</f>
        <v>45371</v>
      </c>
      <c r="F1708" s="21" t="str">
        <f>Sales[Store_ID]</f>
        <v>STORE2</v>
      </c>
      <c r="G1708" s="21" t="str">
        <f t="array" ref="G1708">INDEX(Store[Store_Name],MATCH(F1708,Store[Store_ID],0))</f>
        <v>Black-Horn</v>
      </c>
      <c r="H1708" s="21" t="str">
        <f>Sales[Product_ID]</f>
        <v>PROD3</v>
      </c>
      <c r="I1708" s="21" t="str">
        <f>VLOOKUP(H1708,Products[],2)</f>
        <v>Fabric Sofa Throw Blanket</v>
      </c>
      <c r="J1708" s="24">
        <f>Sales[Total_Amount]</f>
        <v>571.3862</v>
      </c>
      <c r="K1708" s="21" t="str">
        <f t="shared" si="1"/>
        <v>Mar</v>
      </c>
      <c r="L1708" s="21">
        <f t="shared" si="2"/>
        <v>2024</v>
      </c>
      <c r="N1708" s="33"/>
      <c r="O1708" s="34"/>
    </row>
    <row r="1709" ht="22.5" customHeight="1">
      <c r="A1709" s="21" t="s">
        <v>3674</v>
      </c>
      <c r="B1709" s="21" t="s">
        <v>1128</v>
      </c>
      <c r="C1709" s="21" t="str">
        <f t="array" ref="C1709">XLOOKUP(B1709,Customer[Customer_ID],Customer[Name(Cleaned)])</f>
        <v>Carlos Flores</v>
      </c>
      <c r="D1709" s="22" t="str">
        <f>VLOOKUP(B1709,Customer[#ALL],6)</f>
        <v>Female</v>
      </c>
      <c r="E1709" s="23">
        <f>Sales[Order_Date]</f>
        <v>45453</v>
      </c>
      <c r="F1709" s="21" t="str">
        <f>Sales[Store_ID]</f>
        <v>STORE17</v>
      </c>
      <c r="G1709" s="21" t="str">
        <f t="array" ref="G1709">INDEX(Store[Store_Name],MATCH(F1709,Store[Store_ID],0))</f>
        <v>Holloway Ltd</v>
      </c>
      <c r="H1709" s="21" t="str">
        <f>Sales[Product_ID]</f>
        <v>PROD91</v>
      </c>
      <c r="I1709" s="21" t="str">
        <f>VLOOKUP(H1709,Products[],2)</f>
        <v>Women's High Heels</v>
      </c>
      <c r="J1709" s="24">
        <f>Sales[Total_Amount]</f>
        <v>218.804</v>
      </c>
      <c r="K1709" s="21" t="str">
        <f t="shared" si="1"/>
        <v>Jun</v>
      </c>
      <c r="L1709" s="21">
        <f t="shared" si="2"/>
        <v>2024</v>
      </c>
      <c r="N1709" s="33"/>
      <c r="O1709" s="34"/>
    </row>
    <row r="1710" ht="22.5" customHeight="1">
      <c r="A1710" s="21" t="s">
        <v>3675</v>
      </c>
      <c r="B1710" s="21" t="s">
        <v>1089</v>
      </c>
      <c r="C1710" s="21" t="str">
        <f t="array" ref="C1710">XLOOKUP(B1710,Customer[Customer_ID],Customer[Name(Cleaned)])</f>
        <v>Michelle Cunningham</v>
      </c>
      <c r="D1710" s="22" t="str">
        <f>VLOOKUP(B1710,Customer[#ALL],6)</f>
        <v>Male</v>
      </c>
      <c r="E1710" s="23">
        <f>Sales[Order_Date]</f>
        <v>45526</v>
      </c>
      <c r="F1710" s="21" t="str">
        <f>Sales[Store_ID]</f>
        <v>STORE6</v>
      </c>
      <c r="G1710" s="21" t="str">
        <f t="array" ref="G1710">INDEX(Store[Store_Name],MATCH(F1710,Store[Store_ID],0))</f>
        <v>Benson-Elliott</v>
      </c>
      <c r="H1710" s="21" t="str">
        <f>Sales[Product_ID]</f>
        <v>PROD61</v>
      </c>
      <c r="I1710" s="21" t="str">
        <f>VLOOKUP(H1710,Products[],2)</f>
        <v>Tennis Ball 3-Pack</v>
      </c>
      <c r="J1710" s="24">
        <f>Sales[Total_Amount]</f>
        <v>1419.0192</v>
      </c>
      <c r="K1710" s="21" t="str">
        <f t="shared" si="1"/>
        <v>Aug</v>
      </c>
      <c r="L1710" s="21">
        <f t="shared" si="2"/>
        <v>2024</v>
      </c>
      <c r="N1710" s="33"/>
      <c r="O1710" s="34"/>
    </row>
    <row r="1711" ht="22.5" customHeight="1">
      <c r="A1711" s="21" t="s">
        <v>3676</v>
      </c>
      <c r="B1711" s="21" t="s">
        <v>1326</v>
      </c>
      <c r="C1711" s="21" t="str">
        <f t="array" ref="C1711">XLOOKUP(B1711,Customer[Customer_ID],Customer[Name(Cleaned)])</f>
        <v>Brittany Edwards Dds</v>
      </c>
      <c r="D1711" s="22" t="str">
        <f>VLOOKUP(B1711,Customer[#ALL],6)</f>
        <v>Male</v>
      </c>
      <c r="E1711" s="23">
        <f>Sales[Order_Date]</f>
        <v>45756</v>
      </c>
      <c r="F1711" s="21" t="str">
        <f>Sales[Store_ID]</f>
        <v>STORE4</v>
      </c>
      <c r="G1711" s="21" t="str">
        <f t="array" ref="G1711">INDEX(Store[Store_Name],MATCH(F1711,Store[Store_ID],0))</f>
        <v>Alexander Group</v>
      </c>
      <c r="H1711" s="21" t="str">
        <f>Sales[Product_ID]</f>
        <v>PROD9</v>
      </c>
      <c r="I1711" s="21" t="str">
        <f>VLOOKUP(H1711,Products[],2)</f>
        <v>Face Foundation Kit</v>
      </c>
      <c r="J1711" s="24">
        <f>Sales[Total_Amount]</f>
        <v>689.5</v>
      </c>
      <c r="K1711" s="21" t="str">
        <f t="shared" si="1"/>
        <v>Apr</v>
      </c>
      <c r="L1711" s="21">
        <f t="shared" si="2"/>
        <v>2025</v>
      </c>
      <c r="N1711" s="33"/>
      <c r="O1711" s="34"/>
    </row>
    <row r="1712" ht="22.5" customHeight="1">
      <c r="A1712" s="21" t="s">
        <v>3677</v>
      </c>
      <c r="B1712" s="21" t="s">
        <v>1155</v>
      </c>
      <c r="C1712" s="21" t="str">
        <f t="array" ref="C1712">XLOOKUP(B1712,Customer[Customer_ID],Customer[Name(Cleaned)])</f>
        <v>Chloe Aguilar</v>
      </c>
      <c r="D1712" s="22" t="str">
        <f>VLOOKUP(B1712,Customer[#ALL],6)</f>
        <v>Female</v>
      </c>
      <c r="E1712" s="23">
        <f>Sales[Order_Date]</f>
        <v>45657</v>
      </c>
      <c r="F1712" s="21" t="str">
        <f>Sales[Store_ID]</f>
        <v>STORE11</v>
      </c>
      <c r="G1712" s="21" t="str">
        <f t="array" ref="G1712">INDEX(Store[Store_Name],MATCH(F1712,Store[Store_ID],0))</f>
        <v>Aguirre-Keller</v>
      </c>
      <c r="H1712" s="21" t="str">
        <f>Sales[Product_ID]</f>
        <v>PROD46</v>
      </c>
      <c r="I1712" s="21" t="str">
        <f>VLOOKUP(H1712,Products[],2)</f>
        <v>Men's Winter Jacket</v>
      </c>
      <c r="J1712" s="24">
        <f>Sales[Total_Amount]</f>
        <v>307.7136</v>
      </c>
      <c r="K1712" s="21" t="str">
        <f t="shared" si="1"/>
        <v>Dec</v>
      </c>
      <c r="L1712" s="21">
        <f t="shared" si="2"/>
        <v>2024</v>
      </c>
      <c r="N1712" s="33"/>
      <c r="O1712" s="34"/>
    </row>
    <row r="1713" ht="22.5" customHeight="1">
      <c r="A1713" s="21" t="s">
        <v>3678</v>
      </c>
      <c r="B1713" s="21" t="s">
        <v>249</v>
      </c>
      <c r="C1713" s="21" t="str">
        <f t="array" ref="C1713">XLOOKUP(B1713,Customer[Customer_ID],Customer[Name(Cleaned)])</f>
        <v>Michael Thomas</v>
      </c>
      <c r="D1713" s="22" t="str">
        <f>VLOOKUP(B1713,Customer[#ALL],6)</f>
        <v>Male</v>
      </c>
      <c r="E1713" s="23">
        <f>Sales[Order_Date]</f>
        <v>45716</v>
      </c>
      <c r="F1713" s="21" t="str">
        <f>Sales[Store_ID]</f>
        <v>STORE8</v>
      </c>
      <c r="G1713" s="21" t="str">
        <f t="array" ref="G1713">INDEX(Store[Store_Name],MATCH(F1713,Store[Store_ID],0))</f>
        <v>Bean, Jones and Park</v>
      </c>
      <c r="H1713" s="21" t="str">
        <f>Sales[Product_ID]</f>
        <v>PROD20</v>
      </c>
      <c r="I1713" s="21" t="str">
        <f>VLOOKUP(H1713,Products[],2)</f>
        <v>Outdoor Sports Water Bottle</v>
      </c>
      <c r="J1713" s="24">
        <f>Sales[Total_Amount]</f>
        <v>2277.2944</v>
      </c>
      <c r="K1713" s="21" t="str">
        <f t="shared" si="1"/>
        <v>Feb</v>
      </c>
      <c r="L1713" s="21">
        <f t="shared" si="2"/>
        <v>2025</v>
      </c>
      <c r="N1713" s="33"/>
      <c r="O1713" s="34"/>
    </row>
    <row r="1714" ht="22.5" customHeight="1">
      <c r="A1714" s="21" t="s">
        <v>3679</v>
      </c>
      <c r="B1714" s="21" t="s">
        <v>884</v>
      </c>
      <c r="C1714" s="21" t="str">
        <f t="array" ref="C1714">XLOOKUP(B1714,Customer[Customer_ID],Customer[Name(Cleaned)])</f>
        <v>Samantha Robinson</v>
      </c>
      <c r="D1714" s="22" t="str">
        <f>VLOOKUP(B1714,Customer[#ALL],6)</f>
        <v>Female</v>
      </c>
      <c r="E1714" s="23">
        <f>Sales[Order_Date]</f>
        <v>45942</v>
      </c>
      <c r="F1714" s="21" t="str">
        <f>Sales[Store_ID]</f>
        <v>STORE8</v>
      </c>
      <c r="G1714" s="21" t="str">
        <f t="array" ref="G1714">INDEX(Store[Store_Name],MATCH(F1714,Store[Store_ID],0))</f>
        <v>Bean, Jones and Park</v>
      </c>
      <c r="H1714" s="21" t="str">
        <f>Sales[Product_ID]</f>
        <v>PROD20</v>
      </c>
      <c r="I1714" s="21" t="str">
        <f>VLOOKUP(H1714,Products[],2)</f>
        <v>Outdoor Sports Water Bottle</v>
      </c>
      <c r="J1714" s="24">
        <f>Sales[Total_Amount]</f>
        <v>166.482</v>
      </c>
      <c r="K1714" s="21" t="str">
        <f t="shared" si="1"/>
        <v>Oct</v>
      </c>
      <c r="L1714" s="21">
        <f t="shared" si="2"/>
        <v>2025</v>
      </c>
      <c r="N1714" s="33"/>
      <c r="O1714" s="34"/>
    </row>
    <row r="1715" ht="22.5" customHeight="1">
      <c r="A1715" s="21" t="s">
        <v>3680</v>
      </c>
      <c r="B1715" s="21" t="s">
        <v>343</v>
      </c>
      <c r="C1715" s="21" t="str">
        <f t="array" ref="C1715">XLOOKUP(B1715,Customer[Customer_ID],Customer[Name(Cleaned)])</f>
        <v>Christy Vasquez</v>
      </c>
      <c r="D1715" s="22" t="str">
        <f>VLOOKUP(B1715,Customer[#ALL],6)</f>
        <v>Male</v>
      </c>
      <c r="E1715" s="23">
        <f>Sales[Order_Date]</f>
        <v>45313</v>
      </c>
      <c r="F1715" s="21" t="str">
        <f>Sales[Store_ID]</f>
        <v>STORE11</v>
      </c>
      <c r="G1715" s="21" t="str">
        <f t="array" ref="G1715">INDEX(Store[Store_Name],MATCH(F1715,Store[Store_ID],0))</f>
        <v>Aguirre-Keller</v>
      </c>
      <c r="H1715" s="21" t="str">
        <f>Sales[Product_ID]</f>
        <v>PROD59</v>
      </c>
      <c r="I1715" s="21" t="str">
        <f>VLOOKUP(H1715,Products[],2)</f>
        <v>Men's Hair Styling Gel</v>
      </c>
      <c r="J1715" s="24">
        <f>Sales[Total_Amount]</f>
        <v>136.3488</v>
      </c>
      <c r="K1715" s="21" t="str">
        <f t="shared" si="1"/>
        <v>Jan</v>
      </c>
      <c r="L1715" s="21">
        <f t="shared" si="2"/>
        <v>2024</v>
      </c>
      <c r="N1715" s="33"/>
      <c r="O1715" s="34"/>
    </row>
    <row r="1716" ht="22.5" customHeight="1">
      <c r="A1716" s="21" t="s">
        <v>3681</v>
      </c>
      <c r="B1716" s="21" t="s">
        <v>25</v>
      </c>
      <c r="C1716" s="21" t="str">
        <f t="array" ref="C1716">XLOOKUP(B1716,Customer[Customer_ID],Customer[Name(Cleaned)])</f>
        <v>Dr. Benjamin Price</v>
      </c>
      <c r="D1716" s="22" t="str">
        <f>VLOOKUP(B1716,Customer[#ALL],6)</f>
        <v>Male</v>
      </c>
      <c r="E1716" s="23">
        <f>Sales[Order_Date]</f>
        <v>45372</v>
      </c>
      <c r="F1716" s="21" t="str">
        <f>Sales[Store_ID]</f>
        <v>STORE9</v>
      </c>
      <c r="G1716" s="21" t="str">
        <f t="array" ref="G1716">INDEX(Store[Store_Name],MATCH(F1716,Store[Store_ID],0))</f>
        <v>Moore, Padilla and Butler</v>
      </c>
      <c r="H1716" s="21" t="str">
        <f>Sales[Product_ID]</f>
        <v>PROD86</v>
      </c>
      <c r="I1716" s="21" t="str">
        <f>VLOOKUP(H1716,Products[],2)</f>
        <v>Kitchen Cutting Board</v>
      </c>
      <c r="J1716" s="24">
        <f>Sales[Total_Amount]</f>
        <v>392.8379</v>
      </c>
      <c r="K1716" s="21" t="str">
        <f t="shared" si="1"/>
        <v>Mar</v>
      </c>
      <c r="L1716" s="21">
        <f t="shared" si="2"/>
        <v>2024</v>
      </c>
      <c r="N1716" s="33"/>
      <c r="O1716" s="34"/>
    </row>
    <row r="1717" ht="22.5" customHeight="1">
      <c r="A1717" s="21" t="s">
        <v>3682</v>
      </c>
      <c r="B1717" s="21" t="s">
        <v>1276</v>
      </c>
      <c r="C1717" s="21" t="str">
        <f t="array" ref="C1717">XLOOKUP(B1717,Customer[Customer_ID],Customer[Name(Cleaned)])</f>
        <v>Eric Wolfe</v>
      </c>
      <c r="D1717" s="22" t="str">
        <f>VLOOKUP(B1717,Customer[#ALL],6)</f>
        <v>Male</v>
      </c>
      <c r="E1717" s="23">
        <f>Sales[Order_Date]</f>
        <v>45648</v>
      </c>
      <c r="F1717" s="21" t="str">
        <f>Sales[Store_ID]</f>
        <v>STORE5</v>
      </c>
      <c r="G1717" s="21" t="str">
        <f t="array" ref="G1717">INDEX(Store[Store_Name],MATCH(F1717,Store[Store_ID],0))</f>
        <v>Gray Ltd</v>
      </c>
      <c r="H1717" s="21" t="str">
        <f>Sales[Product_ID]</f>
        <v>PROD18</v>
      </c>
      <c r="I1717" s="21" t="str">
        <f>VLOOKUP(H1717,Products[],2)</f>
        <v>Women's Denim Jeans</v>
      </c>
      <c r="J1717" s="24">
        <f>Sales[Total_Amount]</f>
        <v>934.3245</v>
      </c>
      <c r="K1717" s="21" t="str">
        <f t="shared" si="1"/>
        <v>Dec</v>
      </c>
      <c r="L1717" s="21">
        <f t="shared" si="2"/>
        <v>2024</v>
      </c>
      <c r="N1717" s="33"/>
      <c r="O1717" s="34"/>
    </row>
    <row r="1718" ht="22.5" customHeight="1">
      <c r="A1718" s="21" t="s">
        <v>3683</v>
      </c>
      <c r="B1718" s="21" t="s">
        <v>582</v>
      </c>
      <c r="C1718" s="21" t="str">
        <f t="array" ref="C1718">XLOOKUP(B1718,Customer[Customer_ID],Customer[Name(Cleaned)])</f>
        <v>Thomas Rhodes</v>
      </c>
      <c r="D1718" s="22" t="str">
        <f>VLOOKUP(B1718,Customer[#ALL],6)</f>
        <v>Male</v>
      </c>
      <c r="E1718" s="23">
        <f>Sales[Order_Date]</f>
        <v>45384</v>
      </c>
      <c r="F1718" s="21" t="str">
        <f>Sales[Store_ID]</f>
        <v>STORE3</v>
      </c>
      <c r="G1718" s="21" t="str">
        <f t="array" ref="G1718">INDEX(Store[Store_Name],MATCH(F1718,Store[Store_ID],0))</f>
        <v>Johnson-Wright</v>
      </c>
      <c r="H1718" s="21" t="str">
        <f>Sales[Product_ID]</f>
        <v>PROD79</v>
      </c>
      <c r="I1718" s="21" t="str">
        <f>VLOOKUP(H1718,Products[],2)</f>
        <v>Decorative Lamp Shade</v>
      </c>
      <c r="J1718" s="24">
        <f>Sales[Total_Amount]</f>
        <v>753.4902</v>
      </c>
      <c r="K1718" s="21" t="str">
        <f t="shared" si="1"/>
        <v>Apr</v>
      </c>
      <c r="L1718" s="21">
        <f t="shared" si="2"/>
        <v>2024</v>
      </c>
      <c r="N1718" s="33"/>
      <c r="O1718" s="34"/>
    </row>
    <row r="1719" ht="22.5" customHeight="1">
      <c r="A1719" s="21" t="s">
        <v>3684</v>
      </c>
      <c r="B1719" s="21" t="s">
        <v>1465</v>
      </c>
      <c r="C1719" s="21" t="str">
        <f t="array" ref="C1719">XLOOKUP(B1719,Customer[Customer_ID],Customer[Name(Cleaned)])</f>
        <v>Manuel Fisher</v>
      </c>
      <c r="D1719" s="22" t="str">
        <f>VLOOKUP(B1719,Customer[#ALL],6)</f>
        <v>Male</v>
      </c>
      <c r="E1719" s="23">
        <f>Sales[Order_Date]</f>
        <v>45687</v>
      </c>
      <c r="F1719" s="21" t="str">
        <f>Sales[Store_ID]</f>
        <v>STORE9</v>
      </c>
      <c r="G1719" s="21" t="str">
        <f t="array" ref="G1719">INDEX(Store[Store_Name],MATCH(F1719,Store[Store_ID],0))</f>
        <v>Moore, Padilla and Butler</v>
      </c>
      <c r="H1719" s="21" t="str">
        <f>Sales[Product_ID]</f>
        <v>PROD79</v>
      </c>
      <c r="I1719" s="21" t="str">
        <f>VLOOKUP(H1719,Products[],2)</f>
        <v>Decorative Lamp Shade</v>
      </c>
      <c r="J1719" s="24">
        <f>Sales[Total_Amount]</f>
        <v>2681.1652</v>
      </c>
      <c r="K1719" s="21" t="str">
        <f t="shared" si="1"/>
        <v>Jan</v>
      </c>
      <c r="L1719" s="21">
        <f t="shared" si="2"/>
        <v>2025</v>
      </c>
      <c r="N1719" s="33"/>
      <c r="O1719" s="34"/>
    </row>
    <row r="1720" ht="22.5" customHeight="1">
      <c r="A1720" s="21" t="s">
        <v>3685</v>
      </c>
      <c r="B1720" s="21" t="s">
        <v>643</v>
      </c>
      <c r="C1720" s="21" t="str">
        <f t="array" ref="C1720">XLOOKUP(B1720,Customer[Customer_ID],Customer[Name(Cleaned)])</f>
        <v>Jacob Wood</v>
      </c>
      <c r="D1720" s="22" t="str">
        <f>VLOOKUP(B1720,Customer[#ALL],6)</f>
        <v>Female</v>
      </c>
      <c r="E1720" s="23">
        <f>Sales[Order_Date]</f>
        <v>45747</v>
      </c>
      <c r="F1720" s="21" t="str">
        <f>Sales[Store_ID]</f>
        <v>STORE8</v>
      </c>
      <c r="G1720" s="21" t="str">
        <f t="array" ref="G1720">INDEX(Store[Store_Name],MATCH(F1720,Store[Store_ID],0))</f>
        <v>Bean, Jones and Park</v>
      </c>
      <c r="H1720" s="21" t="str">
        <f>Sales[Product_ID]</f>
        <v>PROD67</v>
      </c>
      <c r="I1720" s="21" t="str">
        <f>VLOOKUP(H1720,Products[],2)</f>
        <v>Smart LED Light Strip</v>
      </c>
      <c r="J1720" s="24">
        <f>Sales[Total_Amount]</f>
        <v>611.6804</v>
      </c>
      <c r="K1720" s="21" t="str">
        <f t="shared" si="1"/>
        <v>Mar</v>
      </c>
      <c r="L1720" s="21">
        <f t="shared" si="2"/>
        <v>2025</v>
      </c>
      <c r="N1720" s="33"/>
      <c r="O1720" s="34"/>
    </row>
    <row r="1721" ht="22.5" customHeight="1">
      <c r="A1721" s="21" t="s">
        <v>3686</v>
      </c>
      <c r="B1721" s="21" t="s">
        <v>361</v>
      </c>
      <c r="C1721" s="21" t="str">
        <f t="array" ref="C1721">XLOOKUP(B1721,Customer[Customer_ID],Customer[Name(Cleaned)])</f>
        <v>Sheila Wilson</v>
      </c>
      <c r="D1721" s="22" t="str">
        <f>VLOOKUP(B1721,Customer[#ALL],6)</f>
        <v>Female</v>
      </c>
      <c r="E1721" s="23">
        <f>Sales[Order_Date]</f>
        <v>45687</v>
      </c>
      <c r="F1721" s="21" t="str">
        <f>Sales[Store_ID]</f>
        <v>STORE7</v>
      </c>
      <c r="G1721" s="21" t="str">
        <f t="array" ref="G1721">INDEX(Store[Store_Name],MATCH(F1721,Store[Store_ID],0))</f>
        <v>Martinez-Mullins</v>
      </c>
      <c r="H1721" s="21" t="str">
        <f>Sales[Product_ID]</f>
        <v>PROD24</v>
      </c>
      <c r="I1721" s="21" t="str">
        <f>VLOOKUP(H1721,Products[],2)</f>
        <v>Foldable Camping Chair</v>
      </c>
      <c r="J1721" s="24">
        <f>Sales[Total_Amount]</f>
        <v>317.3247</v>
      </c>
      <c r="K1721" s="21" t="str">
        <f t="shared" si="1"/>
        <v>Jan</v>
      </c>
      <c r="L1721" s="21">
        <f t="shared" si="2"/>
        <v>2025</v>
      </c>
      <c r="N1721" s="33"/>
      <c r="O1721" s="34"/>
    </row>
    <row r="1722" ht="22.5" customHeight="1">
      <c r="A1722" s="21" t="s">
        <v>3687</v>
      </c>
      <c r="B1722" s="21" t="s">
        <v>431</v>
      </c>
      <c r="C1722" s="21" t="str">
        <f t="array" ref="C1722">XLOOKUP(B1722,Customer[Customer_ID],Customer[Name(Cleaned)])</f>
        <v>Michael Chang</v>
      </c>
      <c r="D1722" s="22" t="str">
        <f>VLOOKUP(B1722,Customer[#ALL],6)</f>
        <v>Female</v>
      </c>
      <c r="E1722" s="23">
        <f>Sales[Order_Date]</f>
        <v>45916</v>
      </c>
      <c r="F1722" s="21" t="str">
        <f>Sales[Store_ID]</f>
        <v>STORE1</v>
      </c>
      <c r="G1722" s="21" t="str">
        <f t="array" ref="G1722">INDEX(Store[Store_Name],MATCH(F1722,Store[Store_ID],0))</f>
        <v>Martinez, Adkins and Johnson</v>
      </c>
      <c r="H1722" s="21" t="str">
        <f>Sales[Product_ID]</f>
        <v>PROD94</v>
      </c>
      <c r="I1722" s="21" t="str">
        <f>VLOOKUP(H1722,Products[],2)</f>
        <v>Vitamin E Body Lotion</v>
      </c>
      <c r="J1722" s="24">
        <f>Sales[Total_Amount]</f>
        <v>119.7855</v>
      </c>
      <c r="K1722" s="21" t="str">
        <f t="shared" si="1"/>
        <v>Sep</v>
      </c>
      <c r="L1722" s="21">
        <f t="shared" si="2"/>
        <v>2025</v>
      </c>
      <c r="N1722" s="33"/>
      <c r="O1722" s="34"/>
    </row>
    <row r="1723" ht="22.5" customHeight="1">
      <c r="A1723" s="21" t="s">
        <v>3688</v>
      </c>
      <c r="B1723" s="21" t="s">
        <v>660</v>
      </c>
      <c r="C1723" s="21" t="str">
        <f t="array" ref="C1723">XLOOKUP(B1723,Customer[Customer_ID],Customer[Name(Cleaned)])</f>
        <v>Wanda Snyder</v>
      </c>
      <c r="D1723" s="22" t="str">
        <f>VLOOKUP(B1723,Customer[#ALL],6)</f>
        <v>Female</v>
      </c>
      <c r="E1723" s="23">
        <f>Sales[Order_Date]</f>
        <v>45917</v>
      </c>
      <c r="F1723" s="21" t="str">
        <f>Sales[Store_ID]</f>
        <v>STORE10</v>
      </c>
      <c r="G1723" s="21" t="str">
        <f t="array" ref="G1723">INDEX(Store[Store_Name],MATCH(F1723,Store[Store_ID],0))</f>
        <v>Hill, Wagner and Ballard</v>
      </c>
      <c r="H1723" s="21" t="str">
        <f>Sales[Product_ID]</f>
        <v>PROD67</v>
      </c>
      <c r="I1723" s="21" t="str">
        <f>VLOOKUP(H1723,Products[],2)</f>
        <v>Smart LED Light Strip</v>
      </c>
      <c r="J1723" s="24">
        <f>Sales[Total_Amount]</f>
        <v>1951.7436</v>
      </c>
      <c r="K1723" s="21" t="str">
        <f t="shared" si="1"/>
        <v>Sep</v>
      </c>
      <c r="L1723" s="21">
        <f t="shared" si="2"/>
        <v>2025</v>
      </c>
      <c r="N1723" s="33"/>
      <c r="O1723" s="34"/>
    </row>
    <row r="1724" ht="22.5" customHeight="1">
      <c r="A1724" s="21" t="s">
        <v>3689</v>
      </c>
      <c r="B1724" s="21" t="s">
        <v>1038</v>
      </c>
      <c r="C1724" s="21" t="str">
        <f t="array" ref="C1724">XLOOKUP(B1724,Customer[Customer_ID],Customer[Name(Cleaned)])</f>
        <v>Andrew Smith</v>
      </c>
      <c r="D1724" s="22" t="str">
        <f>VLOOKUP(B1724,Customer[#ALL],6)</f>
        <v>Female</v>
      </c>
      <c r="E1724" s="23">
        <f>Sales[Order_Date]</f>
        <v>45941</v>
      </c>
      <c r="F1724" s="21" t="str">
        <f>Sales[Store_ID]</f>
        <v>STORE3</v>
      </c>
      <c r="G1724" s="21" t="str">
        <f t="array" ref="G1724">INDEX(Store[Store_Name],MATCH(F1724,Store[Store_ID],0))</f>
        <v>Johnson-Wright</v>
      </c>
      <c r="H1724" s="21" t="str">
        <f>Sales[Product_ID]</f>
        <v>PROD82</v>
      </c>
      <c r="I1724" s="21" t="str">
        <f>VLOOKUP(H1724,Products[],2)</f>
        <v>Fitness Resistance Bands</v>
      </c>
      <c r="J1724" s="24">
        <f>Sales[Total_Amount]</f>
        <v>1316.2086</v>
      </c>
      <c r="K1724" s="21" t="str">
        <f t="shared" si="1"/>
        <v>Oct</v>
      </c>
      <c r="L1724" s="21">
        <f t="shared" si="2"/>
        <v>2025</v>
      </c>
      <c r="N1724" s="33"/>
      <c r="O1724" s="34"/>
    </row>
    <row r="1725" ht="22.5" customHeight="1">
      <c r="A1725" s="21" t="s">
        <v>3690</v>
      </c>
      <c r="B1725" s="21" t="s">
        <v>149</v>
      </c>
      <c r="C1725" s="21" t="str">
        <f t="array" ref="C1725">XLOOKUP(B1725,Customer[Customer_ID],Customer[Name(Cleaned)])</f>
        <v>Rachel Myers</v>
      </c>
      <c r="D1725" s="22" t="str">
        <f>VLOOKUP(B1725,Customer[#ALL],6)</f>
        <v>Female</v>
      </c>
      <c r="E1725" s="23">
        <f>Sales[Order_Date]</f>
        <v>45500</v>
      </c>
      <c r="F1725" s="21" t="str">
        <f>Sales[Store_ID]</f>
        <v>STORE12</v>
      </c>
      <c r="G1725" s="21" t="str">
        <f t="array" ref="G1725">INDEX(Store[Store_Name],MATCH(F1725,Store[Store_ID],0))</f>
        <v>Thomas, Bridges and Harris</v>
      </c>
      <c r="H1725" s="21" t="str">
        <f>Sales[Product_ID]</f>
        <v>PROD97</v>
      </c>
      <c r="I1725" s="21" t="str">
        <f>VLOOKUP(H1725,Products[],2)</f>
        <v>Cricket Bat</v>
      </c>
      <c r="J1725" s="24">
        <f>Sales[Total_Amount]</f>
        <v>2156.5544</v>
      </c>
      <c r="K1725" s="21" t="str">
        <f t="shared" si="1"/>
        <v>Jul</v>
      </c>
      <c r="L1725" s="21">
        <f t="shared" si="2"/>
        <v>2024</v>
      </c>
      <c r="N1725" s="33"/>
      <c r="O1725" s="34"/>
    </row>
    <row r="1726" ht="22.5" customHeight="1">
      <c r="A1726" s="21" t="s">
        <v>3691</v>
      </c>
      <c r="B1726" s="21" t="s">
        <v>809</v>
      </c>
      <c r="C1726" s="21" t="str">
        <f t="array" ref="C1726">XLOOKUP(B1726,Customer[Customer_ID],Customer[Name(Cleaned)])</f>
        <v>Nicholas Webb</v>
      </c>
      <c r="D1726" s="22" t="str">
        <f>VLOOKUP(B1726,Customer[#ALL],6)</f>
        <v>Female</v>
      </c>
      <c r="E1726" s="23">
        <f>Sales[Order_Date]</f>
        <v>45778</v>
      </c>
      <c r="F1726" s="21" t="str">
        <f>Sales[Store_ID]</f>
        <v>STORE3</v>
      </c>
      <c r="G1726" s="21" t="str">
        <f t="array" ref="G1726">INDEX(Store[Store_Name],MATCH(F1726,Store[Store_ID],0))</f>
        <v>Johnson-Wright</v>
      </c>
      <c r="H1726" s="21" t="str">
        <f>Sales[Product_ID]</f>
        <v>PROD34</v>
      </c>
      <c r="I1726" s="21" t="str">
        <f>VLOOKUP(H1726,Products[],2)</f>
        <v>Gaming Mechanical Keyboard</v>
      </c>
      <c r="J1726" s="24">
        <f>Sales[Total_Amount]</f>
        <v>101.2608</v>
      </c>
      <c r="K1726" s="21" t="str">
        <f t="shared" si="1"/>
        <v>May</v>
      </c>
      <c r="L1726" s="21">
        <f t="shared" si="2"/>
        <v>2025</v>
      </c>
      <c r="N1726" s="33"/>
      <c r="O1726" s="34"/>
    </row>
    <row r="1727" ht="22.5" customHeight="1">
      <c r="A1727" s="21" t="s">
        <v>3692</v>
      </c>
      <c r="B1727" s="21" t="s">
        <v>1053</v>
      </c>
      <c r="C1727" s="21" t="str">
        <f t="array" ref="C1727">XLOOKUP(B1727,Customer[Customer_ID],Customer[Name(Cleaned)])</f>
        <v>Pamela Mcguire</v>
      </c>
      <c r="D1727" s="22" t="str">
        <f>VLOOKUP(B1727,Customer[#ALL],6)</f>
        <v>Female</v>
      </c>
      <c r="E1727" s="23">
        <f>Sales[Order_Date]</f>
        <v>45740</v>
      </c>
      <c r="F1727" s="21" t="str">
        <f>Sales[Store_ID]</f>
        <v>STORE11</v>
      </c>
      <c r="G1727" s="21" t="str">
        <f t="array" ref="G1727">INDEX(Store[Store_Name],MATCH(F1727,Store[Store_ID],0))</f>
        <v>Aguirre-Keller</v>
      </c>
      <c r="H1727" s="21" t="str">
        <f>Sales[Product_ID]</f>
        <v>PROD72</v>
      </c>
      <c r="I1727" s="21" t="str">
        <f>VLOOKUP(H1727,Products[],2)</f>
        <v>Professional Jump Rope</v>
      </c>
      <c r="J1727" s="24">
        <f>Sales[Total_Amount]</f>
        <v>1375.2876</v>
      </c>
      <c r="K1727" s="21" t="str">
        <f t="shared" si="1"/>
        <v>Mar</v>
      </c>
      <c r="L1727" s="21">
        <f t="shared" si="2"/>
        <v>2025</v>
      </c>
      <c r="N1727" s="33"/>
      <c r="O1727" s="34"/>
    </row>
    <row r="1728" ht="22.5" customHeight="1">
      <c r="A1728" s="21" t="s">
        <v>3693</v>
      </c>
      <c r="B1728" s="21" t="s">
        <v>329</v>
      </c>
      <c r="C1728" s="21" t="str">
        <f t="array" ref="C1728">XLOOKUP(B1728,Customer[Customer_ID],Customer[Name(Cleaned)])</f>
        <v>Jamie Yoder</v>
      </c>
      <c r="D1728" s="22" t="str">
        <f>VLOOKUP(B1728,Customer[#ALL],6)</f>
        <v>Female</v>
      </c>
      <c r="E1728" s="23">
        <f>Sales[Order_Date]</f>
        <v>45598</v>
      </c>
      <c r="F1728" s="21" t="str">
        <f>Sales[Store_ID]</f>
        <v>STORE6</v>
      </c>
      <c r="G1728" s="21" t="str">
        <f t="array" ref="G1728">INDEX(Store[Store_Name],MATCH(F1728,Store[Store_ID],0))</f>
        <v>Benson-Elliott</v>
      </c>
      <c r="H1728" s="21" t="str">
        <f>Sales[Product_ID]</f>
        <v>PROD59</v>
      </c>
      <c r="I1728" s="21" t="str">
        <f>VLOOKUP(H1728,Products[],2)</f>
        <v>Men's Hair Styling Gel</v>
      </c>
      <c r="J1728" s="24">
        <f>Sales[Total_Amount]</f>
        <v>2569.1024</v>
      </c>
      <c r="K1728" s="21" t="str">
        <f t="shared" si="1"/>
        <v>Nov</v>
      </c>
      <c r="L1728" s="21">
        <f t="shared" si="2"/>
        <v>2024</v>
      </c>
      <c r="N1728" s="33"/>
      <c r="O1728" s="34"/>
    </row>
    <row r="1729" ht="22.5" customHeight="1">
      <c r="A1729" s="21" t="s">
        <v>3694</v>
      </c>
      <c r="B1729" s="21" t="s">
        <v>655</v>
      </c>
      <c r="C1729" s="21" t="str">
        <f t="array" ref="C1729">XLOOKUP(B1729,Customer[Customer_ID],Customer[Name(Cleaned)])</f>
        <v>Megan Greer</v>
      </c>
      <c r="D1729" s="22" t="str">
        <f>VLOOKUP(B1729,Customer[#ALL],6)</f>
        <v>Male</v>
      </c>
      <c r="E1729" s="23">
        <f>Sales[Order_Date]</f>
        <v>45591</v>
      </c>
      <c r="F1729" s="21" t="str">
        <f>Sales[Store_ID]</f>
        <v>STORE17</v>
      </c>
      <c r="G1729" s="21" t="str">
        <f t="array" ref="G1729">INDEX(Store[Store_Name],MATCH(F1729,Store[Store_ID],0))</f>
        <v>Holloway Ltd</v>
      </c>
      <c r="H1729" s="21" t="str">
        <f>Sales[Product_ID]</f>
        <v>PROD39</v>
      </c>
      <c r="I1729" s="21" t="str">
        <f>VLOOKUP(H1729,Products[],2)</f>
        <v>Portable Power Bank</v>
      </c>
      <c r="J1729" s="24">
        <f>Sales[Total_Amount]</f>
        <v>467.91</v>
      </c>
      <c r="K1729" s="21" t="str">
        <f t="shared" si="1"/>
        <v>Oct</v>
      </c>
      <c r="L1729" s="21">
        <f t="shared" si="2"/>
        <v>2024</v>
      </c>
      <c r="N1729" s="33"/>
      <c r="O1729" s="34"/>
    </row>
    <row r="1730" ht="22.5" customHeight="1">
      <c r="A1730" s="21" t="s">
        <v>3695</v>
      </c>
      <c r="B1730" s="21" t="s">
        <v>597</v>
      </c>
      <c r="C1730" s="21" t="str">
        <f t="array" ref="C1730">XLOOKUP(B1730,Customer[Customer_ID],Customer[Name(Cleaned)])</f>
        <v>Curtis Lam</v>
      </c>
      <c r="D1730" s="22" t="str">
        <f>VLOOKUP(B1730,Customer[#ALL],6)</f>
        <v>Female</v>
      </c>
      <c r="E1730" s="23">
        <f>Sales[Order_Date]</f>
        <v>45546</v>
      </c>
      <c r="F1730" s="21" t="str">
        <f>Sales[Store_ID]</f>
        <v>STORE14</v>
      </c>
      <c r="G1730" s="21" t="str">
        <f t="array" ref="G1730">INDEX(Store[Store_Name],MATCH(F1730,Store[Store_ID],0))</f>
        <v>Mcdonald Inc</v>
      </c>
      <c r="H1730" s="21" t="str">
        <f>Sales[Product_ID]</f>
        <v>PROD42</v>
      </c>
      <c r="I1730" s="21" t="str">
        <f>VLOOKUP(H1730,Products[],2)</f>
        <v>Smart Home WiFi Camera</v>
      </c>
      <c r="J1730" s="24">
        <f>Sales[Total_Amount]</f>
        <v>999.592</v>
      </c>
      <c r="K1730" s="21" t="str">
        <f t="shared" si="1"/>
        <v>Sep</v>
      </c>
      <c r="L1730" s="21">
        <f t="shared" si="2"/>
        <v>2024</v>
      </c>
      <c r="N1730" s="33"/>
      <c r="O1730" s="34"/>
    </row>
    <row r="1731" ht="22.5" customHeight="1">
      <c r="A1731" s="21" t="s">
        <v>3696</v>
      </c>
      <c r="B1731" s="21" t="s">
        <v>1032</v>
      </c>
      <c r="C1731" s="21" t="str">
        <f t="array" ref="C1731">XLOOKUP(B1731,Customer[Customer_ID],Customer[Name(Cleaned)])</f>
        <v>Kristy Dunlap</v>
      </c>
      <c r="D1731" s="22" t="str">
        <f>VLOOKUP(B1731,Customer[#ALL],6)</f>
        <v>Male</v>
      </c>
      <c r="E1731" s="23">
        <f>Sales[Order_Date]</f>
        <v>45483</v>
      </c>
      <c r="F1731" s="21" t="str">
        <f>Sales[Store_ID]</f>
        <v>STORE18</v>
      </c>
      <c r="G1731" s="21" t="str">
        <f t="array" ref="G1731">INDEX(Store[Store_Name],MATCH(F1731,Store[Store_ID],0))</f>
        <v>Guerrero-Schmitt</v>
      </c>
      <c r="H1731" s="21" t="str">
        <f>Sales[Product_ID]</f>
        <v>PROD31</v>
      </c>
      <c r="I1731" s="21" t="str">
        <f>VLOOKUP(H1731,Products[],2)</f>
        <v>Basketball</v>
      </c>
      <c r="J1731" s="24">
        <f>Sales[Total_Amount]</f>
        <v>1088.1378</v>
      </c>
      <c r="K1731" s="21" t="str">
        <f t="shared" si="1"/>
        <v>Jul</v>
      </c>
      <c r="L1731" s="21">
        <f t="shared" si="2"/>
        <v>2024</v>
      </c>
      <c r="N1731" s="33"/>
      <c r="O1731" s="34"/>
    </row>
    <row r="1732" ht="22.5" customHeight="1">
      <c r="A1732" s="21" t="s">
        <v>3697</v>
      </c>
      <c r="B1732" s="21" t="s">
        <v>684</v>
      </c>
      <c r="C1732" s="21" t="str">
        <f t="array" ref="C1732">XLOOKUP(B1732,Customer[Customer_ID],Customer[Name(Cleaned)])</f>
        <v>Ronald Jones</v>
      </c>
      <c r="D1732" s="22" t="str">
        <f>VLOOKUP(B1732,Customer[#ALL],6)</f>
        <v>Male</v>
      </c>
      <c r="E1732" s="23">
        <f>Sales[Order_Date]</f>
        <v>45786</v>
      </c>
      <c r="F1732" s="21" t="str">
        <f>Sales[Store_ID]</f>
        <v>STORE7</v>
      </c>
      <c r="G1732" s="21" t="str">
        <f t="array" ref="G1732">INDEX(Store[Store_Name],MATCH(F1732,Store[Store_ID],0))</f>
        <v>Martinez-Mullins</v>
      </c>
      <c r="H1732" s="21" t="str">
        <f>Sales[Product_ID]</f>
        <v>PROD6</v>
      </c>
      <c r="I1732" s="21" t="str">
        <f>VLOOKUP(H1732,Products[],2)</f>
        <v>Men's Hair Styling Gel</v>
      </c>
      <c r="J1732" s="24">
        <f>Sales[Total_Amount]</f>
        <v>407.5768</v>
      </c>
      <c r="K1732" s="21" t="str">
        <f t="shared" si="1"/>
        <v>May</v>
      </c>
      <c r="L1732" s="21">
        <f t="shared" si="2"/>
        <v>2025</v>
      </c>
      <c r="N1732" s="33"/>
      <c r="O1732" s="34"/>
    </row>
    <row r="1733" ht="22.5" customHeight="1">
      <c r="A1733" s="21" t="s">
        <v>3698</v>
      </c>
      <c r="B1733" s="21" t="s">
        <v>678</v>
      </c>
      <c r="C1733" s="21" t="str">
        <f t="array" ref="C1733">XLOOKUP(B1733,Customer[Customer_ID],Customer[Name(Cleaned)])</f>
        <v>Tiffany Herrera</v>
      </c>
      <c r="D1733" s="22" t="str">
        <f>VLOOKUP(B1733,Customer[#ALL],6)</f>
        <v>Female</v>
      </c>
      <c r="E1733" s="23">
        <f>Sales[Order_Date]</f>
        <v>45475</v>
      </c>
      <c r="F1733" s="21" t="str">
        <f>Sales[Store_ID]</f>
        <v>STORE19</v>
      </c>
      <c r="G1733" s="21" t="str">
        <f t="array" ref="G1733">INDEX(Store[Store_Name],MATCH(F1733,Store[Store_ID],0))</f>
        <v>Mann-Austin</v>
      </c>
      <c r="H1733" s="21" t="str">
        <f>Sales[Product_ID]</f>
        <v>PROD98</v>
      </c>
      <c r="I1733" s="21" t="str">
        <f>VLOOKUP(H1733,Products[],2)</f>
        <v>Portable Bluetooth Speaker</v>
      </c>
      <c r="J1733" s="24">
        <f>Sales[Total_Amount]</f>
        <v>821.9216</v>
      </c>
      <c r="K1733" s="21" t="str">
        <f t="shared" si="1"/>
        <v>Jul</v>
      </c>
      <c r="L1733" s="21">
        <f t="shared" si="2"/>
        <v>2024</v>
      </c>
      <c r="N1733" s="33"/>
      <c r="O1733" s="34"/>
    </row>
    <row r="1734" ht="22.5" customHeight="1">
      <c r="A1734" s="21" t="s">
        <v>3699</v>
      </c>
      <c r="B1734" s="21" t="s">
        <v>1011</v>
      </c>
      <c r="C1734" s="21" t="str">
        <f t="array" ref="C1734">XLOOKUP(B1734,Customer[Customer_ID],Customer[Name(Cleaned)])</f>
        <v>Robert House</v>
      </c>
      <c r="D1734" s="22" t="str">
        <f>VLOOKUP(B1734,Customer[#ALL],6)</f>
        <v>Female</v>
      </c>
      <c r="E1734" s="23">
        <f>Sales[Order_Date]</f>
        <v>45470</v>
      </c>
      <c r="F1734" s="21" t="str">
        <f>Sales[Store_ID]</f>
        <v>STORE11</v>
      </c>
      <c r="G1734" s="21" t="str">
        <f t="array" ref="G1734">INDEX(Store[Store_Name],MATCH(F1734,Store[Store_ID],0))</f>
        <v>Aguirre-Keller</v>
      </c>
      <c r="H1734" s="21" t="str">
        <f>Sales[Product_ID]</f>
        <v>PROD20</v>
      </c>
      <c r="I1734" s="21" t="str">
        <f>VLOOKUP(H1734,Products[],2)</f>
        <v>Outdoor Sports Water Bottle</v>
      </c>
      <c r="J1734" s="24">
        <f>Sales[Total_Amount]</f>
        <v>175.8531</v>
      </c>
      <c r="K1734" s="21" t="str">
        <f t="shared" si="1"/>
        <v>Jun</v>
      </c>
      <c r="L1734" s="21">
        <f t="shared" si="2"/>
        <v>2024</v>
      </c>
      <c r="N1734" s="33"/>
      <c r="O1734" s="34"/>
    </row>
    <row r="1735" ht="22.5" customHeight="1">
      <c r="A1735" s="21" t="s">
        <v>3700</v>
      </c>
      <c r="B1735" s="21" t="s">
        <v>878</v>
      </c>
      <c r="C1735" s="21" t="str">
        <f t="array" ref="C1735">XLOOKUP(B1735,Customer[Customer_ID],Customer[Name(Cleaned)])</f>
        <v>Daisy Johnson Dds</v>
      </c>
      <c r="D1735" s="22" t="str">
        <f>VLOOKUP(B1735,Customer[#ALL],6)</f>
        <v>Female</v>
      </c>
      <c r="E1735" s="23">
        <f>Sales[Order_Date]</f>
        <v>45243</v>
      </c>
      <c r="F1735" s="21" t="str">
        <f>Sales[Store_ID]</f>
        <v>STORE5</v>
      </c>
      <c r="G1735" s="21" t="str">
        <f t="array" ref="G1735">INDEX(Store[Store_Name],MATCH(F1735,Store[Store_ID],0))</f>
        <v>Gray Ltd</v>
      </c>
      <c r="H1735" s="21" t="str">
        <f>Sales[Product_ID]</f>
        <v>PROD74</v>
      </c>
      <c r="I1735" s="21" t="str">
        <f>VLOOKUP(H1735,Products[],2)</f>
        <v>Bluetooth Car Audio System</v>
      </c>
      <c r="J1735" s="24">
        <f>Sales[Total_Amount]</f>
        <v>366.9534</v>
      </c>
      <c r="K1735" s="21" t="str">
        <f t="shared" si="1"/>
        <v>Nov</v>
      </c>
      <c r="L1735" s="21">
        <f t="shared" si="2"/>
        <v>2023</v>
      </c>
      <c r="N1735" s="33"/>
      <c r="O1735" s="34"/>
    </row>
    <row r="1736" ht="22.5" customHeight="1">
      <c r="A1736" s="21" t="s">
        <v>3701</v>
      </c>
      <c r="B1736" s="21" t="s">
        <v>92</v>
      </c>
      <c r="C1736" s="21" t="str">
        <f t="array" ref="C1736">XLOOKUP(B1736,Customer[Customer_ID],Customer[Name(Cleaned)])</f>
        <v>Michael Torres</v>
      </c>
      <c r="D1736" s="22" t="str">
        <f>VLOOKUP(B1736,Customer[#ALL],6)</f>
        <v>Male</v>
      </c>
      <c r="E1736" s="23">
        <f>Sales[Order_Date]</f>
        <v>45285</v>
      </c>
      <c r="F1736" s="21" t="str">
        <f>Sales[Store_ID]</f>
        <v>STORE10</v>
      </c>
      <c r="G1736" s="21" t="str">
        <f t="array" ref="G1736">INDEX(Store[Store_Name],MATCH(F1736,Store[Store_ID],0))</f>
        <v>Hill, Wagner and Ballard</v>
      </c>
      <c r="H1736" s="21" t="str">
        <f>Sales[Product_ID]</f>
        <v>PROD76</v>
      </c>
      <c r="I1736" s="21" t="str">
        <f>VLOOKUP(H1736,Products[],2)</f>
        <v>Wireless Mouse</v>
      </c>
      <c r="J1736" s="24">
        <f>Sales[Total_Amount]</f>
        <v>1029.465</v>
      </c>
      <c r="K1736" s="21" t="str">
        <f t="shared" si="1"/>
        <v>Dec</v>
      </c>
      <c r="L1736" s="21">
        <f t="shared" si="2"/>
        <v>2023</v>
      </c>
      <c r="N1736" s="33"/>
      <c r="O1736" s="34"/>
    </row>
    <row r="1737" ht="22.5" customHeight="1">
      <c r="A1737" s="21" t="s">
        <v>3702</v>
      </c>
      <c r="B1737" s="21" t="s">
        <v>39</v>
      </c>
      <c r="C1737" s="21" t="str">
        <f t="array" ref="C1737">XLOOKUP(B1737,Customer[Customer_ID],Customer[Name(Cleaned)])</f>
        <v>Christine Vaughn</v>
      </c>
      <c r="D1737" s="22" t="str">
        <f>VLOOKUP(B1737,Customer[#ALL],6)</f>
        <v>Female</v>
      </c>
      <c r="E1737" s="23">
        <f>Sales[Order_Date]</f>
        <v>45341</v>
      </c>
      <c r="F1737" s="21" t="str">
        <f>Sales[Store_ID]</f>
        <v>STORE12</v>
      </c>
      <c r="G1737" s="21" t="str">
        <f t="array" ref="G1737">INDEX(Store[Store_Name],MATCH(F1737,Store[Store_ID],0))</f>
        <v>Thomas, Bridges and Harris</v>
      </c>
      <c r="H1737" s="21" t="str">
        <f>Sales[Product_ID]</f>
        <v>PROD61</v>
      </c>
      <c r="I1737" s="21" t="str">
        <f>VLOOKUP(H1737,Products[],2)</f>
        <v>Tennis Ball 3-Pack</v>
      </c>
      <c r="J1737" s="24">
        <f>Sales[Total_Amount]</f>
        <v>2574.9856</v>
      </c>
      <c r="K1737" s="21" t="str">
        <f t="shared" si="1"/>
        <v>Feb</v>
      </c>
      <c r="L1737" s="21">
        <f t="shared" si="2"/>
        <v>2024</v>
      </c>
      <c r="N1737" s="33"/>
      <c r="O1737" s="34"/>
    </row>
    <row r="1738" ht="22.5" customHeight="1">
      <c r="A1738" s="21" t="s">
        <v>3703</v>
      </c>
      <c r="B1738" s="21" t="s">
        <v>561</v>
      </c>
      <c r="C1738" s="21" t="str">
        <f t="array" ref="C1738">XLOOKUP(B1738,Customer[Customer_ID],Customer[Name(Cleaned)])</f>
        <v>Jason Wheeler</v>
      </c>
      <c r="D1738" s="22" t="str">
        <f>VLOOKUP(B1738,Customer[#ALL],6)</f>
        <v>Male</v>
      </c>
      <c r="E1738" s="23">
        <f>Sales[Order_Date]</f>
        <v>45371</v>
      </c>
      <c r="F1738" s="21" t="str">
        <f>Sales[Store_ID]</f>
        <v>STORE1</v>
      </c>
      <c r="G1738" s="21" t="str">
        <f t="array" ref="G1738">INDEX(Store[Store_Name],MATCH(F1738,Store[Store_ID],0))</f>
        <v>Martinez, Adkins and Johnson</v>
      </c>
      <c r="H1738" s="21" t="str">
        <f>Sales[Product_ID]</f>
        <v>PROD78</v>
      </c>
      <c r="I1738" s="21" t="str">
        <f>VLOOKUP(H1738,Products[],2)</f>
        <v>Essential Oil Diffuser</v>
      </c>
      <c r="J1738" s="24">
        <f>Sales[Total_Amount]</f>
        <v>1306.4175</v>
      </c>
      <c r="K1738" s="21" t="str">
        <f t="shared" si="1"/>
        <v>Mar</v>
      </c>
      <c r="L1738" s="21">
        <f t="shared" si="2"/>
        <v>2024</v>
      </c>
      <c r="N1738" s="33"/>
      <c r="O1738" s="34"/>
    </row>
    <row r="1739" ht="22.5" customHeight="1">
      <c r="A1739" s="21" t="s">
        <v>3704</v>
      </c>
      <c r="B1739" s="21" t="s">
        <v>19</v>
      </c>
      <c r="C1739" s="21" t="str">
        <f t="array" ref="C1739">XLOOKUP(B1739,Customer[Customer_ID],Customer[Name(Cleaned)])</f>
        <v>Eugene Nelson</v>
      </c>
      <c r="D1739" s="22" t="str">
        <f>VLOOKUP(B1739,Customer[#ALL],6)</f>
        <v>Male</v>
      </c>
      <c r="E1739" s="23">
        <f>Sales[Order_Date]</f>
        <v>45360</v>
      </c>
      <c r="F1739" s="21" t="str">
        <f>Sales[Store_ID]</f>
        <v>STORE0</v>
      </c>
      <c r="G1739" s="21" t="str">
        <f t="array" ref="G1739">INDEX(Store[Store_Name],MATCH(F1739,Store[Store_ID],0))</f>
        <v>Rivera-Warner</v>
      </c>
      <c r="H1739" s="21" t="str">
        <f>Sales[Product_ID]</f>
        <v>PROD67</v>
      </c>
      <c r="I1739" s="21" t="str">
        <f>VLOOKUP(H1739,Products[],2)</f>
        <v>Smart LED Light Strip</v>
      </c>
      <c r="J1739" s="24">
        <f>Sales[Total_Amount]</f>
        <v>835.848</v>
      </c>
      <c r="K1739" s="21" t="str">
        <f t="shared" si="1"/>
        <v>Mar</v>
      </c>
      <c r="L1739" s="21">
        <f t="shared" si="2"/>
        <v>2024</v>
      </c>
      <c r="N1739" s="33"/>
      <c r="O1739" s="34"/>
    </row>
    <row r="1740" ht="22.5" customHeight="1">
      <c r="A1740" s="21" t="s">
        <v>3705</v>
      </c>
      <c r="B1740" s="21" t="s">
        <v>368</v>
      </c>
      <c r="C1740" s="21" t="str">
        <f t="array" ref="C1740">XLOOKUP(B1740,Customer[Customer_ID],Customer[Name(Cleaned)])</f>
        <v>Colleen Maynard</v>
      </c>
      <c r="D1740" s="22" t="str">
        <f>VLOOKUP(B1740,Customer[#ALL],6)</f>
        <v>Female</v>
      </c>
      <c r="E1740" s="23">
        <f>Sales[Order_Date]</f>
        <v>45499</v>
      </c>
      <c r="F1740" s="21" t="str">
        <f>Sales[Store_ID]</f>
        <v>STORE18</v>
      </c>
      <c r="G1740" s="21" t="str">
        <f t="array" ref="G1740">INDEX(Store[Store_Name],MATCH(F1740,Store[Store_ID],0))</f>
        <v>Guerrero-Schmitt</v>
      </c>
      <c r="H1740" s="21" t="str">
        <f>Sales[Product_ID]</f>
        <v>PROD4</v>
      </c>
      <c r="I1740" s="21" t="str">
        <f>VLOOKUP(H1740,Products[],2)</f>
        <v>Portable Power Bank</v>
      </c>
      <c r="J1740" s="24">
        <f>Sales[Total_Amount]</f>
        <v>612.5604</v>
      </c>
      <c r="K1740" s="21" t="str">
        <f t="shared" si="1"/>
        <v>Jul</v>
      </c>
      <c r="L1740" s="21">
        <f t="shared" si="2"/>
        <v>2024</v>
      </c>
      <c r="N1740" s="33"/>
      <c r="O1740" s="34"/>
    </row>
    <row r="1741" ht="22.5" customHeight="1">
      <c r="A1741" s="21" t="s">
        <v>3706</v>
      </c>
      <c r="B1741" s="21" t="s">
        <v>1276</v>
      </c>
      <c r="C1741" s="21" t="str">
        <f t="array" ref="C1741">XLOOKUP(B1741,Customer[Customer_ID],Customer[Name(Cleaned)])</f>
        <v>Eric Wolfe</v>
      </c>
      <c r="D1741" s="22" t="str">
        <f>VLOOKUP(B1741,Customer[#ALL],6)</f>
        <v>Male</v>
      </c>
      <c r="E1741" s="23">
        <f>Sales[Order_Date]</f>
        <v>45745</v>
      </c>
      <c r="F1741" s="21" t="str">
        <f>Sales[Store_ID]</f>
        <v>STORE3</v>
      </c>
      <c r="G1741" s="21" t="str">
        <f t="array" ref="G1741">INDEX(Store[Store_Name],MATCH(F1741,Store[Store_ID],0))</f>
        <v>Johnson-Wright</v>
      </c>
      <c r="H1741" s="21" t="str">
        <f>Sales[Product_ID]</f>
        <v>PROD24</v>
      </c>
      <c r="I1741" s="21" t="str">
        <f>VLOOKUP(H1741,Products[],2)</f>
        <v>Foldable Camping Chair</v>
      </c>
      <c r="J1741" s="24">
        <f>Sales[Total_Amount]</f>
        <v>271.593</v>
      </c>
      <c r="K1741" s="21" t="str">
        <f t="shared" si="1"/>
        <v>Mar</v>
      </c>
      <c r="L1741" s="21">
        <f t="shared" si="2"/>
        <v>2025</v>
      </c>
      <c r="N1741" s="33"/>
      <c r="O1741" s="34"/>
    </row>
    <row r="1742" ht="22.5" customHeight="1">
      <c r="A1742" s="21" t="s">
        <v>3707</v>
      </c>
      <c r="B1742" s="21" t="s">
        <v>1482</v>
      </c>
      <c r="C1742" s="21" t="str">
        <f t="array" ref="C1742">XLOOKUP(B1742,Customer[Customer_ID],Customer[Name(Cleaned)])</f>
        <v>Elizabeth Foster</v>
      </c>
      <c r="D1742" s="22" t="str">
        <f>VLOOKUP(B1742,Customer[#ALL],6)</f>
        <v>Male</v>
      </c>
      <c r="E1742" s="23">
        <f>Sales[Order_Date]</f>
        <v>45718</v>
      </c>
      <c r="F1742" s="21" t="str">
        <f>Sales[Store_ID]</f>
        <v>STORE6</v>
      </c>
      <c r="G1742" s="21" t="str">
        <f t="array" ref="G1742">INDEX(Store[Store_Name],MATCH(F1742,Store[Store_ID],0))</f>
        <v>Benson-Elliott</v>
      </c>
      <c r="H1742" s="21" t="str">
        <f>Sales[Product_ID]</f>
        <v>PROD18</v>
      </c>
      <c r="I1742" s="21" t="str">
        <f>VLOOKUP(H1742,Products[],2)</f>
        <v>Women's Denim Jeans</v>
      </c>
      <c r="J1742" s="24">
        <f>Sales[Total_Amount]</f>
        <v>573.6192</v>
      </c>
      <c r="K1742" s="21" t="str">
        <f t="shared" si="1"/>
        <v>Mar</v>
      </c>
      <c r="L1742" s="21">
        <f t="shared" si="2"/>
        <v>2025</v>
      </c>
      <c r="N1742" s="33"/>
      <c r="O1742" s="34"/>
    </row>
    <row r="1743" ht="22.5" customHeight="1">
      <c r="A1743" s="21" t="s">
        <v>3708</v>
      </c>
      <c r="B1743" s="21" t="s">
        <v>952</v>
      </c>
      <c r="C1743" s="21" t="str">
        <f t="array" ref="C1743">XLOOKUP(B1743,Customer[Customer_ID],Customer[Name(Cleaned)])</f>
        <v>Jared Moran</v>
      </c>
      <c r="D1743" s="22" t="str">
        <f>VLOOKUP(B1743,Customer[#ALL],6)</f>
        <v>Male</v>
      </c>
      <c r="E1743" s="23">
        <f>Sales[Order_Date]</f>
        <v>45454</v>
      </c>
      <c r="F1743" s="21" t="str">
        <f>Sales[Store_ID]</f>
        <v>STORE8</v>
      </c>
      <c r="G1743" s="21" t="str">
        <f t="array" ref="G1743">INDEX(Store[Store_Name],MATCH(F1743,Store[Store_ID],0))</f>
        <v>Bean, Jones and Park</v>
      </c>
      <c r="H1743" s="21" t="str">
        <f>Sales[Product_ID]</f>
        <v>PROD40</v>
      </c>
      <c r="I1743" s="21" t="str">
        <f>VLOOKUP(H1743,Products[],2)</f>
        <v>Noise-Canceling Headphones</v>
      </c>
      <c r="J1743" s="24">
        <f>Sales[Total_Amount]</f>
        <v>1900.2672</v>
      </c>
      <c r="K1743" s="21" t="str">
        <f t="shared" si="1"/>
        <v>Jun</v>
      </c>
      <c r="L1743" s="21">
        <f t="shared" si="2"/>
        <v>2024</v>
      </c>
      <c r="N1743" s="33"/>
      <c r="O1743" s="34"/>
    </row>
    <row r="1744" ht="22.5" customHeight="1">
      <c r="A1744" s="21" t="s">
        <v>3709</v>
      </c>
      <c r="B1744" s="21" t="s">
        <v>1371</v>
      </c>
      <c r="C1744" s="21" t="str">
        <f t="array" ref="C1744">XLOOKUP(B1744,Customer[Customer_ID],Customer[Name(Cleaned)])</f>
        <v>Melinda Rivera</v>
      </c>
      <c r="D1744" s="22" t="str">
        <f>VLOOKUP(B1744,Customer[#ALL],6)</f>
        <v>Male</v>
      </c>
      <c r="E1744" s="23">
        <f>Sales[Order_Date]</f>
        <v>45434</v>
      </c>
      <c r="F1744" s="21" t="str">
        <f>Sales[Store_ID]</f>
        <v>STORE11</v>
      </c>
      <c r="G1744" s="21" t="str">
        <f t="array" ref="G1744">INDEX(Store[Store_Name],MATCH(F1744,Store[Store_ID],0))</f>
        <v>Aguirre-Keller</v>
      </c>
      <c r="H1744" s="21" t="str">
        <f>Sales[Product_ID]</f>
        <v>PROD33</v>
      </c>
      <c r="I1744" s="21" t="str">
        <f>VLOOKUP(H1744,Products[],2)</f>
        <v>Modern Wall Clock</v>
      </c>
      <c r="J1744" s="24">
        <f>Sales[Total_Amount]</f>
        <v>654.0489</v>
      </c>
      <c r="K1744" s="21" t="str">
        <f t="shared" si="1"/>
        <v>May</v>
      </c>
      <c r="L1744" s="21">
        <f t="shared" si="2"/>
        <v>2024</v>
      </c>
      <c r="N1744" s="33"/>
      <c r="O1744" s="34"/>
    </row>
    <row r="1745" ht="22.5" customHeight="1">
      <c r="A1745" s="21" t="s">
        <v>3710</v>
      </c>
      <c r="B1745" s="21" t="s">
        <v>594</v>
      </c>
      <c r="C1745" s="21" t="str">
        <f t="array" ref="C1745">XLOOKUP(B1745,Customer[Customer_ID],Customer[Name(Cleaned)])</f>
        <v>John Bradford</v>
      </c>
      <c r="D1745" s="22" t="str">
        <f>VLOOKUP(B1745,Customer[#ALL],6)</f>
        <v>Female</v>
      </c>
      <c r="E1745" s="23">
        <f>Sales[Order_Date]</f>
        <v>45486</v>
      </c>
      <c r="F1745" s="21" t="str">
        <f>Sales[Store_ID]</f>
        <v>STORE0</v>
      </c>
      <c r="G1745" s="21" t="str">
        <f t="array" ref="G1745">INDEX(Store[Store_Name],MATCH(F1745,Store[Store_ID],0))</f>
        <v>Rivera-Warner</v>
      </c>
      <c r="H1745" s="21" t="str">
        <f>Sales[Product_ID]</f>
        <v>PROD83</v>
      </c>
      <c r="I1745" s="21" t="str">
        <f>VLOOKUP(H1745,Products[],2)</f>
        <v>Hydrating Face Cleanser</v>
      </c>
      <c r="J1745" s="24">
        <f>Sales[Total_Amount]</f>
        <v>230.8804</v>
      </c>
      <c r="K1745" s="21" t="str">
        <f t="shared" si="1"/>
        <v>Jul</v>
      </c>
      <c r="L1745" s="21">
        <f t="shared" si="2"/>
        <v>2024</v>
      </c>
      <c r="N1745" s="33"/>
      <c r="O1745" s="34"/>
    </row>
    <row r="1746" ht="22.5" customHeight="1">
      <c r="A1746" s="21" t="s">
        <v>3711</v>
      </c>
      <c r="B1746" s="21" t="s">
        <v>377</v>
      </c>
      <c r="C1746" s="21" t="str">
        <f t="array" ref="C1746">XLOOKUP(B1746,Customer[Customer_ID],Customer[Name(Cleaned)])</f>
        <v>Christopher Lester</v>
      </c>
      <c r="D1746" s="22" t="str">
        <f>VLOOKUP(B1746,Customer[#ALL],6)</f>
        <v>Female</v>
      </c>
      <c r="E1746" s="23">
        <f>Sales[Order_Date]</f>
        <v>45902</v>
      </c>
      <c r="F1746" s="21" t="str">
        <f>Sales[Store_ID]</f>
        <v>STORE6</v>
      </c>
      <c r="G1746" s="21" t="str">
        <f t="array" ref="G1746">INDEX(Store[Store_Name],MATCH(F1746,Store[Store_ID],0))</f>
        <v>Benson-Elliott</v>
      </c>
      <c r="H1746" s="21" t="str">
        <f>Sales[Product_ID]</f>
        <v>PROD37</v>
      </c>
      <c r="I1746" s="21" t="str">
        <f>VLOOKUP(H1746,Products[],2)</f>
        <v>Men's Casual Sneakers</v>
      </c>
      <c r="J1746" s="24">
        <f>Sales[Total_Amount]</f>
        <v>629.3652</v>
      </c>
      <c r="K1746" s="21" t="str">
        <f t="shared" si="1"/>
        <v>Sep</v>
      </c>
      <c r="L1746" s="21">
        <f t="shared" si="2"/>
        <v>2025</v>
      </c>
      <c r="N1746" s="33"/>
      <c r="O1746" s="34"/>
    </row>
    <row r="1747" ht="22.5" customHeight="1">
      <c r="A1747" s="21" t="s">
        <v>3712</v>
      </c>
      <c r="B1747" s="21" t="s">
        <v>47</v>
      </c>
      <c r="C1747" s="21" t="str">
        <f t="array" ref="C1747">XLOOKUP(B1747,Customer[Customer_ID],Customer[Name(Cleaned)])</f>
        <v>Daniel Boyd</v>
      </c>
      <c r="D1747" s="22" t="str">
        <f>VLOOKUP(B1747,Customer[#ALL],6)</f>
        <v>Male</v>
      </c>
      <c r="E1747" s="23">
        <f>Sales[Order_Date]</f>
        <v>45800</v>
      </c>
      <c r="F1747" s="21" t="str">
        <f>Sales[Store_ID]</f>
        <v>STORE15</v>
      </c>
      <c r="G1747" s="21" t="str">
        <f t="array" ref="G1747">INDEX(Store[Store_Name],MATCH(F1747,Store[Store_ID],0))</f>
        <v>Shelton PLC</v>
      </c>
      <c r="H1747" s="21" t="str">
        <f>Sales[Product_ID]</f>
        <v>PROD67</v>
      </c>
      <c r="I1747" s="21" t="str">
        <f>VLOOKUP(H1747,Products[],2)</f>
        <v>Smart LED Light Strip</v>
      </c>
      <c r="J1747" s="24">
        <f>Sales[Total_Amount]</f>
        <v>502.1086</v>
      </c>
      <c r="K1747" s="21" t="str">
        <f t="shared" si="1"/>
        <v>May</v>
      </c>
      <c r="L1747" s="21">
        <f t="shared" si="2"/>
        <v>2025</v>
      </c>
      <c r="N1747" s="33"/>
      <c r="O1747" s="34"/>
    </row>
    <row r="1748" ht="22.5" customHeight="1">
      <c r="A1748" s="21" t="s">
        <v>3713</v>
      </c>
      <c r="B1748" s="21" t="s">
        <v>263</v>
      </c>
      <c r="C1748" s="21" t="str">
        <f t="array" ref="C1748">XLOOKUP(B1748,Customer[Customer_ID],Customer[Name(Cleaned)])</f>
        <v>Roy Cole</v>
      </c>
      <c r="D1748" s="22" t="str">
        <f>VLOOKUP(B1748,Customer[#ALL],6)</f>
        <v>Male</v>
      </c>
      <c r="E1748" s="23">
        <f>Sales[Order_Date]</f>
        <v>45762</v>
      </c>
      <c r="F1748" s="21" t="str">
        <f>Sales[Store_ID]</f>
        <v>STORE17</v>
      </c>
      <c r="G1748" s="21" t="str">
        <f t="array" ref="G1748">INDEX(Store[Store_Name],MATCH(F1748,Store[Store_ID],0))</f>
        <v>Holloway Ltd</v>
      </c>
      <c r="H1748" s="21" t="str">
        <f>Sales[Product_ID]</f>
        <v>PROD25</v>
      </c>
      <c r="I1748" s="21" t="str">
        <f>VLOOKUP(H1748,Products[],2)</f>
        <v>Women's Scarf Set</v>
      </c>
      <c r="J1748" s="24">
        <f>Sales[Total_Amount]</f>
        <v>2148.8544</v>
      </c>
      <c r="K1748" s="21" t="str">
        <f t="shared" si="1"/>
        <v>Apr</v>
      </c>
      <c r="L1748" s="21">
        <f t="shared" si="2"/>
        <v>2025</v>
      </c>
      <c r="N1748" s="33"/>
      <c r="O1748" s="34"/>
    </row>
    <row r="1749" ht="22.5" customHeight="1">
      <c r="A1749" s="21" t="s">
        <v>3714</v>
      </c>
      <c r="B1749" s="21" t="s">
        <v>806</v>
      </c>
      <c r="C1749" s="21" t="str">
        <f t="array" ref="C1749">XLOOKUP(B1749,Customer[Customer_ID],Customer[Name(Cleaned)])</f>
        <v>Douglas Rhodes</v>
      </c>
      <c r="D1749" s="22" t="str">
        <f>VLOOKUP(B1749,Customer[#ALL],6)</f>
        <v>Female</v>
      </c>
      <c r="E1749" s="23">
        <f>Sales[Order_Date]</f>
        <v>45752</v>
      </c>
      <c r="F1749" s="21" t="str">
        <f>Sales[Store_ID]</f>
        <v>STORE4</v>
      </c>
      <c r="G1749" s="21" t="str">
        <f t="array" ref="G1749">INDEX(Store[Store_Name],MATCH(F1749,Store[Store_ID],0))</f>
        <v>Alexander Group</v>
      </c>
      <c r="H1749" s="21" t="str">
        <f>Sales[Product_ID]</f>
        <v>PROD10</v>
      </c>
      <c r="I1749" s="21" t="str">
        <f>VLOOKUP(H1749,Products[],2)</f>
        <v>Men's Graphic T-Shirt</v>
      </c>
      <c r="J1749" s="24">
        <f>Sales[Total_Amount]</f>
        <v>629.965</v>
      </c>
      <c r="K1749" s="21" t="str">
        <f t="shared" si="1"/>
        <v>Apr</v>
      </c>
      <c r="L1749" s="21">
        <f t="shared" si="2"/>
        <v>2025</v>
      </c>
      <c r="N1749" s="33"/>
      <c r="O1749" s="34"/>
    </row>
    <row r="1750" ht="22.5" customHeight="1">
      <c r="A1750" s="21" t="s">
        <v>3715</v>
      </c>
      <c r="B1750" s="21" t="s">
        <v>1113</v>
      </c>
      <c r="C1750" s="21" t="str">
        <f t="array" ref="C1750">XLOOKUP(B1750,Customer[Customer_ID],Customer[Name(Cleaned)])</f>
        <v>Charles Miller</v>
      </c>
      <c r="D1750" s="22" t="str">
        <f>VLOOKUP(B1750,Customer[#ALL],6)</f>
        <v>Female</v>
      </c>
      <c r="E1750" s="23">
        <f>Sales[Order_Date]</f>
        <v>45254</v>
      </c>
      <c r="F1750" s="21" t="str">
        <f>Sales[Store_ID]</f>
        <v>STORE19</v>
      </c>
      <c r="G1750" s="21" t="str">
        <f t="array" ref="G1750">INDEX(Store[Store_Name],MATCH(F1750,Store[Store_ID],0))</f>
        <v>Mann-Austin</v>
      </c>
      <c r="H1750" s="21" t="str">
        <f>Sales[Product_ID]</f>
        <v>PROD92</v>
      </c>
      <c r="I1750" s="21" t="str">
        <f>VLOOKUP(H1750,Products[],2)</f>
        <v>Microwave Oven</v>
      </c>
      <c r="J1750" s="24">
        <f>Sales[Total_Amount]</f>
        <v>624.4952</v>
      </c>
      <c r="K1750" s="21" t="str">
        <f t="shared" si="1"/>
        <v>Nov</v>
      </c>
      <c r="L1750" s="21">
        <f t="shared" si="2"/>
        <v>2023</v>
      </c>
      <c r="N1750" s="33"/>
      <c r="O1750" s="34"/>
    </row>
    <row r="1751" ht="22.5" customHeight="1">
      <c r="A1751" s="21" t="s">
        <v>3716</v>
      </c>
      <c r="B1751" s="21" t="s">
        <v>196</v>
      </c>
      <c r="C1751" s="21" t="str">
        <f t="array" ref="C1751">XLOOKUP(B1751,Customer[Customer_ID],Customer[Name(Cleaned)])</f>
        <v>Timothy Weaver</v>
      </c>
      <c r="D1751" s="22" t="str">
        <f>VLOOKUP(B1751,Customer[#ALL],6)</f>
        <v>Male</v>
      </c>
      <c r="E1751" s="23">
        <f>Sales[Order_Date]</f>
        <v>45683</v>
      </c>
      <c r="F1751" s="21" t="str">
        <f>Sales[Store_ID]</f>
        <v>STORE2</v>
      </c>
      <c r="G1751" s="21" t="str">
        <f t="array" ref="G1751">INDEX(Store[Store_Name],MATCH(F1751,Store[Store_ID],0))</f>
        <v>Black-Horn</v>
      </c>
      <c r="H1751" s="21" t="str">
        <f>Sales[Product_ID]</f>
        <v>PROD76</v>
      </c>
      <c r="I1751" s="21" t="str">
        <f>VLOOKUP(H1751,Products[],2)</f>
        <v>Wireless Mouse</v>
      </c>
      <c r="J1751" s="24">
        <f>Sales[Total_Amount]</f>
        <v>1383.2584</v>
      </c>
      <c r="K1751" s="21" t="str">
        <f t="shared" si="1"/>
        <v>Jan</v>
      </c>
      <c r="L1751" s="21">
        <f t="shared" si="2"/>
        <v>2025</v>
      </c>
      <c r="N1751" s="33"/>
      <c r="O1751" s="34"/>
    </row>
    <row r="1752" ht="22.5" customHeight="1">
      <c r="A1752" s="21" t="s">
        <v>3717</v>
      </c>
      <c r="B1752" s="21" t="s">
        <v>1285</v>
      </c>
      <c r="C1752" s="21" t="str">
        <f t="array" ref="C1752">XLOOKUP(B1752,Customer[Customer_ID],Customer[Name(Cleaned)])</f>
        <v>Isabel Foster</v>
      </c>
      <c r="D1752" s="22" t="str">
        <f>VLOOKUP(B1752,Customer[#ALL],6)</f>
        <v>Female</v>
      </c>
      <c r="E1752" s="23">
        <f>Sales[Order_Date]</f>
        <v>45804</v>
      </c>
      <c r="F1752" s="21" t="str">
        <f>Sales[Store_ID]</f>
        <v>STORE17</v>
      </c>
      <c r="G1752" s="21" t="str">
        <f t="array" ref="G1752">INDEX(Store[Store_Name],MATCH(F1752,Store[Store_ID],0))</f>
        <v>Holloway Ltd</v>
      </c>
      <c r="H1752" s="21" t="str">
        <f>Sales[Product_ID]</f>
        <v>PROD84</v>
      </c>
      <c r="I1752" s="21" t="str">
        <f>VLOOKUP(H1752,Products[],2)</f>
        <v>Wooden Bookshelf</v>
      </c>
      <c r="J1752" s="24">
        <f>Sales[Total_Amount]</f>
        <v>2081.9226</v>
      </c>
      <c r="K1752" s="21" t="str">
        <f t="shared" si="1"/>
        <v>May</v>
      </c>
      <c r="L1752" s="21">
        <f t="shared" si="2"/>
        <v>2025</v>
      </c>
      <c r="N1752" s="33"/>
      <c r="O1752" s="34"/>
    </row>
    <row r="1753" ht="22.5" customHeight="1">
      <c r="A1753" s="21" t="s">
        <v>3718</v>
      </c>
      <c r="B1753" s="21" t="s">
        <v>570</v>
      </c>
      <c r="C1753" s="21" t="str">
        <f t="array" ref="C1753">XLOOKUP(B1753,Customer[Customer_ID],Customer[Name(Cleaned)])</f>
        <v>Daniel Contreras</v>
      </c>
      <c r="D1753" s="22" t="str">
        <f>VLOOKUP(B1753,Customer[#ALL],6)</f>
        <v>Male</v>
      </c>
      <c r="E1753" s="23">
        <f>Sales[Order_Date]</f>
        <v>45821</v>
      </c>
      <c r="F1753" s="21" t="str">
        <f>Sales[Store_ID]</f>
        <v>STORE14</v>
      </c>
      <c r="G1753" s="21" t="str">
        <f t="array" ref="G1753">INDEX(Store[Store_Name],MATCH(F1753,Store[Store_ID],0))</f>
        <v>Mcdonald Inc</v>
      </c>
      <c r="H1753" s="21" t="str">
        <f>Sales[Product_ID]</f>
        <v>PROD94</v>
      </c>
      <c r="I1753" s="21" t="str">
        <f>VLOOKUP(H1753,Products[],2)</f>
        <v>Vitamin E Body Lotion</v>
      </c>
      <c r="J1753" s="24">
        <f>Sales[Total_Amount]</f>
        <v>251.0442</v>
      </c>
      <c r="K1753" s="21" t="str">
        <f t="shared" si="1"/>
        <v>Jun</v>
      </c>
      <c r="L1753" s="21">
        <f t="shared" si="2"/>
        <v>2025</v>
      </c>
      <c r="N1753" s="33"/>
      <c r="O1753" s="34"/>
    </row>
    <row r="1754" ht="22.5" customHeight="1">
      <c r="A1754" s="21" t="s">
        <v>3719</v>
      </c>
      <c r="B1754" s="21" t="s">
        <v>788</v>
      </c>
      <c r="C1754" s="21" t="str">
        <f t="array" ref="C1754">XLOOKUP(B1754,Customer[Customer_ID],Customer[Name(Cleaned)])</f>
        <v>Mr. William Horton</v>
      </c>
      <c r="D1754" s="22" t="str">
        <f>VLOOKUP(B1754,Customer[#ALL],6)</f>
        <v>Female</v>
      </c>
      <c r="E1754" s="23">
        <f>Sales[Order_Date]</f>
        <v>45472</v>
      </c>
      <c r="F1754" s="21" t="str">
        <f>Sales[Store_ID]</f>
        <v>STORE4</v>
      </c>
      <c r="G1754" s="21" t="str">
        <f t="array" ref="G1754">INDEX(Store[Store_Name],MATCH(F1754,Store[Store_ID],0))</f>
        <v>Alexander Group</v>
      </c>
      <c r="H1754" s="21" t="str">
        <f>Sales[Product_ID]</f>
        <v>PROD20</v>
      </c>
      <c r="I1754" s="21" t="str">
        <f>VLOOKUP(H1754,Products[],2)</f>
        <v>Outdoor Sports Water Bottle</v>
      </c>
      <c r="J1754" s="24">
        <f>Sales[Total_Amount]</f>
        <v>1936.7025</v>
      </c>
      <c r="K1754" s="21" t="str">
        <f t="shared" si="1"/>
        <v>Jun</v>
      </c>
      <c r="L1754" s="21">
        <f t="shared" si="2"/>
        <v>2024</v>
      </c>
      <c r="N1754" s="33"/>
      <c r="O1754" s="34"/>
    </row>
    <row r="1755" ht="22.5" customHeight="1">
      <c r="A1755" s="21" t="s">
        <v>3720</v>
      </c>
      <c r="B1755" s="21" t="s">
        <v>1152</v>
      </c>
      <c r="C1755" s="21" t="str">
        <f t="array" ref="C1755">XLOOKUP(B1755,Customer[Customer_ID],Customer[Name(Cleaned)])</f>
        <v>Elizabeth Smith</v>
      </c>
      <c r="D1755" s="22" t="str">
        <f>VLOOKUP(B1755,Customer[#ALL],6)</f>
        <v>Female</v>
      </c>
      <c r="E1755" s="23">
        <f>Sales[Order_Date]</f>
        <v>45331</v>
      </c>
      <c r="F1755" s="21" t="str">
        <f>Sales[Store_ID]</f>
        <v>STORE12</v>
      </c>
      <c r="G1755" s="21" t="str">
        <f t="array" ref="G1755">INDEX(Store[Store_Name],MATCH(F1755,Store[Store_ID],0))</f>
        <v>Thomas, Bridges and Harris</v>
      </c>
      <c r="H1755" s="21" t="str">
        <f>Sales[Product_ID]</f>
        <v>PROD91</v>
      </c>
      <c r="I1755" s="21" t="str">
        <f>VLOOKUP(H1755,Products[],2)</f>
        <v>Women's High Heels</v>
      </c>
      <c r="J1755" s="24">
        <f>Sales[Total_Amount]</f>
        <v>363.0998</v>
      </c>
      <c r="K1755" s="21" t="str">
        <f t="shared" si="1"/>
        <v>Feb</v>
      </c>
      <c r="L1755" s="21">
        <f t="shared" si="2"/>
        <v>2024</v>
      </c>
      <c r="N1755" s="33"/>
      <c r="O1755" s="34"/>
    </row>
    <row r="1756" ht="22.5" customHeight="1">
      <c r="A1756" s="21" t="s">
        <v>3721</v>
      </c>
      <c r="B1756" s="21" t="s">
        <v>155</v>
      </c>
      <c r="C1756" s="21" t="str">
        <f t="array" ref="C1756">XLOOKUP(B1756,Customer[Customer_ID],Customer[Name(Cleaned)])</f>
        <v>Christopher Carter</v>
      </c>
      <c r="D1756" s="22" t="str">
        <f>VLOOKUP(B1756,Customer[#ALL],6)</f>
        <v>Male</v>
      </c>
      <c r="E1756" s="23">
        <f>Sales[Order_Date]</f>
        <v>45451</v>
      </c>
      <c r="F1756" s="21" t="str">
        <f>Sales[Store_ID]</f>
        <v>STORE15</v>
      </c>
      <c r="G1756" s="21" t="str">
        <f t="array" ref="G1756">INDEX(Store[Store_Name],MATCH(F1756,Store[Store_ID],0))</f>
        <v>Shelton PLC</v>
      </c>
      <c r="H1756" s="21" t="str">
        <f>Sales[Product_ID]</f>
        <v>PROD78</v>
      </c>
      <c r="I1756" s="21" t="str">
        <f>VLOOKUP(H1756,Products[],2)</f>
        <v>Essential Oil Diffuser</v>
      </c>
      <c r="J1756" s="24">
        <f>Sales[Total_Amount]</f>
        <v>1247.4552</v>
      </c>
      <c r="K1756" s="21" t="str">
        <f t="shared" si="1"/>
        <v>Jun</v>
      </c>
      <c r="L1756" s="21">
        <f t="shared" si="2"/>
        <v>2024</v>
      </c>
      <c r="N1756" s="33"/>
      <c r="O1756" s="34"/>
    </row>
    <row r="1757" ht="22.5" customHeight="1">
      <c r="A1757" s="21" t="s">
        <v>3722</v>
      </c>
      <c r="B1757" s="21" t="s">
        <v>782</v>
      </c>
      <c r="C1757" s="21" t="str">
        <f t="array" ref="C1757">XLOOKUP(B1757,Customer[Customer_ID],Customer[Name(Cleaned)])</f>
        <v>Maria Hill</v>
      </c>
      <c r="D1757" s="22" t="str">
        <f>VLOOKUP(B1757,Customer[#ALL],6)</f>
        <v>Male</v>
      </c>
      <c r="E1757" s="23">
        <f>Sales[Order_Date]</f>
        <v>45386</v>
      </c>
      <c r="F1757" s="21" t="str">
        <f>Sales[Store_ID]</f>
        <v>STORE3</v>
      </c>
      <c r="G1757" s="21" t="str">
        <f t="array" ref="G1757">INDEX(Store[Store_Name],MATCH(F1757,Store[Store_ID],0))</f>
        <v>Johnson-Wright</v>
      </c>
      <c r="H1757" s="21" t="str">
        <f>Sales[Product_ID]</f>
        <v>PROD86</v>
      </c>
      <c r="I1757" s="21" t="str">
        <f>VLOOKUP(H1757,Products[],2)</f>
        <v>Kitchen Cutting Board</v>
      </c>
      <c r="J1757" s="24">
        <f>Sales[Total_Amount]</f>
        <v>1228.8078</v>
      </c>
      <c r="K1757" s="21" t="str">
        <f t="shared" si="1"/>
        <v>Apr</v>
      </c>
      <c r="L1757" s="21">
        <f t="shared" si="2"/>
        <v>2024</v>
      </c>
      <c r="N1757" s="33"/>
      <c r="O1757" s="34"/>
    </row>
    <row r="1758" ht="22.5" customHeight="1">
      <c r="A1758" s="21" t="s">
        <v>3723</v>
      </c>
      <c r="B1758" s="21" t="s">
        <v>730</v>
      </c>
      <c r="C1758" s="21" t="str">
        <f t="array" ref="C1758">XLOOKUP(B1758,Customer[Customer_ID],Customer[Name(Cleaned)])</f>
        <v>Lisa Young</v>
      </c>
      <c r="D1758" s="22" t="str">
        <f>VLOOKUP(B1758,Customer[#ALL],6)</f>
        <v>Female</v>
      </c>
      <c r="E1758" s="23">
        <f>Sales[Order_Date]</f>
        <v>45609</v>
      </c>
      <c r="F1758" s="21" t="str">
        <f>Sales[Store_ID]</f>
        <v>STORE8</v>
      </c>
      <c r="G1758" s="21" t="str">
        <f t="array" ref="G1758">INDEX(Store[Store_Name],MATCH(F1758,Store[Store_ID],0))</f>
        <v>Bean, Jones and Park</v>
      </c>
      <c r="H1758" s="21" t="str">
        <f>Sales[Product_ID]</f>
        <v>PROD83</v>
      </c>
      <c r="I1758" s="21" t="str">
        <f>VLOOKUP(H1758,Products[],2)</f>
        <v>Hydrating Face Cleanser</v>
      </c>
      <c r="J1758" s="24">
        <f>Sales[Total_Amount]</f>
        <v>1512.924</v>
      </c>
      <c r="K1758" s="21" t="str">
        <f t="shared" si="1"/>
        <v>Nov</v>
      </c>
      <c r="L1758" s="21">
        <f t="shared" si="2"/>
        <v>2024</v>
      </c>
      <c r="N1758" s="33"/>
      <c r="O1758" s="34"/>
    </row>
    <row r="1759" ht="22.5" customHeight="1">
      <c r="A1759" s="21" t="s">
        <v>3724</v>
      </c>
      <c r="B1759" s="21" t="s">
        <v>1540</v>
      </c>
      <c r="C1759" s="21" t="str">
        <f t="array" ref="C1759">XLOOKUP(B1759,Customer[Customer_ID],Customer[Name(Cleaned)])</f>
        <v>Christopher Ford</v>
      </c>
      <c r="D1759" s="22" t="str">
        <f>VLOOKUP(B1759,Customer[#ALL],6)</f>
        <v>Female</v>
      </c>
      <c r="E1759" s="23">
        <f>Sales[Order_Date]</f>
        <v>45477</v>
      </c>
      <c r="F1759" s="21" t="str">
        <f>Sales[Store_ID]</f>
        <v>STORE14</v>
      </c>
      <c r="G1759" s="21" t="str">
        <f t="array" ref="G1759">INDEX(Store[Store_Name],MATCH(F1759,Store[Store_ID],0))</f>
        <v>Mcdonald Inc</v>
      </c>
      <c r="H1759" s="21" t="str">
        <f>Sales[Product_ID]</f>
        <v>PROD89</v>
      </c>
      <c r="I1759" s="21" t="str">
        <f>VLOOKUP(H1759,Products[],2)</f>
        <v>Face Foundation Kit</v>
      </c>
      <c r="J1759" s="24">
        <f>Sales[Total_Amount]</f>
        <v>261.58</v>
      </c>
      <c r="K1759" s="21" t="str">
        <f t="shared" si="1"/>
        <v>Jul</v>
      </c>
      <c r="L1759" s="21">
        <f t="shared" si="2"/>
        <v>2024</v>
      </c>
      <c r="N1759" s="33"/>
      <c r="O1759" s="34"/>
    </row>
    <row r="1760" ht="22.5" customHeight="1">
      <c r="A1760" s="21" t="s">
        <v>3725</v>
      </c>
      <c r="B1760" s="21" t="s">
        <v>1537</v>
      </c>
      <c r="C1760" s="21" t="str">
        <f t="array" ref="C1760">XLOOKUP(B1760,Customer[Customer_ID],Customer[Name(Cleaned)])</f>
        <v>James Berger</v>
      </c>
      <c r="D1760" s="22" t="str">
        <f>VLOOKUP(B1760,Customer[#ALL],6)</f>
        <v>Male</v>
      </c>
      <c r="E1760" s="23">
        <f>Sales[Order_Date]</f>
        <v>45433</v>
      </c>
      <c r="F1760" s="21" t="str">
        <f>Sales[Store_ID]</f>
        <v>STORE12</v>
      </c>
      <c r="G1760" s="21" t="str">
        <f t="array" ref="G1760">INDEX(Store[Store_Name],MATCH(F1760,Store[Store_ID],0))</f>
        <v>Thomas, Bridges and Harris</v>
      </c>
      <c r="H1760" s="21" t="str">
        <f>Sales[Product_ID]</f>
        <v>PROD40</v>
      </c>
      <c r="I1760" s="21" t="str">
        <f>VLOOKUP(H1760,Products[],2)</f>
        <v>Noise-Canceling Headphones</v>
      </c>
      <c r="J1760" s="24">
        <f>Sales[Total_Amount]</f>
        <v>368.8328</v>
      </c>
      <c r="K1760" s="21" t="str">
        <f t="shared" si="1"/>
        <v>May</v>
      </c>
      <c r="L1760" s="21">
        <f t="shared" si="2"/>
        <v>2024</v>
      </c>
      <c r="N1760" s="33"/>
      <c r="O1760" s="34"/>
    </row>
    <row r="1761" ht="22.5" customHeight="1">
      <c r="A1761" s="21" t="s">
        <v>3726</v>
      </c>
      <c r="B1761" s="21" t="s">
        <v>1308</v>
      </c>
      <c r="C1761" s="21" t="str">
        <f t="array" ref="C1761">XLOOKUP(B1761,Customer[Customer_ID],Customer[Name(Cleaned)])</f>
        <v>Jennifer Myers</v>
      </c>
      <c r="D1761" s="22" t="str">
        <f>VLOOKUP(B1761,Customer[#ALL],6)</f>
        <v>Female</v>
      </c>
      <c r="E1761" s="23">
        <f>Sales[Order_Date]</f>
        <v>45759</v>
      </c>
      <c r="F1761" s="21" t="str">
        <f>Sales[Store_ID]</f>
        <v>STORE7</v>
      </c>
      <c r="G1761" s="21" t="str">
        <f t="array" ref="G1761">INDEX(Store[Store_Name],MATCH(F1761,Store[Store_ID],0))</f>
        <v>Martinez-Mullins</v>
      </c>
      <c r="H1761" s="21" t="str">
        <f>Sales[Product_ID]</f>
        <v>PROD98</v>
      </c>
      <c r="I1761" s="21" t="str">
        <f>VLOOKUP(H1761,Products[],2)</f>
        <v>Portable Bluetooth Speaker</v>
      </c>
      <c r="J1761" s="24">
        <f>Sales[Total_Amount]</f>
        <v>312.6736</v>
      </c>
      <c r="K1761" s="21" t="str">
        <f t="shared" si="1"/>
        <v>Apr</v>
      </c>
      <c r="L1761" s="21">
        <f t="shared" si="2"/>
        <v>2025</v>
      </c>
      <c r="N1761" s="33"/>
      <c r="O1761" s="34"/>
    </row>
    <row r="1762" ht="22.5" customHeight="1">
      <c r="A1762" s="21" t="s">
        <v>3727</v>
      </c>
      <c r="B1762" s="21" t="s">
        <v>1477</v>
      </c>
      <c r="C1762" s="21" t="str">
        <f t="array" ref="C1762">XLOOKUP(B1762,Customer[Customer_ID],Customer[Name(Cleaned)])</f>
        <v>Joshua Howard</v>
      </c>
      <c r="D1762" s="22" t="str">
        <f>VLOOKUP(B1762,Customer[#ALL],6)</f>
        <v>Male</v>
      </c>
      <c r="E1762" s="23">
        <f>Sales[Order_Date]</f>
        <v>45794</v>
      </c>
      <c r="F1762" s="21" t="str">
        <f>Sales[Store_ID]</f>
        <v>STORE18</v>
      </c>
      <c r="G1762" s="21" t="str">
        <f t="array" ref="G1762">INDEX(Store[Store_Name],MATCH(F1762,Store[Store_ID],0))</f>
        <v>Guerrero-Schmitt</v>
      </c>
      <c r="H1762" s="21" t="str">
        <f>Sales[Product_ID]</f>
        <v>PROD99</v>
      </c>
      <c r="I1762" s="21" t="str">
        <f>VLOOKUP(H1762,Products[],2)</f>
        <v>Stainless Steel Cookware Set</v>
      </c>
      <c r="J1762" s="24">
        <f>Sales[Total_Amount]</f>
        <v>846.9846</v>
      </c>
      <c r="K1762" s="21" t="str">
        <f t="shared" si="1"/>
        <v>May</v>
      </c>
      <c r="L1762" s="21">
        <f t="shared" si="2"/>
        <v>2025</v>
      </c>
      <c r="N1762" s="33"/>
      <c r="O1762" s="34"/>
    </row>
    <row r="1763" ht="22.5" customHeight="1">
      <c r="A1763" s="21" t="s">
        <v>3728</v>
      </c>
      <c r="B1763" s="21" t="s">
        <v>1194</v>
      </c>
      <c r="C1763" s="21" t="str">
        <f t="array" ref="C1763">XLOOKUP(B1763,Customer[Customer_ID],Customer[Name(Cleaned)])</f>
        <v>Charles Conley</v>
      </c>
      <c r="D1763" s="22" t="str">
        <f>VLOOKUP(B1763,Customer[#ALL],6)</f>
        <v>Male</v>
      </c>
      <c r="E1763" s="23">
        <f>Sales[Order_Date]</f>
        <v>45764</v>
      </c>
      <c r="F1763" s="21" t="str">
        <f>Sales[Store_ID]</f>
        <v>STORE18</v>
      </c>
      <c r="G1763" s="21" t="str">
        <f t="array" ref="G1763">INDEX(Store[Store_Name],MATCH(F1763,Store[Store_ID],0))</f>
        <v>Guerrero-Schmitt</v>
      </c>
      <c r="H1763" s="21" t="str">
        <f>Sales[Product_ID]</f>
        <v>PROD70</v>
      </c>
      <c r="I1763" s="21" t="str">
        <f>VLOOKUP(H1763,Products[],2)</f>
        <v>Kitchen Storage Rack</v>
      </c>
      <c r="J1763" s="24">
        <f>Sales[Total_Amount]</f>
        <v>823.275</v>
      </c>
      <c r="K1763" s="21" t="str">
        <f t="shared" si="1"/>
        <v>Apr</v>
      </c>
      <c r="L1763" s="21">
        <f t="shared" si="2"/>
        <v>2025</v>
      </c>
      <c r="N1763" s="33"/>
      <c r="O1763" s="34"/>
    </row>
    <row r="1764" ht="22.5" customHeight="1">
      <c r="A1764" s="21" t="s">
        <v>3729</v>
      </c>
      <c r="B1764" s="21" t="s">
        <v>196</v>
      </c>
      <c r="C1764" s="21" t="str">
        <f t="array" ref="C1764">XLOOKUP(B1764,Customer[Customer_ID],Customer[Name(Cleaned)])</f>
        <v>Timothy Weaver</v>
      </c>
      <c r="D1764" s="22" t="str">
        <f>VLOOKUP(B1764,Customer[#ALL],6)</f>
        <v>Male</v>
      </c>
      <c r="E1764" s="23">
        <f>Sales[Order_Date]</f>
        <v>45279</v>
      </c>
      <c r="F1764" s="21" t="str">
        <f>Sales[Store_ID]</f>
        <v>STORE13</v>
      </c>
      <c r="G1764" s="21" t="str">
        <f t="array" ref="G1764">INDEX(Store[Store_Name],MATCH(F1764,Store[Store_ID],0))</f>
        <v>Gardner, Humphrey and Contreras</v>
      </c>
      <c r="H1764" s="21" t="str">
        <f>Sales[Product_ID]</f>
        <v>PROD73</v>
      </c>
      <c r="I1764" s="21" t="str">
        <f>VLOOKUP(H1764,Products[],2)</f>
        <v>Shin Guards – Adult</v>
      </c>
      <c r="J1764" s="24">
        <f>Sales[Total_Amount]</f>
        <v>1646.388</v>
      </c>
      <c r="K1764" s="21" t="str">
        <f t="shared" si="1"/>
        <v>Dec</v>
      </c>
      <c r="L1764" s="21">
        <f t="shared" si="2"/>
        <v>2023</v>
      </c>
      <c r="N1764" s="33"/>
      <c r="O1764" s="34"/>
    </row>
    <row r="1765" ht="22.5" customHeight="1">
      <c r="A1765" s="21" t="s">
        <v>3730</v>
      </c>
      <c r="B1765" s="21" t="s">
        <v>941</v>
      </c>
      <c r="C1765" s="21" t="str">
        <f t="array" ref="C1765">XLOOKUP(B1765,Customer[Customer_ID],Customer[Name(Cleaned)])</f>
        <v>Ricardo Jones</v>
      </c>
      <c r="D1765" s="22" t="str">
        <f>VLOOKUP(B1765,Customer[#ALL],6)</f>
        <v>Female</v>
      </c>
      <c r="E1765" s="23">
        <f>Sales[Order_Date]</f>
        <v>45602</v>
      </c>
      <c r="F1765" s="21" t="str">
        <f>Sales[Store_ID]</f>
        <v>STORE3</v>
      </c>
      <c r="G1765" s="21" t="str">
        <f t="array" ref="G1765">INDEX(Store[Store_Name],MATCH(F1765,Store[Store_ID],0))</f>
        <v>Johnson-Wright</v>
      </c>
      <c r="H1765" s="21" t="str">
        <f>Sales[Product_ID]</f>
        <v>PROD99</v>
      </c>
      <c r="I1765" s="21" t="str">
        <f>VLOOKUP(H1765,Products[],2)</f>
        <v>Stainless Steel Cookware Set</v>
      </c>
      <c r="J1765" s="24">
        <f>Sales[Total_Amount]</f>
        <v>1759.9428</v>
      </c>
      <c r="K1765" s="21" t="str">
        <f t="shared" si="1"/>
        <v>Nov</v>
      </c>
      <c r="L1765" s="21">
        <f t="shared" si="2"/>
        <v>2024</v>
      </c>
      <c r="N1765" s="33"/>
      <c r="O1765" s="34"/>
    </row>
    <row r="1766" ht="22.5" customHeight="1">
      <c r="A1766" s="21" t="s">
        <v>3731</v>
      </c>
      <c r="B1766" s="21" t="s">
        <v>597</v>
      </c>
      <c r="C1766" s="21" t="str">
        <f t="array" ref="C1766">XLOOKUP(B1766,Customer[Customer_ID],Customer[Name(Cleaned)])</f>
        <v>Curtis Lam</v>
      </c>
      <c r="D1766" s="22" t="str">
        <f>VLOOKUP(B1766,Customer[#ALL],6)</f>
        <v>Female</v>
      </c>
      <c r="E1766" s="23">
        <f>Sales[Order_Date]</f>
        <v>45793</v>
      </c>
      <c r="F1766" s="21" t="str">
        <f>Sales[Store_ID]</f>
        <v>STORE19</v>
      </c>
      <c r="G1766" s="21" t="str">
        <f t="array" ref="G1766">INDEX(Store[Store_Name],MATCH(F1766,Store[Store_ID],0))</f>
        <v>Mann-Austin</v>
      </c>
      <c r="H1766" s="21" t="str">
        <f>Sales[Product_ID]</f>
        <v>PROD37</v>
      </c>
      <c r="I1766" s="21" t="str">
        <f>VLOOKUP(H1766,Products[],2)</f>
        <v>Men's Casual Sneakers</v>
      </c>
      <c r="J1766" s="24">
        <f>Sales[Total_Amount]</f>
        <v>427.5876</v>
      </c>
      <c r="K1766" s="21" t="str">
        <f t="shared" si="1"/>
        <v>May</v>
      </c>
      <c r="L1766" s="21">
        <f t="shared" si="2"/>
        <v>2025</v>
      </c>
      <c r="N1766" s="33"/>
      <c r="O1766" s="34"/>
    </row>
    <row r="1767" ht="22.5" customHeight="1">
      <c r="A1767" s="21" t="s">
        <v>3732</v>
      </c>
      <c r="B1767" s="21" t="s">
        <v>1480</v>
      </c>
      <c r="C1767" s="21" t="str">
        <f t="array" ref="C1767">XLOOKUP(B1767,Customer[Customer_ID],Customer[Name(Cleaned)])</f>
        <v>Barbara Berry</v>
      </c>
      <c r="D1767" s="22" t="str">
        <f>VLOOKUP(B1767,Customer[#ALL],6)</f>
        <v>Male</v>
      </c>
      <c r="E1767" s="23">
        <f>Sales[Order_Date]</f>
        <v>45778</v>
      </c>
      <c r="F1767" s="21" t="str">
        <f>Sales[Store_ID]</f>
        <v>STORE4</v>
      </c>
      <c r="G1767" s="21" t="str">
        <f t="array" ref="G1767">INDEX(Store[Store_Name],MATCH(F1767,Store[Store_ID],0))</f>
        <v>Alexander Group</v>
      </c>
      <c r="H1767" s="21" t="str">
        <f>Sales[Product_ID]</f>
        <v>PROD73</v>
      </c>
      <c r="I1767" s="21" t="str">
        <f>VLOOKUP(H1767,Products[],2)</f>
        <v>Shin Guards – Adult</v>
      </c>
      <c r="J1767" s="24">
        <f>Sales[Total_Amount]</f>
        <v>2168.64</v>
      </c>
      <c r="K1767" s="21" t="str">
        <f t="shared" si="1"/>
        <v>May</v>
      </c>
      <c r="L1767" s="21">
        <f t="shared" si="2"/>
        <v>2025</v>
      </c>
      <c r="N1767" s="33"/>
      <c r="O1767" s="34"/>
    </row>
    <row r="1768" ht="22.5" customHeight="1">
      <c r="A1768" s="21" t="s">
        <v>3733</v>
      </c>
      <c r="B1768" s="21" t="s">
        <v>1173</v>
      </c>
      <c r="C1768" s="21" t="str">
        <f t="array" ref="C1768">XLOOKUP(B1768,Customer[Customer_ID],Customer[Name(Cleaned)])</f>
        <v>James Holloway Jr.</v>
      </c>
      <c r="D1768" s="22" t="str">
        <f>VLOOKUP(B1768,Customer[#ALL],6)</f>
        <v>Female</v>
      </c>
      <c r="E1768" s="23">
        <f>Sales[Order_Date]</f>
        <v>45325</v>
      </c>
      <c r="F1768" s="21" t="str">
        <f>Sales[Store_ID]</f>
        <v>STORE5</v>
      </c>
      <c r="G1768" s="21" t="str">
        <f t="array" ref="G1768">INDEX(Store[Store_Name],MATCH(F1768,Store[Store_ID],0))</f>
        <v>Gray Ltd</v>
      </c>
      <c r="H1768" s="21" t="str">
        <f>Sales[Product_ID]</f>
        <v>PROD5</v>
      </c>
      <c r="I1768" s="21" t="str">
        <f>VLOOKUP(H1768,Products[],2)</f>
        <v>Men's Roll-On Perfume</v>
      </c>
      <c r="J1768" s="24">
        <f>Sales[Total_Amount]</f>
        <v>1245.119</v>
      </c>
      <c r="K1768" s="21" t="str">
        <f t="shared" si="1"/>
        <v>Feb</v>
      </c>
      <c r="L1768" s="21">
        <f t="shared" si="2"/>
        <v>2024</v>
      </c>
      <c r="N1768" s="33"/>
      <c r="O1768" s="34"/>
    </row>
    <row r="1769" ht="22.5" customHeight="1">
      <c r="A1769" s="21" t="s">
        <v>3734</v>
      </c>
      <c r="B1769" s="21" t="s">
        <v>410</v>
      </c>
      <c r="C1769" s="21" t="str">
        <f t="array" ref="C1769">XLOOKUP(B1769,Customer[Customer_ID],Customer[Name(Cleaned)])</f>
        <v>Tyler Conrad</v>
      </c>
      <c r="D1769" s="22" t="str">
        <f>VLOOKUP(B1769,Customer[#ALL],6)</f>
        <v>Male</v>
      </c>
      <c r="E1769" s="23">
        <f>Sales[Order_Date]</f>
        <v>45268</v>
      </c>
      <c r="F1769" s="21" t="str">
        <f>Sales[Store_ID]</f>
        <v>STORE2</v>
      </c>
      <c r="G1769" s="21" t="str">
        <f t="array" ref="G1769">INDEX(Store[Store_Name],MATCH(F1769,Store[Store_ID],0))</f>
        <v>Black-Horn</v>
      </c>
      <c r="H1769" s="21" t="str">
        <f>Sales[Product_ID]</f>
        <v>PROD21</v>
      </c>
      <c r="I1769" s="21" t="str">
        <f>VLOOKUP(H1769,Products[],2)</f>
        <v>Multi-Purpose Storage Box</v>
      </c>
      <c r="J1769" s="24">
        <f>Sales[Total_Amount]</f>
        <v>289.9945</v>
      </c>
      <c r="K1769" s="21" t="str">
        <f t="shared" si="1"/>
        <v>Dec</v>
      </c>
      <c r="L1769" s="21">
        <f t="shared" si="2"/>
        <v>2023</v>
      </c>
      <c r="N1769" s="33"/>
      <c r="O1769" s="34"/>
    </row>
    <row r="1770" ht="22.5" customHeight="1">
      <c r="A1770" s="21" t="s">
        <v>3735</v>
      </c>
      <c r="B1770" s="21" t="s">
        <v>1441</v>
      </c>
      <c r="C1770" s="21" t="str">
        <f t="array" ref="C1770">XLOOKUP(B1770,Customer[Customer_ID],Customer[Name(Cleaned)])</f>
        <v>Beth Martin</v>
      </c>
      <c r="D1770" s="22" t="str">
        <f>VLOOKUP(B1770,Customer[#ALL],6)</f>
        <v>Male</v>
      </c>
      <c r="E1770" s="23">
        <f>Sales[Order_Date]</f>
        <v>45875</v>
      </c>
      <c r="F1770" s="21" t="str">
        <f>Sales[Store_ID]</f>
        <v>STORE10</v>
      </c>
      <c r="G1770" s="21" t="str">
        <f t="array" ref="G1770">INDEX(Store[Store_Name],MATCH(F1770,Store[Store_ID],0))</f>
        <v>Hill, Wagner and Ballard</v>
      </c>
      <c r="H1770" s="21" t="str">
        <f>Sales[Product_ID]</f>
        <v>PROD82</v>
      </c>
      <c r="I1770" s="21" t="str">
        <f>VLOOKUP(H1770,Products[],2)</f>
        <v>Fitness Resistance Bands</v>
      </c>
      <c r="J1770" s="24">
        <f>Sales[Total_Amount]</f>
        <v>1146.082</v>
      </c>
      <c r="K1770" s="21" t="str">
        <f t="shared" si="1"/>
        <v>Aug</v>
      </c>
      <c r="L1770" s="21">
        <f t="shared" si="2"/>
        <v>2025</v>
      </c>
      <c r="N1770" s="33"/>
      <c r="O1770" s="34"/>
    </row>
    <row r="1771" ht="22.5" customHeight="1">
      <c r="A1771" s="21" t="s">
        <v>3736</v>
      </c>
      <c r="B1771" s="21" t="s">
        <v>469</v>
      </c>
      <c r="C1771" s="21" t="str">
        <f t="array" ref="C1771">XLOOKUP(B1771,Customer[Customer_ID],Customer[Name(Cleaned)])</f>
        <v>Morgan Bowen</v>
      </c>
      <c r="D1771" s="22" t="str">
        <f>VLOOKUP(B1771,Customer[#ALL],6)</f>
        <v>Female</v>
      </c>
      <c r="E1771" s="23">
        <f>Sales[Order_Date]</f>
        <v>45320</v>
      </c>
      <c r="F1771" s="21" t="str">
        <f>Sales[Store_ID]</f>
        <v>STORE1</v>
      </c>
      <c r="G1771" s="21" t="str">
        <f t="array" ref="G1771">INDEX(Store[Store_Name],MATCH(F1771,Store[Store_ID],0))</f>
        <v>Martinez, Adkins and Johnson</v>
      </c>
      <c r="H1771" s="21" t="str">
        <f>Sales[Product_ID]</f>
        <v>PROD8</v>
      </c>
      <c r="I1771" s="21" t="str">
        <f>VLOOKUP(H1771,Products[],2)</f>
        <v>Decorative Lamp Shade</v>
      </c>
      <c r="J1771" s="24">
        <f>Sales[Total_Amount]</f>
        <v>868.4564</v>
      </c>
      <c r="K1771" s="21" t="str">
        <f t="shared" si="1"/>
        <v>Jan</v>
      </c>
      <c r="L1771" s="21">
        <f t="shared" si="2"/>
        <v>2024</v>
      </c>
      <c r="N1771" s="33"/>
      <c r="O1771" s="34"/>
    </row>
    <row r="1772" ht="22.5" customHeight="1">
      <c r="A1772" s="21" t="s">
        <v>3737</v>
      </c>
      <c r="B1772" s="21" t="s">
        <v>1459</v>
      </c>
      <c r="C1772" s="21" t="str">
        <f t="array" ref="C1772">XLOOKUP(B1772,Customer[Customer_ID],Customer[Name(Cleaned)])</f>
        <v>Gregory Curtis</v>
      </c>
      <c r="D1772" s="22" t="str">
        <f>VLOOKUP(B1772,Customer[#ALL],6)</f>
        <v>Female</v>
      </c>
      <c r="E1772" s="23">
        <f>Sales[Order_Date]</f>
        <v>45870</v>
      </c>
      <c r="F1772" s="21" t="str">
        <f>Sales[Store_ID]</f>
        <v>STORE15</v>
      </c>
      <c r="G1772" s="21" t="str">
        <f t="array" ref="G1772">INDEX(Store[Store_Name],MATCH(F1772,Store[Store_ID],0))</f>
        <v>Shelton PLC</v>
      </c>
      <c r="H1772" s="21" t="str">
        <f>Sales[Product_ID]</f>
        <v>PROD19</v>
      </c>
      <c r="I1772" s="21" t="str">
        <f>VLOOKUP(H1772,Products[],2)</f>
        <v>Knee Support Brace</v>
      </c>
      <c r="J1772" s="24">
        <f>Sales[Total_Amount]</f>
        <v>501.9168</v>
      </c>
      <c r="K1772" s="21" t="str">
        <f t="shared" si="1"/>
        <v>Aug</v>
      </c>
      <c r="L1772" s="21">
        <f t="shared" si="2"/>
        <v>2025</v>
      </c>
      <c r="N1772" s="33"/>
      <c r="O1772" s="34"/>
    </row>
    <row r="1773" ht="22.5" customHeight="1">
      <c r="A1773" s="21" t="s">
        <v>3738</v>
      </c>
      <c r="B1773" s="21" t="s">
        <v>690</v>
      </c>
      <c r="C1773" s="21" t="str">
        <f t="array" ref="C1773">XLOOKUP(B1773,Customer[Customer_ID],Customer[Name(Cleaned)])</f>
        <v>John Perez</v>
      </c>
      <c r="D1773" s="22" t="str">
        <f>VLOOKUP(B1773,Customer[#ALL],6)</f>
        <v>Female</v>
      </c>
      <c r="E1773" s="23">
        <f>Sales[Order_Date]</f>
        <v>45577</v>
      </c>
      <c r="F1773" s="21" t="str">
        <f>Sales[Store_ID]</f>
        <v>STORE18</v>
      </c>
      <c r="G1773" s="21" t="str">
        <f t="array" ref="G1773">INDEX(Store[Store_Name],MATCH(F1773,Store[Store_ID],0))</f>
        <v>Guerrero-Schmitt</v>
      </c>
      <c r="H1773" s="21" t="str">
        <f>Sales[Product_ID]</f>
        <v>PROD41</v>
      </c>
      <c r="I1773" s="21" t="str">
        <f>VLOOKUP(H1773,Products[],2)</f>
        <v>Yoga Exercise Mat</v>
      </c>
      <c r="J1773" s="24">
        <f>Sales[Total_Amount]</f>
        <v>927.927</v>
      </c>
      <c r="K1773" s="21" t="str">
        <f t="shared" si="1"/>
        <v>Oct</v>
      </c>
      <c r="L1773" s="21">
        <f t="shared" si="2"/>
        <v>2024</v>
      </c>
      <c r="N1773" s="33"/>
      <c r="O1773" s="34"/>
    </row>
    <row r="1774" ht="22.5" customHeight="1">
      <c r="A1774" s="21" t="s">
        <v>3739</v>
      </c>
      <c r="B1774" s="21" t="s">
        <v>558</v>
      </c>
      <c r="C1774" s="21" t="str">
        <f t="array" ref="C1774">XLOOKUP(B1774,Customer[Customer_ID],Customer[Name(Cleaned)])</f>
        <v>Daniel Rivas</v>
      </c>
      <c r="D1774" s="22" t="str">
        <f>VLOOKUP(B1774,Customer[#ALL],6)</f>
        <v>Male</v>
      </c>
      <c r="E1774" s="23">
        <f>Sales[Order_Date]</f>
        <v>45745</v>
      </c>
      <c r="F1774" s="21" t="str">
        <f>Sales[Store_ID]</f>
        <v>STORE0</v>
      </c>
      <c r="G1774" s="21" t="str">
        <f t="array" ref="G1774">INDEX(Store[Store_Name],MATCH(F1774,Store[Store_ID],0))</f>
        <v>Rivera-Warner</v>
      </c>
      <c r="H1774" s="21" t="str">
        <f>Sales[Product_ID]</f>
        <v>PROD42</v>
      </c>
      <c r="I1774" s="21" t="str">
        <f>VLOOKUP(H1774,Products[],2)</f>
        <v>Smart Home WiFi Camera</v>
      </c>
      <c r="J1774" s="24">
        <f>Sales[Total_Amount]</f>
        <v>2310.0987</v>
      </c>
      <c r="K1774" s="21" t="str">
        <f t="shared" si="1"/>
        <v>Mar</v>
      </c>
      <c r="L1774" s="21">
        <f t="shared" si="2"/>
        <v>2025</v>
      </c>
      <c r="N1774" s="33"/>
      <c r="O1774" s="34"/>
    </row>
    <row r="1775" ht="22.5" customHeight="1">
      <c r="A1775" s="21" t="s">
        <v>3740</v>
      </c>
      <c r="B1775" s="21" t="s">
        <v>1041</v>
      </c>
      <c r="C1775" s="21" t="str">
        <f t="array" ref="C1775">XLOOKUP(B1775,Customer[Customer_ID],Customer[Name(Cleaned)])</f>
        <v>Robert King</v>
      </c>
      <c r="D1775" s="22" t="str">
        <f>VLOOKUP(B1775,Customer[#ALL],6)</f>
        <v>Male</v>
      </c>
      <c r="E1775" s="23">
        <f>Sales[Order_Date]</f>
        <v>45772</v>
      </c>
      <c r="F1775" s="21" t="str">
        <f>Sales[Store_ID]</f>
        <v>STORE8</v>
      </c>
      <c r="G1775" s="21" t="str">
        <f t="array" ref="G1775">INDEX(Store[Store_Name],MATCH(F1775,Store[Store_ID],0))</f>
        <v>Bean, Jones and Park</v>
      </c>
      <c r="H1775" s="21" t="str">
        <f>Sales[Product_ID]</f>
        <v>PROD69</v>
      </c>
      <c r="I1775" s="21" t="str">
        <f>VLOOKUP(H1775,Products[],2)</f>
        <v>Men's Sports Shorts</v>
      </c>
      <c r="J1775" s="24">
        <f>Sales[Total_Amount]</f>
        <v>359.7783</v>
      </c>
      <c r="K1775" s="21" t="str">
        <f t="shared" si="1"/>
        <v>Apr</v>
      </c>
      <c r="L1775" s="21">
        <f t="shared" si="2"/>
        <v>2025</v>
      </c>
      <c r="N1775" s="33"/>
      <c r="O1775" s="34"/>
    </row>
    <row r="1776" ht="22.5" customHeight="1">
      <c r="A1776" s="21" t="s">
        <v>3741</v>
      </c>
      <c r="B1776" s="21" t="s">
        <v>206</v>
      </c>
      <c r="C1776" s="21" t="str">
        <f t="array" ref="C1776">XLOOKUP(B1776,Customer[Customer_ID],Customer[Name(Cleaned)])</f>
        <v>Debra Liu</v>
      </c>
      <c r="D1776" s="22" t="str">
        <f>VLOOKUP(B1776,Customer[#ALL],6)</f>
        <v>Female</v>
      </c>
      <c r="E1776" s="23">
        <f>Sales[Order_Date]</f>
        <v>45299</v>
      </c>
      <c r="F1776" s="21" t="str">
        <f>Sales[Store_ID]</f>
        <v>STORE16</v>
      </c>
      <c r="G1776" s="21" t="str">
        <f t="array" ref="G1776">INDEX(Store[Store_Name],MATCH(F1776,Store[Store_ID],0))</f>
        <v>Frederick-Wright</v>
      </c>
      <c r="H1776" s="21" t="str">
        <f>Sales[Product_ID]</f>
        <v>PROD51</v>
      </c>
      <c r="I1776" s="21" t="str">
        <f>VLOOKUP(H1776,Products[],2)</f>
        <v>HDMI Cable – 2m</v>
      </c>
      <c r="J1776" s="24">
        <f>Sales[Total_Amount]</f>
        <v>355.5342</v>
      </c>
      <c r="K1776" s="21" t="str">
        <f t="shared" si="1"/>
        <v>Jan</v>
      </c>
      <c r="L1776" s="21">
        <f t="shared" si="2"/>
        <v>2024</v>
      </c>
      <c r="N1776" s="33"/>
      <c r="O1776" s="34"/>
    </row>
    <row r="1777" ht="22.5" customHeight="1">
      <c r="A1777" s="21" t="s">
        <v>3742</v>
      </c>
      <c r="B1777" s="21" t="s">
        <v>395</v>
      </c>
      <c r="C1777" s="21" t="str">
        <f t="array" ref="C1777">XLOOKUP(B1777,Customer[Customer_ID],Customer[Name(Cleaned)])</f>
        <v>Ashley Griffin</v>
      </c>
      <c r="D1777" s="22" t="str">
        <f>VLOOKUP(B1777,Customer[#ALL],6)</f>
        <v>Male</v>
      </c>
      <c r="E1777" s="23">
        <f>Sales[Order_Date]</f>
        <v>45447</v>
      </c>
      <c r="F1777" s="21" t="str">
        <f>Sales[Store_ID]</f>
        <v>STORE17</v>
      </c>
      <c r="G1777" s="21" t="str">
        <f t="array" ref="G1777">INDEX(Store[Store_Name],MATCH(F1777,Store[Store_ID],0))</f>
        <v>Holloway Ltd</v>
      </c>
      <c r="H1777" s="21" t="str">
        <f>Sales[Product_ID]</f>
        <v>PROD8</v>
      </c>
      <c r="I1777" s="21" t="str">
        <f>VLOOKUP(H1777,Products[],2)</f>
        <v>Decorative Lamp Shade</v>
      </c>
      <c r="J1777" s="24">
        <f>Sales[Total_Amount]</f>
        <v>480.7536</v>
      </c>
      <c r="K1777" s="21" t="str">
        <f t="shared" si="1"/>
        <v>Jun</v>
      </c>
      <c r="L1777" s="21">
        <f t="shared" si="2"/>
        <v>2024</v>
      </c>
      <c r="N1777" s="33"/>
      <c r="O1777" s="34"/>
    </row>
    <row r="1778" ht="22.5" customHeight="1">
      <c r="A1778" s="21" t="s">
        <v>3743</v>
      </c>
      <c r="B1778" s="21" t="s">
        <v>355</v>
      </c>
      <c r="C1778" s="21" t="str">
        <f t="array" ref="C1778">XLOOKUP(B1778,Customer[Customer_ID],Customer[Name(Cleaned)])</f>
        <v>David Cobb</v>
      </c>
      <c r="D1778" s="22" t="str">
        <f>VLOOKUP(B1778,Customer[#ALL],6)</f>
        <v>Female</v>
      </c>
      <c r="E1778" s="23">
        <f>Sales[Order_Date]</f>
        <v>45717</v>
      </c>
      <c r="F1778" s="21" t="str">
        <f>Sales[Store_ID]</f>
        <v>STORE9</v>
      </c>
      <c r="G1778" s="21" t="str">
        <f t="array" ref="G1778">INDEX(Store[Store_Name],MATCH(F1778,Store[Store_ID],0))</f>
        <v>Moore, Padilla and Butler</v>
      </c>
      <c r="H1778" s="21" t="str">
        <f>Sales[Product_ID]</f>
        <v>PROD18</v>
      </c>
      <c r="I1778" s="21" t="str">
        <f>VLOOKUP(H1778,Products[],2)</f>
        <v>Women's Denim Jeans</v>
      </c>
      <c r="J1778" s="24">
        <f>Sales[Total_Amount]</f>
        <v>347.2536</v>
      </c>
      <c r="K1778" s="21" t="str">
        <f t="shared" si="1"/>
        <v>Mar</v>
      </c>
      <c r="L1778" s="21">
        <f t="shared" si="2"/>
        <v>2025</v>
      </c>
      <c r="N1778" s="33"/>
      <c r="O1778" s="34"/>
    </row>
    <row r="1779" ht="22.5" customHeight="1">
      <c r="A1779" s="21" t="s">
        <v>3744</v>
      </c>
      <c r="B1779" s="21" t="s">
        <v>770</v>
      </c>
      <c r="C1779" s="21" t="str">
        <f t="array" ref="C1779">XLOOKUP(B1779,Customer[Customer_ID],Customer[Name(Cleaned)])</f>
        <v>Jon Ortiz</v>
      </c>
      <c r="D1779" s="22" t="str">
        <f>VLOOKUP(B1779,Customer[#ALL],6)</f>
        <v>Male</v>
      </c>
      <c r="E1779" s="23">
        <f>Sales[Order_Date]</f>
        <v>45213</v>
      </c>
      <c r="F1779" s="21" t="str">
        <f>Sales[Store_ID]</f>
        <v>STORE11</v>
      </c>
      <c r="G1779" s="21" t="str">
        <f t="array" ref="G1779">INDEX(Store[Store_Name],MATCH(F1779,Store[Store_ID],0))</f>
        <v>Aguirre-Keller</v>
      </c>
      <c r="H1779" s="21" t="str">
        <f>Sales[Product_ID]</f>
        <v>PROD92</v>
      </c>
      <c r="I1779" s="21" t="str">
        <f>VLOOKUP(H1779,Products[],2)</f>
        <v>Microwave Oven</v>
      </c>
      <c r="J1779" s="24">
        <f>Sales[Total_Amount]</f>
        <v>84.852</v>
      </c>
      <c r="K1779" s="21" t="str">
        <f t="shared" si="1"/>
        <v>Oct</v>
      </c>
      <c r="L1779" s="21">
        <f t="shared" si="2"/>
        <v>2023</v>
      </c>
      <c r="N1779" s="33"/>
      <c r="O1779" s="34"/>
    </row>
    <row r="1780" ht="22.5" customHeight="1">
      <c r="A1780" s="21" t="s">
        <v>3745</v>
      </c>
      <c r="B1780" s="21" t="s">
        <v>628</v>
      </c>
      <c r="C1780" s="21" t="str">
        <f t="array" ref="C1780">XLOOKUP(B1780,Customer[Customer_ID],Customer[Name(Cleaned)])</f>
        <v>Dr. Suzanne Bullock</v>
      </c>
      <c r="D1780" s="22" t="str">
        <f>VLOOKUP(B1780,Customer[#ALL],6)</f>
        <v>Male</v>
      </c>
      <c r="E1780" s="23">
        <f>Sales[Order_Date]</f>
        <v>45781</v>
      </c>
      <c r="F1780" s="21" t="str">
        <f>Sales[Store_ID]</f>
        <v>STORE5</v>
      </c>
      <c r="G1780" s="21" t="str">
        <f t="array" ref="G1780">INDEX(Store[Store_Name],MATCH(F1780,Store[Store_ID],0))</f>
        <v>Gray Ltd</v>
      </c>
      <c r="H1780" s="21" t="str">
        <f>Sales[Product_ID]</f>
        <v>PROD99</v>
      </c>
      <c r="I1780" s="21" t="str">
        <f>VLOOKUP(H1780,Products[],2)</f>
        <v>Stainless Steel Cookware Set</v>
      </c>
      <c r="J1780" s="24">
        <f>Sales[Total_Amount]</f>
        <v>1250.6175</v>
      </c>
      <c r="K1780" s="21" t="str">
        <f t="shared" si="1"/>
        <v>May</v>
      </c>
      <c r="L1780" s="21">
        <f t="shared" si="2"/>
        <v>2025</v>
      </c>
      <c r="N1780" s="33"/>
      <c r="O1780" s="34"/>
    </row>
    <row r="1781" ht="22.5" customHeight="1">
      <c r="A1781" s="21" t="s">
        <v>3746</v>
      </c>
      <c r="B1781" s="21" t="s">
        <v>594</v>
      </c>
      <c r="C1781" s="21" t="str">
        <f t="array" ref="C1781">XLOOKUP(B1781,Customer[Customer_ID],Customer[Name(Cleaned)])</f>
        <v>John Bradford</v>
      </c>
      <c r="D1781" s="22" t="str">
        <f>VLOOKUP(B1781,Customer[#ALL],6)</f>
        <v>Female</v>
      </c>
      <c r="E1781" s="23">
        <f>Sales[Order_Date]</f>
        <v>45885</v>
      </c>
      <c r="F1781" s="21" t="str">
        <f>Sales[Store_ID]</f>
        <v>STORE8</v>
      </c>
      <c r="G1781" s="21" t="str">
        <f t="array" ref="G1781">INDEX(Store[Store_Name],MATCH(F1781,Store[Store_ID],0))</f>
        <v>Bean, Jones and Park</v>
      </c>
      <c r="H1781" s="21" t="str">
        <f>Sales[Product_ID]</f>
        <v>PROD52</v>
      </c>
      <c r="I1781" s="21" t="str">
        <f>VLOOKUP(H1781,Products[],2)</f>
        <v>Rugby Ball</v>
      </c>
      <c r="J1781" s="24">
        <f>Sales[Total_Amount]</f>
        <v>415.7338</v>
      </c>
      <c r="K1781" s="21" t="str">
        <f t="shared" si="1"/>
        <v>Aug</v>
      </c>
      <c r="L1781" s="21">
        <f t="shared" si="2"/>
        <v>2025</v>
      </c>
      <c r="N1781" s="33"/>
      <c r="O1781" s="34"/>
    </row>
    <row r="1782" ht="22.5" customHeight="1">
      <c r="A1782" s="21" t="s">
        <v>3747</v>
      </c>
      <c r="B1782" s="21" t="s">
        <v>1206</v>
      </c>
      <c r="C1782" s="21" t="str">
        <f t="array" ref="C1782">XLOOKUP(B1782,Customer[Customer_ID],Customer[Name(Cleaned)])</f>
        <v>Erika Padilla</v>
      </c>
      <c r="D1782" s="22" t="str">
        <f>VLOOKUP(B1782,Customer[#ALL],6)</f>
        <v>Female</v>
      </c>
      <c r="E1782" s="23">
        <f>Sales[Order_Date]</f>
        <v>45837</v>
      </c>
      <c r="F1782" s="21" t="str">
        <f>Sales[Store_ID]</f>
        <v>STORE18</v>
      </c>
      <c r="G1782" s="21" t="str">
        <f t="array" ref="G1782">INDEX(Store[Store_Name],MATCH(F1782,Store[Store_ID],0))</f>
        <v>Guerrero-Schmitt</v>
      </c>
      <c r="H1782" s="21" t="str">
        <f>Sales[Product_ID]</f>
        <v>PROD42</v>
      </c>
      <c r="I1782" s="21" t="str">
        <f>VLOOKUP(H1782,Products[],2)</f>
        <v>Smart Home WiFi Camera</v>
      </c>
      <c r="J1782" s="24">
        <f>Sales[Total_Amount]</f>
        <v>1715.868</v>
      </c>
      <c r="K1782" s="21" t="str">
        <f t="shared" si="1"/>
        <v>Jun</v>
      </c>
      <c r="L1782" s="21">
        <f t="shared" si="2"/>
        <v>2025</v>
      </c>
      <c r="N1782" s="33"/>
      <c r="O1782" s="34"/>
    </row>
    <row r="1783" ht="22.5" customHeight="1">
      <c r="A1783" s="21" t="s">
        <v>3748</v>
      </c>
      <c r="B1783" s="21" t="s">
        <v>1104</v>
      </c>
      <c r="C1783" s="21" t="str">
        <f t="array" ref="C1783">XLOOKUP(B1783,Customer[Customer_ID],Customer[Name(Cleaned)])</f>
        <v>Justin Mason Dds</v>
      </c>
      <c r="D1783" s="22" t="str">
        <f>VLOOKUP(B1783,Customer[#ALL],6)</f>
        <v>Male</v>
      </c>
      <c r="E1783" s="23">
        <f>Sales[Order_Date]</f>
        <v>45277</v>
      </c>
      <c r="F1783" s="21" t="str">
        <f>Sales[Store_ID]</f>
        <v>STORE7</v>
      </c>
      <c r="G1783" s="21" t="str">
        <f t="array" ref="G1783">INDEX(Store[Store_Name],MATCH(F1783,Store[Store_ID],0))</f>
        <v>Martinez-Mullins</v>
      </c>
      <c r="H1783" s="21" t="str">
        <f>Sales[Product_ID]</f>
        <v>PROD73</v>
      </c>
      <c r="I1783" s="21" t="str">
        <f>VLOOKUP(H1783,Products[],2)</f>
        <v>Shin Guards – Adult</v>
      </c>
      <c r="J1783" s="24">
        <f>Sales[Total_Amount]</f>
        <v>1045.2354</v>
      </c>
      <c r="K1783" s="21" t="str">
        <f t="shared" si="1"/>
        <v>Dec</v>
      </c>
      <c r="L1783" s="21">
        <f t="shared" si="2"/>
        <v>2023</v>
      </c>
      <c r="N1783" s="33"/>
      <c r="O1783" s="34"/>
    </row>
    <row r="1784" ht="22.5" customHeight="1">
      <c r="A1784" s="21" t="s">
        <v>3749</v>
      </c>
      <c r="B1784" s="21" t="s">
        <v>1080</v>
      </c>
      <c r="C1784" s="21" t="str">
        <f t="array" ref="C1784">XLOOKUP(B1784,Customer[Customer_ID],Customer[Name(Cleaned)])</f>
        <v>Mrs. Susan Buckley</v>
      </c>
      <c r="D1784" s="22" t="str">
        <f>VLOOKUP(B1784,Customer[#ALL],6)</f>
        <v>Male</v>
      </c>
      <c r="E1784" s="23">
        <f>Sales[Order_Date]</f>
        <v>45248</v>
      </c>
      <c r="F1784" s="21" t="str">
        <f>Sales[Store_ID]</f>
        <v>STORE4</v>
      </c>
      <c r="G1784" s="21" t="str">
        <f t="array" ref="G1784">INDEX(Store[Store_Name],MATCH(F1784,Store[Store_ID],0))</f>
        <v>Alexander Group</v>
      </c>
      <c r="H1784" s="21" t="str">
        <f>Sales[Product_ID]</f>
        <v>PROD2</v>
      </c>
      <c r="I1784" s="21" t="str">
        <f>VLOOKUP(H1784,Products[],2)</f>
        <v>Knee Support Brace</v>
      </c>
      <c r="J1784" s="24">
        <f>Sales[Total_Amount]</f>
        <v>494.0684</v>
      </c>
      <c r="K1784" s="21" t="str">
        <f t="shared" si="1"/>
        <v>Nov</v>
      </c>
      <c r="L1784" s="21">
        <f t="shared" si="2"/>
        <v>2023</v>
      </c>
      <c r="N1784" s="33"/>
      <c r="O1784" s="34"/>
    </row>
    <row r="1785" ht="22.5" customHeight="1">
      <c r="A1785" s="21" t="s">
        <v>3750</v>
      </c>
      <c r="B1785" s="21" t="s">
        <v>1062</v>
      </c>
      <c r="C1785" s="21" t="str">
        <f t="array" ref="C1785">XLOOKUP(B1785,Customer[Customer_ID],Customer[Name(Cleaned)])</f>
        <v>Teresa Johnson</v>
      </c>
      <c r="D1785" s="22" t="str">
        <f>VLOOKUP(B1785,Customer[#ALL],6)</f>
        <v>Male</v>
      </c>
      <c r="E1785" s="23">
        <f>Sales[Order_Date]</f>
        <v>45741</v>
      </c>
      <c r="F1785" s="21" t="str">
        <f>Sales[Store_ID]</f>
        <v>STORE3</v>
      </c>
      <c r="G1785" s="21" t="str">
        <f t="array" ref="G1785">INDEX(Store[Store_Name],MATCH(F1785,Store[Store_ID],0))</f>
        <v>Johnson-Wright</v>
      </c>
      <c r="H1785" s="21" t="str">
        <f>Sales[Product_ID]</f>
        <v>PROD91</v>
      </c>
      <c r="I1785" s="21" t="str">
        <f>VLOOKUP(H1785,Products[],2)</f>
        <v>Women's High Heels</v>
      </c>
      <c r="J1785" s="24">
        <f>Sales[Total_Amount]</f>
        <v>1134.4008</v>
      </c>
      <c r="K1785" s="21" t="str">
        <f t="shared" si="1"/>
        <v>Mar</v>
      </c>
      <c r="L1785" s="21">
        <f t="shared" si="2"/>
        <v>2025</v>
      </c>
      <c r="N1785" s="33"/>
      <c r="O1785" s="34"/>
    </row>
    <row r="1786" ht="22.5" customHeight="1">
      <c r="A1786" s="21" t="s">
        <v>3751</v>
      </c>
      <c r="B1786" s="21" t="s">
        <v>981</v>
      </c>
      <c r="C1786" s="21" t="str">
        <f t="array" ref="C1786">XLOOKUP(B1786,Customer[Customer_ID],Customer[Name(Cleaned)])</f>
        <v>Angela Robinson</v>
      </c>
      <c r="D1786" s="22" t="str">
        <f>VLOOKUP(B1786,Customer[#ALL],6)</f>
        <v>Female</v>
      </c>
      <c r="E1786" s="23">
        <f>Sales[Order_Date]</f>
        <v>45778</v>
      </c>
      <c r="F1786" s="21" t="str">
        <f>Sales[Store_ID]</f>
        <v>STORE10</v>
      </c>
      <c r="G1786" s="21" t="str">
        <f t="array" ref="G1786">INDEX(Store[Store_Name],MATCH(F1786,Store[Store_ID],0))</f>
        <v>Hill, Wagner and Ballard</v>
      </c>
      <c r="H1786" s="21" t="str">
        <f>Sales[Product_ID]</f>
        <v>PROD5</v>
      </c>
      <c r="I1786" s="21" t="str">
        <f>VLOOKUP(H1786,Products[],2)</f>
        <v>Men's Roll-On Perfume</v>
      </c>
      <c r="J1786" s="24">
        <f>Sales[Total_Amount]</f>
        <v>835.9524</v>
      </c>
      <c r="K1786" s="21" t="str">
        <f t="shared" si="1"/>
        <v>May</v>
      </c>
      <c r="L1786" s="21">
        <f t="shared" si="2"/>
        <v>2025</v>
      </c>
      <c r="N1786" s="33"/>
      <c r="O1786" s="34"/>
    </row>
    <row r="1787" ht="22.5" customHeight="1">
      <c r="A1787" s="21" t="s">
        <v>3752</v>
      </c>
      <c r="B1787" s="21" t="s">
        <v>947</v>
      </c>
      <c r="C1787" s="21" t="str">
        <f t="array" ref="C1787">XLOOKUP(B1787,Customer[Customer_ID],Customer[Name(Cleaned)])</f>
        <v>Lisa Chandler</v>
      </c>
      <c r="D1787" s="22" t="str">
        <f>VLOOKUP(B1787,Customer[#ALL],6)</f>
        <v>Female</v>
      </c>
      <c r="E1787" s="23">
        <f>Sales[Order_Date]</f>
        <v>45361</v>
      </c>
      <c r="F1787" s="21" t="str">
        <f>Sales[Store_ID]</f>
        <v>STORE11</v>
      </c>
      <c r="G1787" s="21" t="str">
        <f t="array" ref="G1787">INDEX(Store[Store_Name],MATCH(F1787,Store[Store_ID],0))</f>
        <v>Aguirre-Keller</v>
      </c>
      <c r="H1787" s="21" t="str">
        <f>Sales[Product_ID]</f>
        <v>PROD42</v>
      </c>
      <c r="I1787" s="21" t="str">
        <f>VLOOKUP(H1787,Products[],2)</f>
        <v>Smart Home WiFi Camera</v>
      </c>
      <c r="J1787" s="24">
        <f>Sales[Total_Amount]</f>
        <v>1016.0784</v>
      </c>
      <c r="K1787" s="21" t="str">
        <f t="shared" si="1"/>
        <v>Mar</v>
      </c>
      <c r="L1787" s="21">
        <f t="shared" si="2"/>
        <v>2024</v>
      </c>
      <c r="N1787" s="33"/>
      <c r="O1787" s="34"/>
    </row>
    <row r="1788" ht="22.5" customHeight="1">
      <c r="A1788" s="21" t="s">
        <v>3753</v>
      </c>
      <c r="B1788" s="21" t="s">
        <v>890</v>
      </c>
      <c r="C1788" s="21" t="str">
        <f t="array" ref="C1788">XLOOKUP(B1788,Customer[Customer_ID],Customer[Name(Cleaned)])</f>
        <v>Shannon Miller</v>
      </c>
      <c r="D1788" s="22" t="str">
        <f>VLOOKUP(B1788,Customer[#ALL],6)</f>
        <v>Female</v>
      </c>
      <c r="E1788" s="23">
        <f>Sales[Order_Date]</f>
        <v>45414</v>
      </c>
      <c r="F1788" s="21" t="str">
        <f>Sales[Store_ID]</f>
        <v>STORE8</v>
      </c>
      <c r="G1788" s="21" t="str">
        <f t="array" ref="G1788">INDEX(Store[Store_Name],MATCH(F1788,Store[Store_ID],0))</f>
        <v>Bean, Jones and Park</v>
      </c>
      <c r="H1788" s="21" t="str">
        <f>Sales[Product_ID]</f>
        <v>PROD84</v>
      </c>
      <c r="I1788" s="21" t="str">
        <f>VLOOKUP(H1788,Products[],2)</f>
        <v>Wooden Bookshelf</v>
      </c>
      <c r="J1788" s="24">
        <f>Sales[Total_Amount]</f>
        <v>1609.9962</v>
      </c>
      <c r="K1788" s="21" t="str">
        <f t="shared" si="1"/>
        <v>May</v>
      </c>
      <c r="L1788" s="21">
        <f t="shared" si="2"/>
        <v>2024</v>
      </c>
      <c r="N1788" s="33"/>
      <c r="O1788" s="34"/>
    </row>
    <row r="1789" ht="22.5" customHeight="1">
      <c r="A1789" s="21" t="s">
        <v>3754</v>
      </c>
      <c r="B1789" s="21" t="s">
        <v>579</v>
      </c>
      <c r="C1789" s="21" t="str">
        <f t="array" ref="C1789">XLOOKUP(B1789,Customer[Customer_ID],Customer[Name(Cleaned)])</f>
        <v>Amy Wilson</v>
      </c>
      <c r="D1789" s="22" t="str">
        <f>VLOOKUP(B1789,Customer[#ALL],6)</f>
        <v>Male</v>
      </c>
      <c r="E1789" s="23">
        <f>Sales[Order_Date]</f>
        <v>45734</v>
      </c>
      <c r="F1789" s="21" t="str">
        <f>Sales[Store_ID]</f>
        <v>STORE15</v>
      </c>
      <c r="G1789" s="21" t="str">
        <f t="array" ref="G1789">INDEX(Store[Store_Name],MATCH(F1789,Store[Store_ID],0))</f>
        <v>Shelton PLC</v>
      </c>
      <c r="H1789" s="21" t="str">
        <f>Sales[Product_ID]</f>
        <v>PROD88</v>
      </c>
      <c r="I1789" s="21" t="str">
        <f>VLOOKUP(H1789,Products[],2)</f>
        <v>Sports Wrist Sweatbands</v>
      </c>
      <c r="J1789" s="24">
        <f>Sales[Total_Amount]</f>
        <v>485.5158</v>
      </c>
      <c r="K1789" s="21" t="str">
        <f t="shared" si="1"/>
        <v>Mar</v>
      </c>
      <c r="L1789" s="21">
        <f t="shared" si="2"/>
        <v>2025</v>
      </c>
      <c r="N1789" s="33"/>
      <c r="O1789" s="34"/>
    </row>
    <row r="1790" ht="22.5" customHeight="1">
      <c r="A1790" s="21" t="s">
        <v>3755</v>
      </c>
      <c r="B1790" s="21" t="s">
        <v>733</v>
      </c>
      <c r="C1790" s="21" t="str">
        <f t="array" ref="C1790">XLOOKUP(B1790,Customer[Customer_ID],Customer[Name(Cleaned)])</f>
        <v>Alejandro Doyle</v>
      </c>
      <c r="D1790" s="22" t="str">
        <f>VLOOKUP(B1790,Customer[#ALL],6)</f>
        <v>Female</v>
      </c>
      <c r="E1790" s="23">
        <f>Sales[Order_Date]</f>
        <v>45623</v>
      </c>
      <c r="F1790" s="21" t="str">
        <f>Sales[Store_ID]</f>
        <v>STORE2</v>
      </c>
      <c r="G1790" s="21" t="str">
        <f t="array" ref="G1790">INDEX(Store[Store_Name],MATCH(F1790,Store[Store_ID],0))</f>
        <v>Black-Horn</v>
      </c>
      <c r="H1790" s="21" t="str">
        <f>Sales[Product_ID]</f>
        <v>PROD28</v>
      </c>
      <c r="I1790" s="21" t="str">
        <f>VLOOKUP(H1790,Products[],2)</f>
        <v>Sports Stopwatch Timer</v>
      </c>
      <c r="J1790" s="24">
        <f>Sales[Total_Amount]</f>
        <v>925.7465</v>
      </c>
      <c r="K1790" s="21" t="str">
        <f t="shared" si="1"/>
        <v>Nov</v>
      </c>
      <c r="L1790" s="21">
        <f t="shared" si="2"/>
        <v>2024</v>
      </c>
      <c r="N1790" s="33"/>
      <c r="O1790" s="34"/>
    </row>
    <row r="1791" ht="22.5" customHeight="1">
      <c r="A1791" s="21" t="s">
        <v>3756</v>
      </c>
      <c r="B1791" s="21" t="s">
        <v>255</v>
      </c>
      <c r="C1791" s="21" t="str">
        <f t="array" ref="C1791">XLOOKUP(B1791,Customer[Customer_ID],Customer[Name(Cleaned)])</f>
        <v>Amber Mcclain</v>
      </c>
      <c r="D1791" s="22" t="str">
        <f>VLOOKUP(B1791,Customer[#ALL],6)</f>
        <v>Female</v>
      </c>
      <c r="E1791" s="23">
        <f>Sales[Order_Date]</f>
        <v>45340</v>
      </c>
      <c r="F1791" s="21" t="str">
        <f>Sales[Store_ID]</f>
        <v>STORE4</v>
      </c>
      <c r="G1791" s="21" t="str">
        <f t="array" ref="G1791">INDEX(Store[Store_Name],MATCH(F1791,Store[Store_ID],0))</f>
        <v>Alexander Group</v>
      </c>
      <c r="H1791" s="21" t="str">
        <f>Sales[Product_ID]</f>
        <v>PROD2</v>
      </c>
      <c r="I1791" s="21" t="str">
        <f>VLOOKUP(H1791,Products[],2)</f>
        <v>Knee Support Brace</v>
      </c>
      <c r="J1791" s="24">
        <f>Sales[Total_Amount]</f>
        <v>1333.478</v>
      </c>
      <c r="K1791" s="21" t="str">
        <f t="shared" si="1"/>
        <v>Feb</v>
      </c>
      <c r="L1791" s="21">
        <f t="shared" si="2"/>
        <v>2024</v>
      </c>
      <c r="N1791" s="33"/>
      <c r="O1791" s="34"/>
    </row>
    <row r="1792" ht="22.5" customHeight="1">
      <c r="A1792" s="21" t="s">
        <v>3757</v>
      </c>
      <c r="B1792" s="21" t="s">
        <v>824</v>
      </c>
      <c r="C1792" s="21" t="str">
        <f t="array" ref="C1792">XLOOKUP(B1792,Customer[Customer_ID],Customer[Name(Cleaned)])</f>
        <v>Dr. Ashley Yates Md</v>
      </c>
      <c r="D1792" s="22" t="str">
        <f>VLOOKUP(B1792,Customer[#ALL],6)</f>
        <v>Female</v>
      </c>
      <c r="E1792" s="23">
        <f>Sales[Order_Date]</f>
        <v>45616</v>
      </c>
      <c r="F1792" s="21" t="str">
        <f>Sales[Store_ID]</f>
        <v>STORE9</v>
      </c>
      <c r="G1792" s="21" t="str">
        <f t="array" ref="G1792">INDEX(Store[Store_Name],MATCH(F1792,Store[Store_ID],0))</f>
        <v>Moore, Padilla and Butler</v>
      </c>
      <c r="H1792" s="21" t="str">
        <f>Sales[Product_ID]</f>
        <v>PROD71</v>
      </c>
      <c r="I1792" s="21" t="str">
        <f>VLOOKUP(H1792,Products[],2)</f>
        <v>Hair Repair Oil Treatment</v>
      </c>
      <c r="J1792" s="24">
        <f>Sales[Total_Amount]</f>
        <v>272.7975</v>
      </c>
      <c r="K1792" s="21" t="str">
        <f t="shared" si="1"/>
        <v>Nov</v>
      </c>
      <c r="L1792" s="21">
        <f t="shared" si="2"/>
        <v>2024</v>
      </c>
      <c r="N1792" s="33"/>
      <c r="O1792" s="34"/>
    </row>
    <row r="1793" ht="22.5" customHeight="1">
      <c r="A1793" s="21" t="s">
        <v>3758</v>
      </c>
      <c r="B1793" s="21" t="s">
        <v>70</v>
      </c>
      <c r="C1793" s="21" t="str">
        <f t="array" ref="C1793">XLOOKUP(B1793,Customer[Customer_ID],Customer[Name(Cleaned)])</f>
        <v>Nathan Hernandez</v>
      </c>
      <c r="D1793" s="22" t="str">
        <f>VLOOKUP(B1793,Customer[#ALL],6)</f>
        <v>Male</v>
      </c>
      <c r="E1793" s="23">
        <f>Sales[Order_Date]</f>
        <v>45447</v>
      </c>
      <c r="F1793" s="21" t="str">
        <f>Sales[Store_ID]</f>
        <v>STORE10</v>
      </c>
      <c r="G1793" s="21" t="str">
        <f t="array" ref="G1793">INDEX(Store[Store_Name],MATCH(F1793,Store[Store_ID],0))</f>
        <v>Hill, Wagner and Ballard</v>
      </c>
      <c r="H1793" s="21" t="str">
        <f>Sales[Product_ID]</f>
        <v>PROD2</v>
      </c>
      <c r="I1793" s="21" t="str">
        <f>VLOOKUP(H1793,Products[],2)</f>
        <v>Knee Support Brace</v>
      </c>
      <c r="J1793" s="24">
        <f>Sales[Total_Amount]</f>
        <v>2729.8292</v>
      </c>
      <c r="K1793" s="21" t="str">
        <f t="shared" si="1"/>
        <v>Jun</v>
      </c>
      <c r="L1793" s="21">
        <f t="shared" si="2"/>
        <v>2024</v>
      </c>
      <c r="N1793" s="33"/>
      <c r="O1793" s="34"/>
    </row>
    <row r="1794" ht="22.5" customHeight="1">
      <c r="A1794" s="21" t="s">
        <v>3759</v>
      </c>
      <c r="B1794" s="21" t="s">
        <v>1462</v>
      </c>
      <c r="C1794" s="21" t="str">
        <f t="array" ref="C1794">XLOOKUP(B1794,Customer[Customer_ID],Customer[Name(Cleaned)])</f>
        <v>James Foster</v>
      </c>
      <c r="D1794" s="22" t="str">
        <f>VLOOKUP(B1794,Customer[#ALL],6)</f>
        <v>Female</v>
      </c>
      <c r="E1794" s="23">
        <f>Sales[Order_Date]</f>
        <v>45513</v>
      </c>
      <c r="F1794" s="21" t="str">
        <f>Sales[Store_ID]</f>
        <v>STORE18</v>
      </c>
      <c r="G1794" s="21" t="str">
        <f t="array" ref="G1794">INDEX(Store[Store_Name],MATCH(F1794,Store[Store_ID],0))</f>
        <v>Guerrero-Schmitt</v>
      </c>
      <c r="H1794" s="21" t="str">
        <f>Sales[Product_ID]</f>
        <v>PROD80</v>
      </c>
      <c r="I1794" s="21" t="str">
        <f>VLOOKUP(H1794,Products[],2)</f>
        <v>Wall-Mounted Spice Rack</v>
      </c>
      <c r="J1794" s="24">
        <f>Sales[Total_Amount]</f>
        <v>373.5913</v>
      </c>
      <c r="K1794" s="21" t="str">
        <f t="shared" si="1"/>
        <v>Aug</v>
      </c>
      <c r="L1794" s="21">
        <f t="shared" si="2"/>
        <v>2024</v>
      </c>
      <c r="N1794" s="33"/>
      <c r="O1794" s="34"/>
    </row>
    <row r="1795" ht="22.5" customHeight="1">
      <c r="A1795" s="21" t="s">
        <v>3760</v>
      </c>
      <c r="B1795" s="21" t="s">
        <v>755</v>
      </c>
      <c r="C1795" s="21" t="str">
        <f t="array" ref="C1795">XLOOKUP(B1795,Customer[Customer_ID],Customer[Name(Cleaned)])</f>
        <v>Timothy Sanders</v>
      </c>
      <c r="D1795" s="22" t="str">
        <f>VLOOKUP(B1795,Customer[#ALL],6)</f>
        <v>Female</v>
      </c>
      <c r="E1795" s="23">
        <f>Sales[Order_Date]</f>
        <v>45486</v>
      </c>
      <c r="F1795" s="21" t="str">
        <f>Sales[Store_ID]</f>
        <v>STORE13</v>
      </c>
      <c r="G1795" s="21" t="str">
        <f t="array" ref="G1795">INDEX(Store[Store_Name],MATCH(F1795,Store[Store_ID],0))</f>
        <v>Gardner, Humphrey and Contreras</v>
      </c>
      <c r="H1795" s="21" t="str">
        <f>Sales[Product_ID]</f>
        <v>PROD68</v>
      </c>
      <c r="I1795" s="21" t="str">
        <f>VLOOKUP(H1795,Products[],2)</f>
        <v>Wooden Nightstand</v>
      </c>
      <c r="J1795" s="24">
        <f>Sales[Total_Amount]</f>
        <v>237.6524</v>
      </c>
      <c r="K1795" s="21" t="str">
        <f t="shared" si="1"/>
        <v>Jul</v>
      </c>
      <c r="L1795" s="21">
        <f t="shared" si="2"/>
        <v>2024</v>
      </c>
      <c r="N1795" s="33"/>
      <c r="O1795" s="34"/>
    </row>
    <row r="1796" ht="22.5" customHeight="1">
      <c r="A1796" s="21" t="s">
        <v>3761</v>
      </c>
      <c r="B1796" s="21" t="s">
        <v>1065</v>
      </c>
      <c r="C1796" s="21" t="str">
        <f t="array" ref="C1796">XLOOKUP(B1796,Customer[Customer_ID],Customer[Name(Cleaned)])</f>
        <v>Mr. Christopher Sims</v>
      </c>
      <c r="D1796" s="22" t="str">
        <f>VLOOKUP(B1796,Customer[#ALL],6)</f>
        <v>Male</v>
      </c>
      <c r="E1796" s="23">
        <f>Sales[Order_Date]</f>
        <v>45890</v>
      </c>
      <c r="F1796" s="21" t="str">
        <f>Sales[Store_ID]</f>
        <v>STORE10</v>
      </c>
      <c r="G1796" s="21" t="str">
        <f t="array" ref="G1796">INDEX(Store[Store_Name],MATCH(F1796,Store[Store_ID],0))</f>
        <v>Hill, Wagner and Ballard</v>
      </c>
      <c r="H1796" s="21" t="str">
        <f>Sales[Product_ID]</f>
        <v>PROD54</v>
      </c>
      <c r="I1796" s="21" t="str">
        <f>VLOOKUP(H1796,Products[],2)</f>
        <v>Sports Stopwatch Pro</v>
      </c>
      <c r="J1796" s="24">
        <f>Sales[Total_Amount]</f>
        <v>902.304</v>
      </c>
      <c r="K1796" s="21" t="str">
        <f t="shared" si="1"/>
        <v>Aug</v>
      </c>
      <c r="L1796" s="21">
        <f t="shared" si="2"/>
        <v>2025</v>
      </c>
      <c r="N1796" s="33"/>
      <c r="O1796" s="34"/>
    </row>
    <row r="1797" ht="22.5" customHeight="1">
      <c r="A1797" s="21" t="s">
        <v>3762</v>
      </c>
      <c r="B1797" s="21" t="s">
        <v>926</v>
      </c>
      <c r="C1797" s="21" t="str">
        <f t="array" ref="C1797">XLOOKUP(B1797,Customer[Customer_ID],Customer[Name(Cleaned)])</f>
        <v>Cynthia Roberts</v>
      </c>
      <c r="D1797" s="22" t="str">
        <f>VLOOKUP(B1797,Customer[#ALL],6)</f>
        <v>Male</v>
      </c>
      <c r="E1797" s="23">
        <f>Sales[Order_Date]</f>
        <v>45876</v>
      </c>
      <c r="F1797" s="21" t="str">
        <f>Sales[Store_ID]</f>
        <v>STORE19</v>
      </c>
      <c r="G1797" s="21" t="str">
        <f t="array" ref="G1797">INDEX(Store[Store_Name],MATCH(F1797,Store[Store_ID],0))</f>
        <v>Mann-Austin</v>
      </c>
      <c r="H1797" s="21" t="str">
        <f>Sales[Product_ID]</f>
        <v>PROD69</v>
      </c>
      <c r="I1797" s="21" t="str">
        <f>VLOOKUP(H1797,Products[],2)</f>
        <v>Men's Sports Shorts</v>
      </c>
      <c r="J1797" s="24">
        <f>Sales[Total_Amount]</f>
        <v>1254.9264</v>
      </c>
      <c r="K1797" s="21" t="str">
        <f t="shared" si="1"/>
        <v>Aug</v>
      </c>
      <c r="L1797" s="21">
        <f t="shared" si="2"/>
        <v>2025</v>
      </c>
      <c r="N1797" s="33"/>
      <c r="O1797" s="34"/>
    </row>
    <row r="1798" ht="22.5" customHeight="1">
      <c r="A1798" s="21" t="s">
        <v>3763</v>
      </c>
      <c r="B1798" s="21" t="s">
        <v>252</v>
      </c>
      <c r="C1798" s="21" t="str">
        <f t="array" ref="C1798">XLOOKUP(B1798,Customer[Customer_ID],Customer[Name(Cleaned)])</f>
        <v>Cody Diaz</v>
      </c>
      <c r="D1798" s="22" t="str">
        <f>VLOOKUP(B1798,Customer[#ALL],6)</f>
        <v>Male</v>
      </c>
      <c r="E1798" s="23">
        <f>Sales[Order_Date]</f>
        <v>45398</v>
      </c>
      <c r="F1798" s="21" t="str">
        <f>Sales[Store_ID]</f>
        <v>STORE9</v>
      </c>
      <c r="G1798" s="21" t="str">
        <f t="array" ref="G1798">INDEX(Store[Store_Name],MATCH(F1798,Store[Store_ID],0))</f>
        <v>Moore, Padilla and Butler</v>
      </c>
      <c r="H1798" s="21" t="str">
        <f>Sales[Product_ID]</f>
        <v>PROD3</v>
      </c>
      <c r="I1798" s="21" t="str">
        <f>VLOOKUP(H1798,Products[],2)</f>
        <v>Fabric Sofa Throw Blanket</v>
      </c>
      <c r="J1798" s="24">
        <f>Sales[Total_Amount]</f>
        <v>1144.4248</v>
      </c>
      <c r="K1798" s="21" t="str">
        <f t="shared" si="1"/>
        <v>Apr</v>
      </c>
      <c r="L1798" s="21">
        <f t="shared" si="2"/>
        <v>2024</v>
      </c>
      <c r="N1798" s="33"/>
      <c r="O1798" s="34"/>
    </row>
    <row r="1799" ht="22.5" customHeight="1">
      <c r="A1799" s="21" t="s">
        <v>3764</v>
      </c>
      <c r="B1799" s="21" t="s">
        <v>395</v>
      </c>
      <c r="C1799" s="21" t="str">
        <f t="array" ref="C1799">XLOOKUP(B1799,Customer[Customer_ID],Customer[Name(Cleaned)])</f>
        <v>Ashley Griffin</v>
      </c>
      <c r="D1799" s="22" t="str">
        <f>VLOOKUP(B1799,Customer[#ALL],6)</f>
        <v>Male</v>
      </c>
      <c r="E1799" s="23">
        <f>Sales[Order_Date]</f>
        <v>45390</v>
      </c>
      <c r="F1799" s="21" t="str">
        <f>Sales[Store_ID]</f>
        <v>STORE17</v>
      </c>
      <c r="G1799" s="21" t="str">
        <f t="array" ref="G1799">INDEX(Store[Store_Name],MATCH(F1799,Store[Store_ID],0))</f>
        <v>Holloway Ltd</v>
      </c>
      <c r="H1799" s="21" t="str">
        <f>Sales[Product_ID]</f>
        <v>PROD94</v>
      </c>
      <c r="I1799" s="21" t="str">
        <f>VLOOKUP(H1799,Products[],2)</f>
        <v>Vitamin E Body Lotion</v>
      </c>
      <c r="J1799" s="24">
        <f>Sales[Total_Amount]</f>
        <v>707.0272</v>
      </c>
      <c r="K1799" s="21" t="str">
        <f t="shared" si="1"/>
        <v>Apr</v>
      </c>
      <c r="L1799" s="21">
        <f t="shared" si="2"/>
        <v>2024</v>
      </c>
      <c r="N1799" s="33"/>
      <c r="O1799" s="34"/>
    </row>
    <row r="1800" ht="22.5" customHeight="1">
      <c r="A1800" s="21" t="s">
        <v>3765</v>
      </c>
      <c r="B1800" s="21" t="s">
        <v>637</v>
      </c>
      <c r="C1800" s="21" t="str">
        <f t="array" ref="C1800">XLOOKUP(B1800,Customer[Customer_ID],Customer[Name(Cleaned)])</f>
        <v>Christopher Stewart</v>
      </c>
      <c r="D1800" s="22" t="str">
        <f>VLOOKUP(B1800,Customer[#ALL],6)</f>
        <v>Female</v>
      </c>
      <c r="E1800" s="23">
        <f>Sales[Order_Date]</f>
        <v>45406</v>
      </c>
      <c r="F1800" s="21" t="str">
        <f>Sales[Store_ID]</f>
        <v>STORE19</v>
      </c>
      <c r="G1800" s="21" t="str">
        <f t="array" ref="G1800">INDEX(Store[Store_Name],MATCH(F1800,Store[Store_ID],0))</f>
        <v>Mann-Austin</v>
      </c>
      <c r="H1800" s="21" t="str">
        <f>Sales[Product_ID]</f>
        <v>PROD27</v>
      </c>
      <c r="I1800" s="21" t="str">
        <f>VLOOKUP(H1800,Products[],2)</f>
        <v>Decorative Floor Vase</v>
      </c>
      <c r="J1800" s="24">
        <f>Sales[Total_Amount]</f>
        <v>2326.4778</v>
      </c>
      <c r="K1800" s="21" t="str">
        <f t="shared" si="1"/>
        <v>Apr</v>
      </c>
      <c r="L1800" s="21">
        <f t="shared" si="2"/>
        <v>2024</v>
      </c>
      <c r="N1800" s="33"/>
      <c r="O1800" s="34"/>
    </row>
    <row r="1801" ht="22.5" customHeight="1">
      <c r="A1801" s="21" t="s">
        <v>3766</v>
      </c>
      <c r="B1801" s="21" t="s">
        <v>364</v>
      </c>
      <c r="C1801" s="21" t="str">
        <f t="array" ref="C1801">XLOOKUP(B1801,Customer[Customer_ID],Customer[Name(Cleaned)])</f>
        <v>Diane Watson</v>
      </c>
      <c r="D1801" s="22" t="str">
        <f>VLOOKUP(B1801,Customer[#ALL],6)</f>
        <v>Male</v>
      </c>
      <c r="E1801" s="23">
        <f>Sales[Order_Date]</f>
        <v>45844</v>
      </c>
      <c r="F1801" s="21" t="str">
        <f>Sales[Store_ID]</f>
        <v>STORE0</v>
      </c>
      <c r="G1801" s="21" t="str">
        <f t="array" ref="G1801">INDEX(Store[Store_Name],MATCH(F1801,Store[Store_ID],0))</f>
        <v>Rivera-Warner</v>
      </c>
      <c r="H1801" s="21" t="str">
        <f>Sales[Product_ID]</f>
        <v>PROD94</v>
      </c>
      <c r="I1801" s="21" t="str">
        <f>VLOOKUP(H1801,Products[],2)</f>
        <v>Vitamin E Body Lotion</v>
      </c>
      <c r="J1801" s="24">
        <f>Sales[Total_Amount]</f>
        <v>1314.0072</v>
      </c>
      <c r="K1801" s="21" t="str">
        <f t="shared" si="1"/>
        <v>Jul</v>
      </c>
      <c r="L1801" s="21">
        <f t="shared" si="2"/>
        <v>2025</v>
      </c>
      <c r="N1801" s="33"/>
      <c r="O1801" s="34"/>
    </row>
    <row r="1802" ht="22.5" customHeight="1">
      <c r="A1802" s="21" t="s">
        <v>3767</v>
      </c>
      <c r="B1802" s="21" t="s">
        <v>1011</v>
      </c>
      <c r="C1802" s="21" t="str">
        <f t="array" ref="C1802">XLOOKUP(B1802,Customer[Customer_ID],Customer[Name(Cleaned)])</f>
        <v>Robert House</v>
      </c>
      <c r="D1802" s="22" t="str">
        <f>VLOOKUP(B1802,Customer[#ALL],6)</f>
        <v>Female</v>
      </c>
      <c r="E1802" s="23">
        <f>Sales[Order_Date]</f>
        <v>45697</v>
      </c>
      <c r="F1802" s="21" t="str">
        <f>Sales[Store_ID]</f>
        <v>STORE0</v>
      </c>
      <c r="G1802" s="21" t="str">
        <f t="array" ref="G1802">INDEX(Store[Store_Name],MATCH(F1802,Store[Store_ID],0))</f>
        <v>Rivera-Warner</v>
      </c>
      <c r="H1802" s="21" t="str">
        <f>Sales[Product_ID]</f>
        <v>PROD74</v>
      </c>
      <c r="I1802" s="21" t="str">
        <f>VLOOKUP(H1802,Products[],2)</f>
        <v>Bluetooth Car Audio System</v>
      </c>
      <c r="J1802" s="24">
        <f>Sales[Total_Amount]</f>
        <v>554.3538</v>
      </c>
      <c r="K1802" s="21" t="str">
        <f t="shared" si="1"/>
        <v>Feb</v>
      </c>
      <c r="L1802" s="21">
        <f t="shared" si="2"/>
        <v>2025</v>
      </c>
      <c r="N1802" s="33"/>
      <c r="O1802" s="34"/>
    </row>
    <row r="1803" ht="22.5" customHeight="1">
      <c r="A1803" s="21" t="s">
        <v>3768</v>
      </c>
      <c r="B1803" s="21" t="s">
        <v>1197</v>
      </c>
      <c r="C1803" s="21" t="str">
        <f t="array" ref="C1803">XLOOKUP(B1803,Customer[Customer_ID],Customer[Name(Cleaned)])</f>
        <v>Frank Stewart</v>
      </c>
      <c r="D1803" s="22" t="str">
        <f>VLOOKUP(B1803,Customer[#ALL],6)</f>
        <v>Male</v>
      </c>
      <c r="E1803" s="23">
        <f>Sales[Order_Date]</f>
        <v>45518</v>
      </c>
      <c r="F1803" s="21" t="str">
        <f>Sales[Store_ID]</f>
        <v>STORE17</v>
      </c>
      <c r="G1803" s="21" t="str">
        <f t="array" ref="G1803">INDEX(Store[Store_Name],MATCH(F1803,Store[Store_ID],0))</f>
        <v>Holloway Ltd</v>
      </c>
      <c r="H1803" s="21" t="str">
        <f>Sales[Product_ID]</f>
        <v>PROD91</v>
      </c>
      <c r="I1803" s="21" t="str">
        <f>VLOOKUP(H1803,Products[],2)</f>
        <v>Women's High Heels</v>
      </c>
      <c r="J1803" s="24">
        <f>Sales[Total_Amount]</f>
        <v>1010.2344</v>
      </c>
      <c r="K1803" s="21" t="str">
        <f t="shared" si="1"/>
        <v>Aug</v>
      </c>
      <c r="L1803" s="21">
        <f t="shared" si="2"/>
        <v>2024</v>
      </c>
      <c r="N1803" s="33"/>
      <c r="O1803" s="34"/>
    </row>
    <row r="1804" ht="22.5" customHeight="1">
      <c r="A1804" s="21" t="s">
        <v>3769</v>
      </c>
      <c r="B1804" s="21" t="s">
        <v>43</v>
      </c>
      <c r="C1804" s="21" t="str">
        <f t="array" ref="C1804">XLOOKUP(B1804,Customer[Customer_ID],Customer[Name(Cleaned)])</f>
        <v>Amber Jackson</v>
      </c>
      <c r="D1804" s="22" t="str">
        <f>VLOOKUP(B1804,Customer[#ALL],6)</f>
        <v>Male</v>
      </c>
      <c r="E1804" s="23">
        <f>Sales[Order_Date]</f>
        <v>45607</v>
      </c>
      <c r="F1804" s="21" t="str">
        <f>Sales[Store_ID]</f>
        <v>STORE4</v>
      </c>
      <c r="G1804" s="21" t="str">
        <f t="array" ref="G1804">INDEX(Store[Store_Name],MATCH(F1804,Store[Store_ID],0))</f>
        <v>Alexander Group</v>
      </c>
      <c r="H1804" s="21" t="str">
        <f>Sales[Product_ID]</f>
        <v>PROD28</v>
      </c>
      <c r="I1804" s="21" t="str">
        <f>VLOOKUP(H1804,Products[],2)</f>
        <v>Sports Stopwatch Timer</v>
      </c>
      <c r="J1804" s="24">
        <f>Sales[Total_Amount]</f>
        <v>433.9296</v>
      </c>
      <c r="K1804" s="21" t="str">
        <f t="shared" si="1"/>
        <v>Nov</v>
      </c>
      <c r="L1804" s="21">
        <f t="shared" si="2"/>
        <v>2024</v>
      </c>
      <c r="N1804" s="33"/>
      <c r="O1804" s="34"/>
    </row>
    <row r="1805" ht="22.5" customHeight="1">
      <c r="A1805" s="21" t="s">
        <v>3770</v>
      </c>
      <c r="B1805" s="21" t="s">
        <v>210</v>
      </c>
      <c r="C1805" s="21" t="str">
        <f t="array" ref="C1805">XLOOKUP(B1805,Customer[Customer_ID],Customer[Name(Cleaned)])</f>
        <v>Sharon Brown</v>
      </c>
      <c r="D1805" s="22" t="str">
        <f>VLOOKUP(B1805,Customer[#ALL],6)</f>
        <v>Male</v>
      </c>
      <c r="E1805" s="23">
        <f>Sales[Order_Date]</f>
        <v>45307</v>
      </c>
      <c r="F1805" s="21" t="str">
        <f>Sales[Store_ID]</f>
        <v>STORE5</v>
      </c>
      <c r="G1805" s="21" t="str">
        <f t="array" ref="G1805">INDEX(Store[Store_Name],MATCH(F1805,Store[Store_ID],0))</f>
        <v>Gray Ltd</v>
      </c>
      <c r="H1805" s="21" t="str">
        <f>Sales[Product_ID]</f>
        <v>PROD49</v>
      </c>
      <c r="I1805" s="21" t="str">
        <f>VLOOKUP(H1805,Products[],2)</f>
        <v>Men's Roll-On Perfume</v>
      </c>
      <c r="J1805" s="24">
        <f>Sales[Total_Amount]</f>
        <v>563.487</v>
      </c>
      <c r="K1805" s="21" t="str">
        <f t="shared" si="1"/>
        <v>Jan</v>
      </c>
      <c r="L1805" s="21">
        <f t="shared" si="2"/>
        <v>2024</v>
      </c>
      <c r="N1805" s="33"/>
      <c r="O1805" s="34"/>
    </row>
    <row r="1806" ht="22.5" customHeight="1">
      <c r="A1806" s="21" t="s">
        <v>3771</v>
      </c>
      <c r="B1806" s="21" t="s">
        <v>78</v>
      </c>
      <c r="C1806" s="21" t="str">
        <f t="array" ref="C1806">XLOOKUP(B1806,Customer[Customer_ID],Customer[Name(Cleaned)])</f>
        <v>Laura Alvarez</v>
      </c>
      <c r="D1806" s="22" t="str">
        <f>VLOOKUP(B1806,Customer[#ALL],6)</f>
        <v>Male</v>
      </c>
      <c r="E1806" s="23">
        <f>Sales[Order_Date]</f>
        <v>45520</v>
      </c>
      <c r="F1806" s="21" t="str">
        <f>Sales[Store_ID]</f>
        <v>STORE15</v>
      </c>
      <c r="G1806" s="21" t="str">
        <f t="array" ref="G1806">INDEX(Store[Store_Name],MATCH(F1806,Store[Store_ID],0))</f>
        <v>Shelton PLC</v>
      </c>
      <c r="H1806" s="21" t="str">
        <f>Sales[Product_ID]</f>
        <v>PROD25</v>
      </c>
      <c r="I1806" s="21" t="str">
        <f>VLOOKUP(H1806,Products[],2)</f>
        <v>Women's Scarf Set</v>
      </c>
      <c r="J1806" s="24">
        <f>Sales[Total_Amount]</f>
        <v>320.042</v>
      </c>
      <c r="K1806" s="21" t="str">
        <f t="shared" si="1"/>
        <v>Aug</v>
      </c>
      <c r="L1806" s="21">
        <f t="shared" si="2"/>
        <v>2024</v>
      </c>
      <c r="N1806" s="33"/>
      <c r="O1806" s="34"/>
    </row>
    <row r="1807" ht="22.5" customHeight="1">
      <c r="A1807" s="21" t="s">
        <v>3772</v>
      </c>
      <c r="B1807" s="21" t="s">
        <v>1381</v>
      </c>
      <c r="C1807" s="21" t="str">
        <f t="array" ref="C1807">XLOOKUP(B1807,Customer[Customer_ID],Customer[Name(Cleaned)])</f>
        <v>Dalton Walters</v>
      </c>
      <c r="D1807" s="22" t="str">
        <f>VLOOKUP(B1807,Customer[#ALL],6)</f>
        <v>Female</v>
      </c>
      <c r="E1807" s="23">
        <f>Sales[Order_Date]</f>
        <v>45933</v>
      </c>
      <c r="F1807" s="21" t="str">
        <f>Sales[Store_ID]</f>
        <v>STORE1</v>
      </c>
      <c r="G1807" s="21" t="str">
        <f t="array" ref="G1807">INDEX(Store[Store_Name],MATCH(F1807,Store[Store_ID],0))</f>
        <v>Martinez, Adkins and Johnson</v>
      </c>
      <c r="H1807" s="21" t="str">
        <f>Sales[Product_ID]</f>
        <v>PROD44</v>
      </c>
      <c r="I1807" s="21" t="str">
        <f>VLOOKUP(H1807,Products[],2)</f>
        <v>Adjustable Jump Rope</v>
      </c>
      <c r="J1807" s="24">
        <f>Sales[Total_Amount]</f>
        <v>1643.4792</v>
      </c>
      <c r="K1807" s="21" t="str">
        <f t="shared" si="1"/>
        <v>Oct</v>
      </c>
      <c r="L1807" s="21">
        <f t="shared" si="2"/>
        <v>2025</v>
      </c>
      <c r="N1807" s="33"/>
      <c r="O1807" s="34"/>
    </row>
    <row r="1808" ht="22.5" customHeight="1">
      <c r="A1808" s="21" t="s">
        <v>3773</v>
      </c>
      <c r="B1808" s="21" t="s">
        <v>203</v>
      </c>
      <c r="C1808" s="21" t="str">
        <f t="array" ref="C1808">XLOOKUP(B1808,Customer[Customer_ID],Customer[Name(Cleaned)])</f>
        <v>Sarah Rodgers</v>
      </c>
      <c r="D1808" s="22" t="str">
        <f>VLOOKUP(B1808,Customer[#ALL],6)</f>
        <v>Male</v>
      </c>
      <c r="E1808" s="23">
        <f>Sales[Order_Date]</f>
        <v>45841</v>
      </c>
      <c r="F1808" s="21" t="str">
        <f>Sales[Store_ID]</f>
        <v>STORE4</v>
      </c>
      <c r="G1808" s="21" t="str">
        <f t="array" ref="G1808">INDEX(Store[Store_Name],MATCH(F1808,Store[Store_ID],0))</f>
        <v>Alexander Group</v>
      </c>
      <c r="H1808" s="21" t="str">
        <f>Sales[Product_ID]</f>
        <v>PROD11</v>
      </c>
      <c r="I1808" s="21" t="str">
        <f>VLOOKUP(H1808,Products[],2)</f>
        <v>Men's Graphic T-Shirt</v>
      </c>
      <c r="J1808" s="24">
        <f>Sales[Total_Amount]</f>
        <v>3026.6716</v>
      </c>
      <c r="K1808" s="21" t="str">
        <f t="shared" si="1"/>
        <v>Jul</v>
      </c>
      <c r="L1808" s="21">
        <f t="shared" si="2"/>
        <v>2025</v>
      </c>
      <c r="N1808" s="33"/>
      <c r="O1808" s="34"/>
    </row>
    <row r="1809" ht="22.5" customHeight="1">
      <c r="A1809" s="21" t="s">
        <v>3774</v>
      </c>
      <c r="B1809" s="21" t="s">
        <v>1344</v>
      </c>
      <c r="C1809" s="21" t="str">
        <f t="array" ref="C1809">XLOOKUP(B1809,Customer[Customer_ID],Customer[Name(Cleaned)])</f>
        <v>Samuel Mullins</v>
      </c>
      <c r="D1809" s="22" t="str">
        <f>VLOOKUP(B1809,Customer[#ALL],6)</f>
        <v>Male</v>
      </c>
      <c r="E1809" s="23">
        <f>Sales[Order_Date]</f>
        <v>45877</v>
      </c>
      <c r="F1809" s="21" t="str">
        <f>Sales[Store_ID]</f>
        <v>STORE15</v>
      </c>
      <c r="G1809" s="21" t="str">
        <f t="array" ref="G1809">INDEX(Store[Store_Name],MATCH(F1809,Store[Store_ID],0))</f>
        <v>Shelton PLC</v>
      </c>
      <c r="H1809" s="21" t="str">
        <f>Sales[Product_ID]</f>
        <v>PROD37</v>
      </c>
      <c r="I1809" s="21" t="str">
        <f>VLOOKUP(H1809,Products[],2)</f>
        <v>Men's Casual Sneakers</v>
      </c>
      <c r="J1809" s="24">
        <f>Sales[Total_Amount]</f>
        <v>531.5616</v>
      </c>
      <c r="K1809" s="21" t="str">
        <f t="shared" si="1"/>
        <v>Aug</v>
      </c>
      <c r="L1809" s="21">
        <f t="shared" si="2"/>
        <v>2025</v>
      </c>
      <c r="N1809" s="33"/>
      <c r="O1809" s="34"/>
    </row>
    <row r="1810" ht="22.5" customHeight="1">
      <c r="A1810" s="21" t="s">
        <v>3775</v>
      </c>
      <c r="B1810" s="21" t="s">
        <v>926</v>
      </c>
      <c r="C1810" s="21" t="str">
        <f t="array" ref="C1810">XLOOKUP(B1810,Customer[Customer_ID],Customer[Name(Cleaned)])</f>
        <v>Cynthia Roberts</v>
      </c>
      <c r="D1810" s="22" t="str">
        <f>VLOOKUP(B1810,Customer[#ALL],6)</f>
        <v>Male</v>
      </c>
      <c r="E1810" s="23">
        <f>Sales[Order_Date]</f>
        <v>45532</v>
      </c>
      <c r="F1810" s="21" t="str">
        <f>Sales[Store_ID]</f>
        <v>STORE4</v>
      </c>
      <c r="G1810" s="21" t="str">
        <f t="array" ref="G1810">INDEX(Store[Store_Name],MATCH(F1810,Store[Store_ID],0))</f>
        <v>Alexander Group</v>
      </c>
      <c r="H1810" s="21" t="str">
        <f>Sales[Product_ID]</f>
        <v>PROD65</v>
      </c>
      <c r="I1810" s="21" t="str">
        <f>VLOOKUP(H1810,Products[],2)</f>
        <v>Adjustable Dumbbells 20kg</v>
      </c>
      <c r="J1810" s="24">
        <f>Sales[Total_Amount]</f>
        <v>866.0496</v>
      </c>
      <c r="K1810" s="21" t="str">
        <f t="shared" si="1"/>
        <v>Aug</v>
      </c>
      <c r="L1810" s="21">
        <f t="shared" si="2"/>
        <v>2024</v>
      </c>
      <c r="N1810" s="33"/>
      <c r="O1810" s="34"/>
    </row>
    <row r="1811" ht="22.5" customHeight="1">
      <c r="A1811" s="21" t="s">
        <v>3776</v>
      </c>
      <c r="B1811" s="21" t="s">
        <v>377</v>
      </c>
      <c r="C1811" s="21" t="str">
        <f t="array" ref="C1811">XLOOKUP(B1811,Customer[Customer_ID],Customer[Name(Cleaned)])</f>
        <v>Christopher Lester</v>
      </c>
      <c r="D1811" s="22" t="str">
        <f>VLOOKUP(B1811,Customer[#ALL],6)</f>
        <v>Female</v>
      </c>
      <c r="E1811" s="23">
        <f>Sales[Order_Date]</f>
        <v>45734</v>
      </c>
      <c r="F1811" s="21" t="str">
        <f>Sales[Store_ID]</f>
        <v>STORE3</v>
      </c>
      <c r="G1811" s="21" t="str">
        <f t="array" ref="G1811">INDEX(Store[Store_Name],MATCH(F1811,Store[Store_ID],0))</f>
        <v>Johnson-Wright</v>
      </c>
      <c r="H1811" s="21" t="str">
        <f>Sales[Product_ID]</f>
        <v>PROD31</v>
      </c>
      <c r="I1811" s="21" t="str">
        <f>VLOOKUP(H1811,Products[],2)</f>
        <v>Basketball</v>
      </c>
      <c r="J1811" s="24">
        <f>Sales[Total_Amount]</f>
        <v>30.176</v>
      </c>
      <c r="K1811" s="21" t="str">
        <f t="shared" si="1"/>
        <v>Mar</v>
      </c>
      <c r="L1811" s="21">
        <f t="shared" si="2"/>
        <v>2025</v>
      </c>
      <c r="N1811" s="33"/>
      <c r="O1811" s="34"/>
    </row>
    <row r="1812" ht="22.5" customHeight="1">
      <c r="A1812" s="21" t="s">
        <v>3777</v>
      </c>
      <c r="B1812" s="21" t="s">
        <v>1131</v>
      </c>
      <c r="C1812" s="21" t="str">
        <f t="array" ref="C1812">XLOOKUP(B1812,Customer[Customer_ID],Customer[Name(Cleaned)])</f>
        <v>Steve Hunt</v>
      </c>
      <c r="D1812" s="22" t="str">
        <f>VLOOKUP(B1812,Customer[#ALL],6)</f>
        <v>Female</v>
      </c>
      <c r="E1812" s="23">
        <f>Sales[Order_Date]</f>
        <v>45809</v>
      </c>
      <c r="F1812" s="21" t="str">
        <f>Sales[Store_ID]</f>
        <v>STORE6</v>
      </c>
      <c r="G1812" s="21" t="str">
        <f t="array" ref="G1812">INDEX(Store[Store_Name],MATCH(F1812,Store[Store_ID],0))</f>
        <v>Benson-Elliott</v>
      </c>
      <c r="H1812" s="21" t="str">
        <f>Sales[Product_ID]</f>
        <v>PROD88</v>
      </c>
      <c r="I1812" s="21" t="str">
        <f>VLOOKUP(H1812,Products[],2)</f>
        <v>Sports Wrist Sweatbands</v>
      </c>
      <c r="J1812" s="24">
        <f>Sales[Total_Amount]</f>
        <v>463.8582</v>
      </c>
      <c r="K1812" s="21" t="str">
        <f t="shared" si="1"/>
        <v>Jun</v>
      </c>
      <c r="L1812" s="21">
        <f t="shared" si="2"/>
        <v>2025</v>
      </c>
      <c r="N1812" s="33"/>
      <c r="O1812" s="34"/>
    </row>
    <row r="1813" ht="22.5" customHeight="1">
      <c r="A1813" s="21" t="s">
        <v>3778</v>
      </c>
      <c r="B1813" s="21" t="s">
        <v>329</v>
      </c>
      <c r="C1813" s="21" t="str">
        <f t="array" ref="C1813">XLOOKUP(B1813,Customer[Customer_ID],Customer[Name(Cleaned)])</f>
        <v>Jamie Yoder</v>
      </c>
      <c r="D1813" s="22" t="str">
        <f>VLOOKUP(B1813,Customer[#ALL],6)</f>
        <v>Female</v>
      </c>
      <c r="E1813" s="23">
        <f>Sales[Order_Date]</f>
        <v>45760</v>
      </c>
      <c r="F1813" s="21" t="str">
        <f>Sales[Store_ID]</f>
        <v>STORE18</v>
      </c>
      <c r="G1813" s="21" t="str">
        <f t="array" ref="G1813">INDEX(Store[Store_Name],MATCH(F1813,Store[Store_ID],0))</f>
        <v>Guerrero-Schmitt</v>
      </c>
      <c r="H1813" s="21" t="str">
        <f>Sales[Product_ID]</f>
        <v>PROD20</v>
      </c>
      <c r="I1813" s="21" t="str">
        <f>VLOOKUP(H1813,Products[],2)</f>
        <v>Outdoor Sports Water Bottle</v>
      </c>
      <c r="J1813" s="24">
        <f>Sales[Total_Amount]</f>
        <v>19.481</v>
      </c>
      <c r="K1813" s="21" t="str">
        <f t="shared" si="1"/>
        <v>Apr</v>
      </c>
      <c r="L1813" s="21">
        <f t="shared" si="2"/>
        <v>2025</v>
      </c>
      <c r="N1813" s="33"/>
      <c r="O1813" s="34"/>
    </row>
    <row r="1814" ht="22.5" customHeight="1">
      <c r="A1814" s="21" t="s">
        <v>3779</v>
      </c>
      <c r="B1814" s="21" t="s">
        <v>1270</v>
      </c>
      <c r="C1814" s="21" t="str">
        <f t="array" ref="C1814">XLOOKUP(B1814,Customer[Customer_ID],Customer[Name(Cleaned)])</f>
        <v>Justin Ingram</v>
      </c>
      <c r="D1814" s="22" t="str">
        <f>VLOOKUP(B1814,Customer[#ALL],6)</f>
        <v>Female</v>
      </c>
      <c r="E1814" s="23">
        <f>Sales[Order_Date]</f>
        <v>45427</v>
      </c>
      <c r="F1814" s="21" t="str">
        <f>Sales[Store_ID]</f>
        <v>STORE18</v>
      </c>
      <c r="G1814" s="21" t="str">
        <f t="array" ref="G1814">INDEX(Store[Store_Name],MATCH(F1814,Store[Store_ID],0))</f>
        <v>Guerrero-Schmitt</v>
      </c>
      <c r="H1814" s="21" t="str">
        <f>Sales[Product_ID]</f>
        <v>PROD17</v>
      </c>
      <c r="I1814" s="21" t="str">
        <f>VLOOKUP(H1814,Products[],2)</f>
        <v>Soccer Training Cone Set</v>
      </c>
      <c r="J1814" s="24">
        <f>Sales[Total_Amount]</f>
        <v>133.4332</v>
      </c>
      <c r="K1814" s="21" t="str">
        <f t="shared" si="1"/>
        <v>May</v>
      </c>
      <c r="L1814" s="21">
        <f t="shared" si="2"/>
        <v>2024</v>
      </c>
      <c r="N1814" s="33"/>
      <c r="O1814" s="34"/>
    </row>
    <row r="1815" ht="22.5" customHeight="1">
      <c r="A1815" s="21" t="s">
        <v>3780</v>
      </c>
      <c r="B1815" s="21" t="s">
        <v>914</v>
      </c>
      <c r="C1815" s="21" t="str">
        <f t="array" ref="C1815">XLOOKUP(B1815,Customer[Customer_ID],Customer[Name(Cleaned)])</f>
        <v>Bryan Garcia</v>
      </c>
      <c r="D1815" s="22" t="str">
        <f>VLOOKUP(B1815,Customer[#ALL],6)</f>
        <v>Male</v>
      </c>
      <c r="E1815" s="23">
        <f>Sales[Order_Date]</f>
        <v>45456</v>
      </c>
      <c r="F1815" s="21" t="str">
        <f>Sales[Store_ID]</f>
        <v>STORE4</v>
      </c>
      <c r="G1815" s="21" t="str">
        <f t="array" ref="G1815">INDEX(Store[Store_Name],MATCH(F1815,Store[Store_ID],0))</f>
        <v>Alexander Group</v>
      </c>
      <c r="H1815" s="21" t="str">
        <f>Sales[Product_ID]</f>
        <v>PROD70</v>
      </c>
      <c r="I1815" s="21" t="str">
        <f>VLOOKUP(H1815,Products[],2)</f>
        <v>Kitchen Storage Rack</v>
      </c>
      <c r="J1815" s="24">
        <f>Sales[Total_Amount]</f>
        <v>1509.2352</v>
      </c>
      <c r="K1815" s="21" t="str">
        <f t="shared" si="1"/>
        <v>Jun</v>
      </c>
      <c r="L1815" s="21">
        <f t="shared" si="2"/>
        <v>2024</v>
      </c>
      <c r="N1815" s="33"/>
      <c r="O1815" s="34"/>
    </row>
    <row r="1816" ht="22.5" customHeight="1">
      <c r="A1816" s="21" t="s">
        <v>3781</v>
      </c>
      <c r="B1816" s="21" t="s">
        <v>66</v>
      </c>
      <c r="C1816" s="21" t="str">
        <f t="array" ref="C1816">XLOOKUP(B1816,Customer[Customer_ID],Customer[Name(Cleaned)])</f>
        <v>Kenneth Lambert</v>
      </c>
      <c r="D1816" s="22" t="str">
        <f>VLOOKUP(B1816,Customer[#ALL],6)</f>
        <v>Male</v>
      </c>
      <c r="E1816" s="23">
        <f>Sales[Order_Date]</f>
        <v>45698</v>
      </c>
      <c r="F1816" s="21" t="str">
        <f>Sales[Store_ID]</f>
        <v>STORE13</v>
      </c>
      <c r="G1816" s="21" t="str">
        <f t="array" ref="G1816">INDEX(Store[Store_Name],MATCH(F1816,Store[Store_ID],0))</f>
        <v>Gardner, Humphrey and Contreras</v>
      </c>
      <c r="H1816" s="21" t="str">
        <f>Sales[Product_ID]</f>
        <v>PROD76</v>
      </c>
      <c r="I1816" s="21" t="str">
        <f>VLOOKUP(H1816,Products[],2)</f>
        <v>Wireless Mouse</v>
      </c>
      <c r="J1816" s="24">
        <f>Sales[Total_Amount]</f>
        <v>1795.982</v>
      </c>
      <c r="K1816" s="21" t="str">
        <f t="shared" si="1"/>
        <v>Feb</v>
      </c>
      <c r="L1816" s="21">
        <f t="shared" si="2"/>
        <v>2025</v>
      </c>
      <c r="N1816" s="33"/>
      <c r="O1816" s="34"/>
    </row>
    <row r="1817" ht="22.5" customHeight="1">
      <c r="A1817" s="21" t="s">
        <v>3782</v>
      </c>
      <c r="B1817" s="21" t="s">
        <v>1529</v>
      </c>
      <c r="C1817" s="21" t="str">
        <f t="array" ref="C1817">XLOOKUP(B1817,Customer[Customer_ID],Customer[Name(Cleaned)])</f>
        <v>Darrell Miller</v>
      </c>
      <c r="D1817" s="22" t="str">
        <f>VLOOKUP(B1817,Customer[#ALL],6)</f>
        <v>Male</v>
      </c>
      <c r="E1817" s="23">
        <f>Sales[Order_Date]</f>
        <v>45548</v>
      </c>
      <c r="F1817" s="21" t="str">
        <f>Sales[Store_ID]</f>
        <v>STORE16</v>
      </c>
      <c r="G1817" s="21" t="str">
        <f t="array" ref="G1817">INDEX(Store[Store_Name],MATCH(F1817,Store[Store_ID],0))</f>
        <v>Frederick-Wright</v>
      </c>
      <c r="H1817" s="21" t="str">
        <f>Sales[Product_ID]</f>
        <v>PROD46</v>
      </c>
      <c r="I1817" s="21" t="str">
        <f>VLOOKUP(H1817,Products[],2)</f>
        <v>Men's Winter Jacket</v>
      </c>
      <c r="J1817" s="24">
        <f>Sales[Total_Amount]</f>
        <v>1186.968</v>
      </c>
      <c r="K1817" s="21" t="str">
        <f t="shared" si="1"/>
        <v>Sep</v>
      </c>
      <c r="L1817" s="21">
        <f t="shared" si="2"/>
        <v>2024</v>
      </c>
      <c r="N1817" s="33"/>
      <c r="O1817" s="34"/>
    </row>
    <row r="1818" ht="22.5" customHeight="1">
      <c r="A1818" s="21" t="s">
        <v>3783</v>
      </c>
      <c r="B1818" s="21" t="s">
        <v>607</v>
      </c>
      <c r="C1818" s="21" t="str">
        <f t="array" ref="C1818">XLOOKUP(B1818,Customer[Customer_ID],Customer[Name(Cleaned)])</f>
        <v>Wesley Thompson</v>
      </c>
      <c r="D1818" s="22" t="str">
        <f>VLOOKUP(B1818,Customer[#ALL],6)</f>
        <v>Female</v>
      </c>
      <c r="E1818" s="23">
        <f>Sales[Order_Date]</f>
        <v>45236</v>
      </c>
      <c r="F1818" s="21" t="str">
        <f>Sales[Store_ID]</f>
        <v>STORE14</v>
      </c>
      <c r="G1818" s="21" t="str">
        <f t="array" ref="G1818">INDEX(Store[Store_Name],MATCH(F1818,Store[Store_ID],0))</f>
        <v>Mcdonald Inc</v>
      </c>
      <c r="H1818" s="21" t="str">
        <f>Sales[Product_ID]</f>
        <v>PROD21</v>
      </c>
      <c r="I1818" s="21" t="str">
        <f>VLOOKUP(H1818,Products[],2)</f>
        <v>Multi-Purpose Storage Box</v>
      </c>
      <c r="J1818" s="24">
        <f>Sales[Total_Amount]</f>
        <v>919.2918</v>
      </c>
      <c r="K1818" s="21" t="str">
        <f t="shared" si="1"/>
        <v>Nov</v>
      </c>
      <c r="L1818" s="21">
        <f t="shared" si="2"/>
        <v>2023</v>
      </c>
      <c r="N1818" s="33"/>
      <c r="O1818" s="34"/>
    </row>
    <row r="1819" ht="22.5" customHeight="1">
      <c r="A1819" s="21" t="s">
        <v>3784</v>
      </c>
      <c r="B1819" s="21" t="s">
        <v>1170</v>
      </c>
      <c r="C1819" s="21" t="str">
        <f t="array" ref="C1819">XLOOKUP(B1819,Customer[Customer_ID],Customer[Name(Cleaned)])</f>
        <v>Gregory Allen</v>
      </c>
      <c r="D1819" s="22" t="str">
        <f>VLOOKUP(B1819,Customer[#ALL],6)</f>
        <v>Male</v>
      </c>
      <c r="E1819" s="23">
        <f>Sales[Order_Date]</f>
        <v>45310</v>
      </c>
      <c r="F1819" s="21" t="str">
        <f>Sales[Store_ID]</f>
        <v>STORE12</v>
      </c>
      <c r="G1819" s="21" t="str">
        <f t="array" ref="G1819">INDEX(Store[Store_Name],MATCH(F1819,Store[Store_ID],0))</f>
        <v>Thomas, Bridges and Harris</v>
      </c>
      <c r="H1819" s="21" t="str">
        <f>Sales[Product_ID]</f>
        <v>PROD83</v>
      </c>
      <c r="I1819" s="21" t="str">
        <f>VLOOKUP(H1819,Products[],2)</f>
        <v>Hydrating Face Cleanser</v>
      </c>
      <c r="J1819" s="24">
        <f>Sales[Total_Amount]</f>
        <v>1149.066</v>
      </c>
      <c r="K1819" s="21" t="str">
        <f t="shared" si="1"/>
        <v>Jan</v>
      </c>
      <c r="L1819" s="21">
        <f t="shared" si="2"/>
        <v>2024</v>
      </c>
      <c r="N1819" s="33"/>
      <c r="O1819" s="34"/>
    </row>
    <row r="1820" ht="22.5" customHeight="1">
      <c r="A1820" s="21" t="s">
        <v>3785</v>
      </c>
      <c r="B1820" s="21" t="s">
        <v>914</v>
      </c>
      <c r="C1820" s="21" t="str">
        <f t="array" ref="C1820">XLOOKUP(B1820,Customer[Customer_ID],Customer[Name(Cleaned)])</f>
        <v>Bryan Garcia</v>
      </c>
      <c r="D1820" s="22" t="str">
        <f>VLOOKUP(B1820,Customer[#ALL],6)</f>
        <v>Male</v>
      </c>
      <c r="E1820" s="23">
        <f>Sales[Order_Date]</f>
        <v>45376</v>
      </c>
      <c r="F1820" s="21" t="str">
        <f>Sales[Store_ID]</f>
        <v>STORE19</v>
      </c>
      <c r="G1820" s="21" t="str">
        <f t="array" ref="G1820">INDEX(Store[Store_Name],MATCH(F1820,Store[Store_ID],0))</f>
        <v>Mann-Austin</v>
      </c>
      <c r="H1820" s="21" t="str">
        <f>Sales[Product_ID]</f>
        <v>PROD68</v>
      </c>
      <c r="I1820" s="21" t="str">
        <f>VLOOKUP(H1820,Products[],2)</f>
        <v>Wooden Nightstand</v>
      </c>
      <c r="J1820" s="24">
        <f>Sales[Total_Amount]</f>
        <v>611.1742</v>
      </c>
      <c r="K1820" s="21" t="str">
        <f t="shared" si="1"/>
        <v>Mar</v>
      </c>
      <c r="L1820" s="21">
        <f t="shared" si="2"/>
        <v>2024</v>
      </c>
      <c r="N1820" s="33"/>
      <c r="O1820" s="34"/>
    </row>
    <row r="1821" ht="22.5" customHeight="1">
      <c r="A1821" s="21" t="s">
        <v>3786</v>
      </c>
      <c r="B1821" s="21" t="s">
        <v>1014</v>
      </c>
      <c r="C1821" s="21" t="str">
        <f t="array" ref="C1821">XLOOKUP(B1821,Customer[Customer_ID],Customer[Name(Cleaned)])</f>
        <v>Tiffany Williams</v>
      </c>
      <c r="D1821" s="22" t="str">
        <f>VLOOKUP(B1821,Customer[#ALL],6)</f>
        <v>Male</v>
      </c>
      <c r="E1821" s="23">
        <f>Sales[Order_Date]</f>
        <v>45914</v>
      </c>
      <c r="F1821" s="21" t="str">
        <f>Sales[Store_ID]</f>
        <v>STORE3</v>
      </c>
      <c r="G1821" s="21" t="str">
        <f t="array" ref="G1821">INDEX(Store[Store_Name],MATCH(F1821,Store[Store_ID],0))</f>
        <v>Johnson-Wright</v>
      </c>
      <c r="H1821" s="21" t="str">
        <f>Sales[Product_ID]</f>
        <v>PROD82</v>
      </c>
      <c r="I1821" s="21" t="str">
        <f>VLOOKUP(H1821,Products[],2)</f>
        <v>Fitness Resistance Bands</v>
      </c>
      <c r="J1821" s="24">
        <f>Sales[Total_Amount]</f>
        <v>615.7972</v>
      </c>
      <c r="K1821" s="21" t="str">
        <f t="shared" si="1"/>
        <v>Sep</v>
      </c>
      <c r="L1821" s="21">
        <f t="shared" si="2"/>
        <v>2025</v>
      </c>
      <c r="N1821" s="33"/>
      <c r="O1821" s="34"/>
    </row>
    <row r="1822" ht="22.5" customHeight="1">
      <c r="A1822" s="21" t="s">
        <v>3787</v>
      </c>
      <c r="B1822" s="21" t="s">
        <v>303</v>
      </c>
      <c r="C1822" s="21" t="str">
        <f t="array" ref="C1822">XLOOKUP(B1822,Customer[Customer_ID],Customer[Name(Cleaned)])</f>
        <v>Krystal Ford</v>
      </c>
      <c r="D1822" s="22" t="str">
        <f>VLOOKUP(B1822,Customer[#ALL],6)</f>
        <v>Male</v>
      </c>
      <c r="E1822" s="23">
        <f>Sales[Order_Date]</f>
        <v>45336</v>
      </c>
      <c r="F1822" s="21" t="str">
        <f>Sales[Store_ID]</f>
        <v>STORE12</v>
      </c>
      <c r="G1822" s="21" t="str">
        <f t="array" ref="G1822">INDEX(Store[Store_Name],MATCH(F1822,Store[Store_ID],0))</f>
        <v>Thomas, Bridges and Harris</v>
      </c>
      <c r="H1822" s="21" t="str">
        <f>Sales[Product_ID]</f>
        <v>PROD10</v>
      </c>
      <c r="I1822" s="21" t="str">
        <f>VLOOKUP(H1822,Products[],2)</f>
        <v>Men's Graphic T-Shirt</v>
      </c>
      <c r="J1822" s="24">
        <f>Sales[Total_Amount]</f>
        <v>612.6885</v>
      </c>
      <c r="K1822" s="21" t="str">
        <f t="shared" si="1"/>
        <v>Feb</v>
      </c>
      <c r="L1822" s="21">
        <f t="shared" si="2"/>
        <v>2024</v>
      </c>
      <c r="N1822" s="33"/>
      <c r="O1822" s="34"/>
    </row>
    <row r="1823" ht="22.5" customHeight="1">
      <c r="A1823" s="21" t="s">
        <v>3788</v>
      </c>
      <c r="B1823" s="21" t="s">
        <v>283</v>
      </c>
      <c r="C1823" s="21" t="str">
        <f t="array" ref="C1823">XLOOKUP(B1823,Customer[Customer_ID],Customer[Name(Cleaned)])</f>
        <v>Rhonda Morales</v>
      </c>
      <c r="D1823" s="22" t="str">
        <f>VLOOKUP(B1823,Customer[#ALL],6)</f>
        <v>Male</v>
      </c>
      <c r="E1823" s="23">
        <f>Sales[Order_Date]</f>
        <v>45728</v>
      </c>
      <c r="F1823" s="21" t="str">
        <f>Sales[Store_ID]</f>
        <v>STORE16</v>
      </c>
      <c r="G1823" s="21" t="str">
        <f t="array" ref="G1823">INDEX(Store[Store_Name],MATCH(F1823,Store[Store_ID],0))</f>
        <v>Frederick-Wright</v>
      </c>
      <c r="H1823" s="21" t="str">
        <f>Sales[Product_ID]</f>
        <v>PROD28</v>
      </c>
      <c r="I1823" s="21" t="str">
        <f>VLOOKUP(H1823,Products[],2)</f>
        <v>Sports Stopwatch Timer</v>
      </c>
      <c r="J1823" s="24">
        <f>Sales[Total_Amount]</f>
        <v>891.5328</v>
      </c>
      <c r="K1823" s="21" t="str">
        <f t="shared" si="1"/>
        <v>Mar</v>
      </c>
      <c r="L1823" s="21">
        <f t="shared" si="2"/>
        <v>2025</v>
      </c>
      <c r="N1823" s="33"/>
      <c r="O1823" s="34"/>
    </row>
    <row r="1824" ht="22.5" customHeight="1">
      <c r="A1824" s="21" t="s">
        <v>3789</v>
      </c>
      <c r="B1824" s="21" t="s">
        <v>705</v>
      </c>
      <c r="C1824" s="21" t="str">
        <f t="array" ref="C1824">XLOOKUP(B1824,Customer[Customer_ID],Customer[Name(Cleaned)])</f>
        <v>Stuart Johnson</v>
      </c>
      <c r="D1824" s="22" t="str">
        <f>VLOOKUP(B1824,Customer[#ALL],6)</f>
        <v>Male</v>
      </c>
      <c r="E1824" s="23">
        <f>Sales[Order_Date]</f>
        <v>45755</v>
      </c>
      <c r="F1824" s="21" t="str">
        <f>Sales[Store_ID]</f>
        <v>STORE0</v>
      </c>
      <c r="G1824" s="21" t="str">
        <f t="array" ref="G1824">INDEX(Store[Store_Name],MATCH(F1824,Store[Store_ID],0))</f>
        <v>Rivera-Warner</v>
      </c>
      <c r="H1824" s="21" t="str">
        <f>Sales[Product_ID]</f>
        <v>PROD87</v>
      </c>
      <c r="I1824" s="21" t="str">
        <f>VLOOKUP(H1824,Products[],2)</f>
        <v>LED Bedside Lamp</v>
      </c>
      <c r="J1824" s="24">
        <f>Sales[Total_Amount]</f>
        <v>1913.8392</v>
      </c>
      <c r="K1824" s="21" t="str">
        <f t="shared" si="1"/>
        <v>Apr</v>
      </c>
      <c r="L1824" s="21">
        <f t="shared" si="2"/>
        <v>2025</v>
      </c>
      <c r="N1824" s="33"/>
      <c r="O1824" s="34"/>
    </row>
    <row r="1825" ht="22.5" customHeight="1">
      <c r="A1825" s="21" t="s">
        <v>3790</v>
      </c>
      <c r="B1825" s="21" t="s">
        <v>1329</v>
      </c>
      <c r="C1825" s="21" t="str">
        <f t="array" ref="C1825">XLOOKUP(B1825,Customer[Customer_ID],Customer[Name(Cleaned)])</f>
        <v>Rebecca Baker</v>
      </c>
      <c r="D1825" s="22" t="str">
        <f>VLOOKUP(B1825,Customer[#ALL],6)</f>
        <v>Female</v>
      </c>
      <c r="E1825" s="23">
        <f>Sales[Order_Date]</f>
        <v>45268</v>
      </c>
      <c r="F1825" s="21" t="str">
        <f>Sales[Store_ID]</f>
        <v>STORE17</v>
      </c>
      <c r="G1825" s="21" t="str">
        <f t="array" ref="G1825">INDEX(Store[Store_Name],MATCH(F1825,Store[Store_ID],0))</f>
        <v>Holloway Ltd</v>
      </c>
      <c r="H1825" s="21" t="str">
        <f>Sales[Product_ID]</f>
        <v>PROD46</v>
      </c>
      <c r="I1825" s="21" t="str">
        <f>VLOOKUP(H1825,Products[],2)</f>
        <v>Men's Winter Jacket</v>
      </c>
      <c r="J1825" s="24">
        <f>Sales[Total_Amount]</f>
        <v>734.8915</v>
      </c>
      <c r="K1825" s="21" t="str">
        <f t="shared" si="1"/>
        <v>Dec</v>
      </c>
      <c r="L1825" s="21">
        <f t="shared" si="2"/>
        <v>2023</v>
      </c>
      <c r="N1825" s="33"/>
      <c r="O1825" s="34"/>
    </row>
    <row r="1826" ht="22.5" customHeight="1">
      <c r="A1826" s="21" t="s">
        <v>3791</v>
      </c>
      <c r="B1826" s="21" t="s">
        <v>389</v>
      </c>
      <c r="C1826" s="21" t="str">
        <f t="array" ref="C1826">XLOOKUP(B1826,Customer[Customer_ID],Customer[Name(Cleaned)])</f>
        <v>Travis Holland</v>
      </c>
      <c r="D1826" s="22" t="str">
        <f>VLOOKUP(B1826,Customer[#ALL],6)</f>
        <v>Female</v>
      </c>
      <c r="E1826" s="23">
        <f>Sales[Order_Date]</f>
        <v>45695</v>
      </c>
      <c r="F1826" s="21" t="str">
        <f>Sales[Store_ID]</f>
        <v>STORE10</v>
      </c>
      <c r="G1826" s="21" t="str">
        <f t="array" ref="G1826">INDEX(Store[Store_Name],MATCH(F1826,Store[Store_ID],0))</f>
        <v>Hill, Wagner and Ballard</v>
      </c>
      <c r="H1826" s="21" t="str">
        <f>Sales[Product_ID]</f>
        <v>PROD48</v>
      </c>
      <c r="I1826" s="21" t="str">
        <f>VLOOKUP(H1826,Products[],2)</f>
        <v>Car Dashboard Phone Holder</v>
      </c>
      <c r="J1826" s="24">
        <f>Sales[Total_Amount]</f>
        <v>2164.6944</v>
      </c>
      <c r="K1826" s="21" t="str">
        <f t="shared" si="1"/>
        <v>Feb</v>
      </c>
      <c r="L1826" s="21">
        <f t="shared" si="2"/>
        <v>2025</v>
      </c>
      <c r="N1826" s="33"/>
      <c r="O1826" s="34"/>
    </row>
    <row r="1827" ht="22.5" customHeight="1">
      <c r="A1827" s="21" t="s">
        <v>3792</v>
      </c>
      <c r="B1827" s="21" t="s">
        <v>395</v>
      </c>
      <c r="C1827" s="21" t="str">
        <f t="array" ref="C1827">XLOOKUP(B1827,Customer[Customer_ID],Customer[Name(Cleaned)])</f>
        <v>Ashley Griffin</v>
      </c>
      <c r="D1827" s="22" t="str">
        <f>VLOOKUP(B1827,Customer[#ALL],6)</f>
        <v>Male</v>
      </c>
      <c r="E1827" s="23">
        <f>Sales[Order_Date]</f>
        <v>45380</v>
      </c>
      <c r="F1827" s="21" t="str">
        <f>Sales[Store_ID]</f>
        <v>STORE15</v>
      </c>
      <c r="G1827" s="21" t="str">
        <f t="array" ref="G1827">INDEX(Store[Store_Name],MATCH(F1827,Store[Store_ID],0))</f>
        <v>Shelton PLC</v>
      </c>
      <c r="H1827" s="21" t="str">
        <f>Sales[Product_ID]</f>
        <v>PROD31</v>
      </c>
      <c r="I1827" s="21" t="str">
        <f>VLOOKUP(H1827,Products[],2)</f>
        <v>Basketball</v>
      </c>
      <c r="J1827" s="24">
        <f>Sales[Total_Amount]</f>
        <v>262.7802</v>
      </c>
      <c r="K1827" s="21" t="str">
        <f t="shared" si="1"/>
        <v>Mar</v>
      </c>
      <c r="L1827" s="21">
        <f t="shared" si="2"/>
        <v>2024</v>
      </c>
      <c r="N1827" s="33"/>
      <c r="O1827" s="34"/>
    </row>
    <row r="1828" ht="22.5" customHeight="1">
      <c r="A1828" s="21" t="s">
        <v>3793</v>
      </c>
      <c r="B1828" s="21" t="s">
        <v>833</v>
      </c>
      <c r="C1828" s="21" t="str">
        <f t="array" ref="C1828">XLOOKUP(B1828,Customer[Customer_ID],Customer[Name(Cleaned)])</f>
        <v>Kristen Fischer</v>
      </c>
      <c r="D1828" s="22" t="str">
        <f>VLOOKUP(B1828,Customer[#ALL],6)</f>
        <v>Female</v>
      </c>
      <c r="E1828" s="23">
        <f>Sales[Order_Date]</f>
        <v>45446</v>
      </c>
      <c r="F1828" s="21" t="str">
        <f>Sales[Store_ID]</f>
        <v>STORE4</v>
      </c>
      <c r="G1828" s="21" t="str">
        <f t="array" ref="G1828">INDEX(Store[Store_Name],MATCH(F1828,Store[Store_ID],0))</f>
        <v>Alexander Group</v>
      </c>
      <c r="H1828" s="21" t="str">
        <f>Sales[Product_ID]</f>
        <v>PROD27</v>
      </c>
      <c r="I1828" s="21" t="str">
        <f>VLOOKUP(H1828,Products[],2)</f>
        <v>Decorative Floor Vase</v>
      </c>
      <c r="J1828" s="24">
        <f>Sales[Total_Amount]</f>
        <v>800.2113</v>
      </c>
      <c r="K1828" s="21" t="str">
        <f t="shared" si="1"/>
        <v>Jun</v>
      </c>
      <c r="L1828" s="21">
        <f t="shared" si="2"/>
        <v>2024</v>
      </c>
      <c r="N1828" s="33"/>
      <c r="O1828" s="34"/>
    </row>
    <row r="1829" ht="22.5" customHeight="1">
      <c r="A1829" s="21" t="s">
        <v>3794</v>
      </c>
      <c r="B1829" s="21" t="s">
        <v>460</v>
      </c>
      <c r="C1829" s="21" t="str">
        <f t="array" ref="C1829">XLOOKUP(B1829,Customer[Customer_ID],Customer[Name(Cleaned)])</f>
        <v>Joseph Richards</v>
      </c>
      <c r="D1829" s="22" t="str">
        <f>VLOOKUP(B1829,Customer[#ALL],6)</f>
        <v>Male</v>
      </c>
      <c r="E1829" s="23">
        <f>Sales[Order_Date]</f>
        <v>45525</v>
      </c>
      <c r="F1829" s="21" t="str">
        <f>Sales[Store_ID]</f>
        <v>STORE0</v>
      </c>
      <c r="G1829" s="21" t="str">
        <f t="array" ref="G1829">INDEX(Store[Store_Name],MATCH(F1829,Store[Store_ID],0))</f>
        <v>Rivera-Warner</v>
      </c>
      <c r="H1829" s="21" t="str">
        <f>Sales[Product_ID]</f>
        <v>PROD19</v>
      </c>
      <c r="I1829" s="21" t="str">
        <f>VLOOKUP(H1829,Products[],2)</f>
        <v>Knee Support Brace</v>
      </c>
      <c r="J1829" s="24">
        <f>Sales[Total_Amount]</f>
        <v>245.802</v>
      </c>
      <c r="K1829" s="21" t="str">
        <f t="shared" si="1"/>
        <v>Aug</v>
      </c>
      <c r="L1829" s="21">
        <f t="shared" si="2"/>
        <v>2024</v>
      </c>
      <c r="N1829" s="33"/>
      <c r="O1829" s="34"/>
    </row>
    <row r="1830" ht="22.5" customHeight="1">
      <c r="A1830" s="21" t="s">
        <v>3795</v>
      </c>
      <c r="B1830" s="21" t="s">
        <v>1427</v>
      </c>
      <c r="C1830" s="21" t="str">
        <f t="array" ref="C1830">XLOOKUP(B1830,Customer[Customer_ID],Customer[Name(Cleaned)])</f>
        <v>Christina Robertson</v>
      </c>
      <c r="D1830" s="22" t="str">
        <f>VLOOKUP(B1830,Customer[#ALL],6)</f>
        <v>Female</v>
      </c>
      <c r="E1830" s="23">
        <f>Sales[Order_Date]</f>
        <v>45527</v>
      </c>
      <c r="F1830" s="21" t="str">
        <f>Sales[Store_ID]</f>
        <v>STORE15</v>
      </c>
      <c r="G1830" s="21" t="str">
        <f t="array" ref="G1830">INDEX(Store[Store_Name],MATCH(F1830,Store[Store_ID],0))</f>
        <v>Shelton PLC</v>
      </c>
      <c r="H1830" s="21" t="str">
        <f>Sales[Product_ID]</f>
        <v>PROD43</v>
      </c>
      <c r="I1830" s="21" t="str">
        <f>VLOOKUP(H1830,Products[],2)</f>
        <v>USB External Hard Drive</v>
      </c>
      <c r="J1830" s="24">
        <f>Sales[Total_Amount]</f>
        <v>1686.4275</v>
      </c>
      <c r="K1830" s="21" t="str">
        <f t="shared" si="1"/>
        <v>Aug</v>
      </c>
      <c r="L1830" s="21">
        <f t="shared" si="2"/>
        <v>2024</v>
      </c>
      <c r="N1830" s="33"/>
      <c r="O1830" s="34"/>
    </row>
    <row r="1831" ht="22.5" customHeight="1">
      <c r="A1831" s="21" t="s">
        <v>3796</v>
      </c>
      <c r="B1831" s="21" t="s">
        <v>1020</v>
      </c>
      <c r="C1831" s="21" t="str">
        <f t="array" ref="C1831">XLOOKUP(B1831,Customer[Customer_ID],Customer[Name(Cleaned)])</f>
        <v>Casey Simpson</v>
      </c>
      <c r="D1831" s="22" t="str">
        <f>VLOOKUP(B1831,Customer[#ALL],6)</f>
        <v>Female</v>
      </c>
      <c r="E1831" s="23">
        <f>Sales[Order_Date]</f>
        <v>45265</v>
      </c>
      <c r="F1831" s="21" t="str">
        <f>Sales[Store_ID]</f>
        <v>STORE13</v>
      </c>
      <c r="G1831" s="21" t="str">
        <f t="array" ref="G1831">INDEX(Store[Store_Name],MATCH(F1831,Store[Store_ID],0))</f>
        <v>Gardner, Humphrey and Contreras</v>
      </c>
      <c r="H1831" s="21" t="str">
        <f>Sales[Product_ID]</f>
        <v>PROD39</v>
      </c>
      <c r="I1831" s="21" t="str">
        <f>VLOOKUP(H1831,Products[],2)</f>
        <v>Portable Power Bank</v>
      </c>
      <c r="J1831" s="24">
        <f>Sales[Total_Amount]</f>
        <v>460.9608</v>
      </c>
      <c r="K1831" s="21" t="str">
        <f t="shared" si="1"/>
        <v>Dec</v>
      </c>
      <c r="L1831" s="21">
        <f t="shared" si="2"/>
        <v>2023</v>
      </c>
      <c r="N1831" s="33"/>
      <c r="O1831" s="34"/>
    </row>
    <row r="1832" ht="22.5" customHeight="1">
      <c r="A1832" s="21" t="s">
        <v>3797</v>
      </c>
      <c r="B1832" s="21" t="s">
        <v>1468</v>
      </c>
      <c r="C1832" s="21" t="str">
        <f t="array" ref="C1832">XLOOKUP(B1832,Customer[Customer_ID],Customer[Name(Cleaned)])</f>
        <v>Debra Mccullough</v>
      </c>
      <c r="D1832" s="22" t="str">
        <f>VLOOKUP(B1832,Customer[#ALL],6)</f>
        <v>Female</v>
      </c>
      <c r="E1832" s="23">
        <f>Sales[Order_Date]</f>
        <v>45936</v>
      </c>
      <c r="F1832" s="21" t="str">
        <f>Sales[Store_ID]</f>
        <v>STORE3</v>
      </c>
      <c r="G1832" s="21" t="str">
        <f t="array" ref="G1832">INDEX(Store[Store_Name],MATCH(F1832,Store[Store_ID],0))</f>
        <v>Johnson-Wright</v>
      </c>
      <c r="H1832" s="21" t="str">
        <f>Sales[Product_ID]</f>
        <v>PROD54</v>
      </c>
      <c r="I1832" s="21" t="str">
        <f>VLOOKUP(H1832,Products[],2)</f>
        <v>Sports Stopwatch Pro</v>
      </c>
      <c r="J1832" s="24">
        <f>Sales[Total_Amount]</f>
        <v>1555.4619</v>
      </c>
      <c r="K1832" s="21" t="str">
        <f t="shared" si="1"/>
        <v>Oct</v>
      </c>
      <c r="L1832" s="21">
        <f t="shared" si="2"/>
        <v>2025</v>
      </c>
      <c r="N1832" s="33"/>
      <c r="O1832" s="34"/>
    </row>
    <row r="1833" ht="22.5" customHeight="1">
      <c r="A1833" s="21" t="s">
        <v>3798</v>
      </c>
      <c r="B1833" s="21" t="s">
        <v>699</v>
      </c>
      <c r="C1833" s="21" t="str">
        <f t="array" ref="C1833">XLOOKUP(B1833,Customer[Customer_ID],Customer[Name(Cleaned)])</f>
        <v>Rodney Huffman</v>
      </c>
      <c r="D1833" s="22" t="str">
        <f>VLOOKUP(B1833,Customer[#ALL],6)</f>
        <v>Male</v>
      </c>
      <c r="E1833" s="23">
        <f>Sales[Order_Date]</f>
        <v>45242</v>
      </c>
      <c r="F1833" s="21" t="str">
        <f>Sales[Store_ID]</f>
        <v>STORE17</v>
      </c>
      <c r="G1833" s="21" t="str">
        <f t="array" ref="G1833">INDEX(Store[Store_Name],MATCH(F1833,Store[Store_ID],0))</f>
        <v>Holloway Ltd</v>
      </c>
      <c r="H1833" s="21" t="str">
        <f>Sales[Product_ID]</f>
        <v>PROD95</v>
      </c>
      <c r="I1833" s="21" t="str">
        <f>VLOOKUP(H1833,Products[],2)</f>
        <v>Sports Stopwatch Basic</v>
      </c>
      <c r="J1833" s="24">
        <f>Sales[Total_Amount]</f>
        <v>171.4518</v>
      </c>
      <c r="K1833" s="21" t="str">
        <f t="shared" si="1"/>
        <v>Nov</v>
      </c>
      <c r="L1833" s="21">
        <f t="shared" si="2"/>
        <v>2023</v>
      </c>
      <c r="N1833" s="33"/>
      <c r="O1833" s="34"/>
    </row>
    <row r="1834" ht="22.5" customHeight="1">
      <c r="A1834" s="21" t="s">
        <v>3799</v>
      </c>
      <c r="B1834" s="21" t="s">
        <v>1543</v>
      </c>
      <c r="C1834" s="21" t="str">
        <f t="array" ref="C1834">XLOOKUP(B1834,Customer[Customer_ID],Customer[Name(Cleaned)])</f>
        <v>Sarah Marsh</v>
      </c>
      <c r="D1834" s="22" t="str">
        <f>VLOOKUP(B1834,Customer[#ALL],6)</f>
        <v>Male</v>
      </c>
      <c r="E1834" s="23">
        <f>Sales[Order_Date]</f>
        <v>45437</v>
      </c>
      <c r="F1834" s="21" t="str">
        <f>Sales[Store_ID]</f>
        <v>STORE18</v>
      </c>
      <c r="G1834" s="21" t="str">
        <f t="array" ref="G1834">INDEX(Store[Store_Name],MATCH(F1834,Store[Store_ID],0))</f>
        <v>Guerrero-Schmitt</v>
      </c>
      <c r="H1834" s="21" t="str">
        <f>Sales[Product_ID]</f>
        <v>PROD70</v>
      </c>
      <c r="I1834" s="21" t="str">
        <f>VLOOKUP(H1834,Products[],2)</f>
        <v>Kitchen Storage Rack</v>
      </c>
      <c r="J1834" s="24">
        <f>Sales[Total_Amount]</f>
        <v>2579.2652</v>
      </c>
      <c r="K1834" s="21" t="str">
        <f t="shared" si="1"/>
        <v>May</v>
      </c>
      <c r="L1834" s="21">
        <f t="shared" si="2"/>
        <v>2024</v>
      </c>
      <c r="N1834" s="33"/>
      <c r="O1834" s="34"/>
    </row>
    <row r="1835" ht="22.5" customHeight="1">
      <c r="A1835" s="21" t="s">
        <v>3800</v>
      </c>
      <c r="B1835" s="21" t="s">
        <v>767</v>
      </c>
      <c r="C1835" s="21" t="str">
        <f t="array" ref="C1835">XLOOKUP(B1835,Customer[Customer_ID],Customer[Name(Cleaned)])</f>
        <v>Nathaniel Hill</v>
      </c>
      <c r="D1835" s="22" t="str">
        <f>VLOOKUP(B1835,Customer[#ALL],6)</f>
        <v>Male</v>
      </c>
      <c r="E1835" s="23">
        <f>Sales[Order_Date]</f>
        <v>45627</v>
      </c>
      <c r="F1835" s="21" t="str">
        <f>Sales[Store_ID]</f>
        <v>STORE14</v>
      </c>
      <c r="G1835" s="21" t="str">
        <f t="array" ref="G1835">INDEX(Store[Store_Name],MATCH(F1835,Store[Store_ID],0))</f>
        <v>Mcdonald Inc</v>
      </c>
      <c r="H1835" s="21" t="str">
        <f>Sales[Product_ID]</f>
        <v>PROD17</v>
      </c>
      <c r="I1835" s="21" t="str">
        <f>VLOOKUP(H1835,Products[],2)</f>
        <v>Soccer Training Cone Set</v>
      </c>
      <c r="J1835" s="24">
        <f>Sales[Total_Amount]</f>
        <v>1263.5904</v>
      </c>
      <c r="K1835" s="21" t="str">
        <f t="shared" si="1"/>
        <v>Dec</v>
      </c>
      <c r="L1835" s="21">
        <f t="shared" si="2"/>
        <v>2024</v>
      </c>
      <c r="N1835" s="33"/>
      <c r="O1835" s="34"/>
    </row>
    <row r="1836" ht="22.5" customHeight="1">
      <c r="A1836" s="21" t="s">
        <v>3801</v>
      </c>
      <c r="B1836" s="21" t="s">
        <v>213</v>
      </c>
      <c r="C1836" s="21" t="str">
        <f t="array" ref="C1836">XLOOKUP(B1836,Customer[Customer_ID],Customer[Name(Cleaned)])</f>
        <v>Katherine Dorsey</v>
      </c>
      <c r="D1836" s="22" t="str">
        <f>VLOOKUP(B1836,Customer[#ALL],6)</f>
        <v>Female</v>
      </c>
      <c r="E1836" s="23">
        <f>Sales[Order_Date]</f>
        <v>45282</v>
      </c>
      <c r="F1836" s="21" t="str">
        <f>Sales[Store_ID]</f>
        <v>STORE7</v>
      </c>
      <c r="G1836" s="21" t="str">
        <f t="array" ref="G1836">INDEX(Store[Store_Name],MATCH(F1836,Store[Store_ID],0))</f>
        <v>Martinez-Mullins</v>
      </c>
      <c r="H1836" s="21" t="str">
        <f>Sales[Product_ID]</f>
        <v>PROD88</v>
      </c>
      <c r="I1836" s="21" t="str">
        <f>VLOOKUP(H1836,Products[],2)</f>
        <v>Sports Wrist Sweatbands</v>
      </c>
      <c r="J1836" s="24">
        <f>Sales[Total_Amount]</f>
        <v>386.384</v>
      </c>
      <c r="K1836" s="21" t="str">
        <f t="shared" si="1"/>
        <v>Dec</v>
      </c>
      <c r="L1836" s="21">
        <f t="shared" si="2"/>
        <v>2023</v>
      </c>
      <c r="N1836" s="33"/>
      <c r="O1836" s="34"/>
    </row>
    <row r="1837" ht="22.5" customHeight="1">
      <c r="A1837" s="21" t="s">
        <v>3802</v>
      </c>
      <c r="B1837" s="21" t="s">
        <v>380</v>
      </c>
      <c r="C1837" s="21" t="str">
        <f t="array" ref="C1837">XLOOKUP(B1837,Customer[Customer_ID],Customer[Name(Cleaned)])</f>
        <v>Lance Baker</v>
      </c>
      <c r="D1837" s="22" t="str">
        <f>VLOOKUP(B1837,Customer[#ALL],6)</f>
        <v>Male</v>
      </c>
      <c r="E1837" s="23">
        <f>Sales[Order_Date]</f>
        <v>45678</v>
      </c>
      <c r="F1837" s="21" t="str">
        <f>Sales[Store_ID]</f>
        <v>STORE11</v>
      </c>
      <c r="G1837" s="21" t="str">
        <f t="array" ref="G1837">INDEX(Store[Store_Name],MATCH(F1837,Store[Store_ID],0))</f>
        <v>Aguirre-Keller</v>
      </c>
      <c r="H1837" s="21" t="str">
        <f>Sales[Product_ID]</f>
        <v>PROD68</v>
      </c>
      <c r="I1837" s="21" t="str">
        <f>VLOOKUP(H1837,Products[],2)</f>
        <v>Wooden Nightstand</v>
      </c>
      <c r="J1837" s="24">
        <f>Sales[Total_Amount]</f>
        <v>907.7066</v>
      </c>
      <c r="K1837" s="21" t="str">
        <f t="shared" si="1"/>
        <v>Jan</v>
      </c>
      <c r="L1837" s="21">
        <f t="shared" si="2"/>
        <v>2025</v>
      </c>
      <c r="N1837" s="33"/>
      <c r="O1837" s="34"/>
    </row>
    <row r="1838" ht="22.5" customHeight="1">
      <c r="A1838" s="21" t="s">
        <v>3803</v>
      </c>
      <c r="B1838" s="21" t="s">
        <v>1023</v>
      </c>
      <c r="C1838" s="21" t="str">
        <f t="array" ref="C1838">XLOOKUP(B1838,Customer[Customer_ID],Customer[Name(Cleaned)])</f>
        <v>Jessica Gonzalez</v>
      </c>
      <c r="D1838" s="22" t="str">
        <f>VLOOKUP(B1838,Customer[#ALL],6)</f>
        <v>Male</v>
      </c>
      <c r="E1838" s="23">
        <f>Sales[Order_Date]</f>
        <v>45484</v>
      </c>
      <c r="F1838" s="21" t="str">
        <f>Sales[Store_ID]</f>
        <v>STORE10</v>
      </c>
      <c r="G1838" s="21" t="str">
        <f t="array" ref="G1838">INDEX(Store[Store_Name],MATCH(F1838,Store[Store_ID],0))</f>
        <v>Hill, Wagner and Ballard</v>
      </c>
      <c r="H1838" s="21" t="str">
        <f>Sales[Product_ID]</f>
        <v>PROD60</v>
      </c>
      <c r="I1838" s="21" t="str">
        <f>VLOOKUP(H1838,Products[],2)</f>
        <v>Luxury Perfume Spray</v>
      </c>
      <c r="J1838" s="24">
        <f>Sales[Total_Amount]</f>
        <v>1912.96</v>
      </c>
      <c r="K1838" s="21" t="str">
        <f t="shared" si="1"/>
        <v>Jul</v>
      </c>
      <c r="L1838" s="21">
        <f t="shared" si="2"/>
        <v>2024</v>
      </c>
      <c r="N1838" s="33"/>
      <c r="O1838" s="34"/>
    </row>
    <row r="1839" ht="22.5" customHeight="1">
      <c r="A1839" s="21" t="s">
        <v>3804</v>
      </c>
      <c r="B1839" s="21" t="s">
        <v>842</v>
      </c>
      <c r="C1839" s="21" t="str">
        <f t="array" ref="C1839">XLOOKUP(B1839,Customer[Customer_ID],Customer[Name(Cleaned)])</f>
        <v>Beth Allen</v>
      </c>
      <c r="D1839" s="22" t="str">
        <f>VLOOKUP(B1839,Customer[#ALL],6)</f>
        <v>Male</v>
      </c>
      <c r="E1839" s="23">
        <f>Sales[Order_Date]</f>
        <v>45700</v>
      </c>
      <c r="F1839" s="21" t="str">
        <f>Sales[Store_ID]</f>
        <v>STORE18</v>
      </c>
      <c r="G1839" s="21" t="str">
        <f t="array" ref="G1839">INDEX(Store[Store_Name],MATCH(F1839,Store[Store_ID],0))</f>
        <v>Guerrero-Schmitt</v>
      </c>
      <c r="H1839" s="21" t="str">
        <f>Sales[Product_ID]</f>
        <v>PROD13</v>
      </c>
      <c r="I1839" s="21" t="str">
        <f>VLOOKUP(H1839,Products[],2)</f>
        <v>USB-C Fast Charger</v>
      </c>
      <c r="J1839" s="24">
        <f>Sales[Total_Amount]</f>
        <v>897.0528</v>
      </c>
      <c r="K1839" s="21" t="str">
        <f t="shared" si="1"/>
        <v>Feb</v>
      </c>
      <c r="L1839" s="21">
        <f t="shared" si="2"/>
        <v>2025</v>
      </c>
      <c r="N1839" s="33"/>
      <c r="O1839" s="34"/>
    </row>
    <row r="1840" ht="22.5" customHeight="1">
      <c r="A1840" s="21" t="s">
        <v>3805</v>
      </c>
      <c r="B1840" s="21" t="s">
        <v>1282</v>
      </c>
      <c r="C1840" s="21" t="str">
        <f t="array" ref="C1840">XLOOKUP(B1840,Customer[Customer_ID],Customer[Name(Cleaned)])</f>
        <v>Joseph Mendoza</v>
      </c>
      <c r="D1840" s="22" t="str">
        <f>VLOOKUP(B1840,Customer[#ALL],6)</f>
        <v>Female</v>
      </c>
      <c r="E1840" s="23">
        <f>Sales[Order_Date]</f>
        <v>45873</v>
      </c>
      <c r="F1840" s="21" t="str">
        <f>Sales[Store_ID]</f>
        <v>STORE15</v>
      </c>
      <c r="G1840" s="21" t="str">
        <f t="array" ref="G1840">INDEX(Store[Store_Name],MATCH(F1840,Store[Store_ID],0))</f>
        <v>Shelton PLC</v>
      </c>
      <c r="H1840" s="21" t="str">
        <f>Sales[Product_ID]</f>
        <v>PROD70</v>
      </c>
      <c r="I1840" s="21" t="str">
        <f>VLOOKUP(H1840,Products[],2)</f>
        <v>Kitchen Storage Rack</v>
      </c>
      <c r="J1840" s="24">
        <f>Sales[Total_Amount]</f>
        <v>1048.1238</v>
      </c>
      <c r="K1840" s="21" t="str">
        <f t="shared" si="1"/>
        <v>Aug</v>
      </c>
      <c r="L1840" s="21">
        <f t="shared" si="2"/>
        <v>2025</v>
      </c>
      <c r="N1840" s="33"/>
      <c r="O1840" s="34"/>
    </row>
    <row r="1841" ht="22.5" customHeight="1">
      <c r="A1841" s="21" t="s">
        <v>3806</v>
      </c>
      <c r="B1841" s="21" t="s">
        <v>1152</v>
      </c>
      <c r="C1841" s="21" t="str">
        <f t="array" ref="C1841">XLOOKUP(B1841,Customer[Customer_ID],Customer[Name(Cleaned)])</f>
        <v>Elizabeth Smith</v>
      </c>
      <c r="D1841" s="22" t="str">
        <f>VLOOKUP(B1841,Customer[#ALL],6)</f>
        <v>Female</v>
      </c>
      <c r="E1841" s="23">
        <f>Sales[Order_Date]</f>
        <v>45860</v>
      </c>
      <c r="F1841" s="21" t="str">
        <f>Sales[Store_ID]</f>
        <v>STORE0</v>
      </c>
      <c r="G1841" s="21" t="str">
        <f t="array" ref="G1841">INDEX(Store[Store_Name],MATCH(F1841,Store[Store_ID],0))</f>
        <v>Rivera-Warner</v>
      </c>
      <c r="H1841" s="21" t="str">
        <f>Sales[Product_ID]</f>
        <v>PROD56</v>
      </c>
      <c r="I1841" s="21" t="str">
        <f>VLOOKUP(H1841,Products[],2)</f>
        <v>Premium Blanket Throw</v>
      </c>
      <c r="J1841" s="24">
        <f>Sales[Total_Amount]</f>
        <v>705.1185</v>
      </c>
      <c r="K1841" s="21" t="str">
        <f t="shared" si="1"/>
        <v>Jul</v>
      </c>
      <c r="L1841" s="21">
        <f t="shared" si="2"/>
        <v>2025</v>
      </c>
      <c r="N1841" s="33"/>
      <c r="O1841" s="34"/>
    </row>
    <row r="1842" ht="22.5" customHeight="1">
      <c r="A1842" s="21" t="s">
        <v>3807</v>
      </c>
      <c r="B1842" s="21" t="s">
        <v>292</v>
      </c>
      <c r="C1842" s="21" t="str">
        <f t="array" ref="C1842">XLOOKUP(B1842,Customer[Customer_ID],Customer[Name(Cleaned)])</f>
        <v>Cody Blake</v>
      </c>
      <c r="D1842" s="22" t="str">
        <f>VLOOKUP(B1842,Customer[#ALL],6)</f>
        <v>Female</v>
      </c>
      <c r="E1842" s="23">
        <f>Sales[Order_Date]</f>
        <v>45235</v>
      </c>
      <c r="F1842" s="21" t="str">
        <f>Sales[Store_ID]</f>
        <v>STORE15</v>
      </c>
      <c r="G1842" s="21" t="str">
        <f t="array" ref="G1842">INDEX(Store[Store_Name],MATCH(F1842,Store[Store_ID],0))</f>
        <v>Shelton PLC</v>
      </c>
      <c r="H1842" s="21" t="str">
        <f>Sales[Product_ID]</f>
        <v>PROD45</v>
      </c>
      <c r="I1842" s="21" t="str">
        <f>VLOOKUP(H1842,Products[],2)</f>
        <v>High-Grip Football</v>
      </c>
      <c r="J1842" s="24">
        <f>Sales[Total_Amount]</f>
        <v>1558.4646</v>
      </c>
      <c r="K1842" s="21" t="str">
        <f t="shared" si="1"/>
        <v>Nov</v>
      </c>
      <c r="L1842" s="21">
        <f t="shared" si="2"/>
        <v>2023</v>
      </c>
      <c r="N1842" s="33"/>
      <c r="O1842" s="34"/>
    </row>
    <row r="1843" ht="22.5" customHeight="1">
      <c r="A1843" s="21" t="s">
        <v>3808</v>
      </c>
      <c r="B1843" s="21" t="s">
        <v>1305</v>
      </c>
      <c r="C1843" s="21" t="str">
        <f t="array" ref="C1843">XLOOKUP(B1843,Customer[Customer_ID],Customer[Name(Cleaned)])</f>
        <v>Tyler Cook</v>
      </c>
      <c r="D1843" s="22" t="str">
        <f>VLOOKUP(B1843,Customer[#ALL],6)</f>
        <v>Male</v>
      </c>
      <c r="E1843" s="23">
        <f>Sales[Order_Date]</f>
        <v>45874</v>
      </c>
      <c r="F1843" s="21" t="str">
        <f>Sales[Store_ID]</f>
        <v>STORE4</v>
      </c>
      <c r="G1843" s="21" t="str">
        <f t="array" ref="G1843">INDEX(Store[Store_Name],MATCH(F1843,Store[Store_ID],0))</f>
        <v>Alexander Group</v>
      </c>
      <c r="H1843" s="21" t="str">
        <f>Sales[Product_ID]</f>
        <v>PROD42</v>
      </c>
      <c r="I1843" s="21" t="str">
        <f>VLOOKUP(H1843,Products[],2)</f>
        <v>Smart Home WiFi Camera</v>
      </c>
      <c r="J1843" s="24">
        <f>Sales[Total_Amount]</f>
        <v>667.2054</v>
      </c>
      <c r="K1843" s="21" t="str">
        <f t="shared" si="1"/>
        <v>Aug</v>
      </c>
      <c r="L1843" s="21">
        <f t="shared" si="2"/>
        <v>2025</v>
      </c>
      <c r="N1843" s="33"/>
      <c r="O1843" s="34"/>
    </row>
    <row r="1844" ht="22.5" customHeight="1">
      <c r="A1844" s="21" t="s">
        <v>3809</v>
      </c>
      <c r="B1844" s="21" t="s">
        <v>1005</v>
      </c>
      <c r="C1844" s="21" t="str">
        <f t="array" ref="C1844">XLOOKUP(B1844,Customer[Customer_ID],Customer[Name(Cleaned)])</f>
        <v>Elizabeth Johnson</v>
      </c>
      <c r="D1844" s="22" t="str">
        <f>VLOOKUP(B1844,Customer[#ALL],6)</f>
        <v>Male</v>
      </c>
      <c r="E1844" s="23">
        <f>Sales[Order_Date]</f>
        <v>45769</v>
      </c>
      <c r="F1844" s="21" t="str">
        <f>Sales[Store_ID]</f>
        <v>STORE10</v>
      </c>
      <c r="G1844" s="21" t="str">
        <f t="array" ref="G1844">INDEX(Store[Store_Name],MATCH(F1844,Store[Store_ID],0))</f>
        <v>Hill, Wagner and Ballard</v>
      </c>
      <c r="H1844" s="21" t="str">
        <f>Sales[Product_ID]</f>
        <v>PROD93</v>
      </c>
      <c r="I1844" s="21" t="str">
        <f>VLOOKUP(H1844,Products[],2)</f>
        <v>USB-C Laptop Charger</v>
      </c>
      <c r="J1844" s="24">
        <f>Sales[Total_Amount]</f>
        <v>1289.34</v>
      </c>
      <c r="K1844" s="21" t="str">
        <f t="shared" si="1"/>
        <v>Apr</v>
      </c>
      <c r="L1844" s="21">
        <f t="shared" si="2"/>
        <v>2025</v>
      </c>
      <c r="N1844" s="33"/>
      <c r="O1844" s="34"/>
    </row>
    <row r="1845" ht="22.5" customHeight="1">
      <c r="A1845" s="21" t="s">
        <v>3810</v>
      </c>
      <c r="B1845" s="21" t="s">
        <v>1137</v>
      </c>
      <c r="C1845" s="21" t="str">
        <f t="array" ref="C1845">XLOOKUP(B1845,Customer[Customer_ID],Customer[Name(Cleaned)])</f>
        <v>Ashley Anderson</v>
      </c>
      <c r="D1845" s="22" t="str">
        <f>VLOOKUP(B1845,Customer[#ALL],6)</f>
        <v>Male</v>
      </c>
      <c r="E1845" s="23">
        <f>Sales[Order_Date]</f>
        <v>45619</v>
      </c>
      <c r="F1845" s="21" t="str">
        <f>Sales[Store_ID]</f>
        <v>STORE13</v>
      </c>
      <c r="G1845" s="21" t="str">
        <f t="array" ref="G1845">INDEX(Store[Store_Name],MATCH(F1845,Store[Store_ID],0))</f>
        <v>Gardner, Humphrey and Contreras</v>
      </c>
      <c r="H1845" s="21" t="str">
        <f>Sales[Product_ID]</f>
        <v>PROD72</v>
      </c>
      <c r="I1845" s="21" t="str">
        <f>VLOOKUP(H1845,Products[],2)</f>
        <v>Professional Jump Rope</v>
      </c>
      <c r="J1845" s="24">
        <f>Sales[Total_Amount]</f>
        <v>661.59</v>
      </c>
      <c r="K1845" s="21" t="str">
        <f t="shared" si="1"/>
        <v>Nov</v>
      </c>
      <c r="L1845" s="21">
        <f t="shared" si="2"/>
        <v>2024</v>
      </c>
      <c r="N1845" s="33"/>
      <c r="O1845" s="34"/>
    </row>
    <row r="1846" ht="22.5" customHeight="1">
      <c r="A1846" s="21" t="s">
        <v>3811</v>
      </c>
      <c r="B1846" s="21" t="s">
        <v>472</v>
      </c>
      <c r="C1846" s="21" t="str">
        <f t="array" ref="C1846">XLOOKUP(B1846,Customer[Customer_ID],Customer[Name(Cleaned)])</f>
        <v>Matthew Hanna</v>
      </c>
      <c r="D1846" s="22" t="str">
        <f>VLOOKUP(B1846,Customer[#ALL],6)</f>
        <v>Male</v>
      </c>
      <c r="E1846" s="23">
        <f>Sales[Order_Date]</f>
        <v>45614</v>
      </c>
      <c r="F1846" s="21" t="str">
        <f>Sales[Store_ID]</f>
        <v>STORE2</v>
      </c>
      <c r="G1846" s="21" t="str">
        <f t="array" ref="G1846">INDEX(Store[Store_Name],MATCH(F1846,Store[Store_ID],0))</f>
        <v>Black-Horn</v>
      </c>
      <c r="H1846" s="21" t="str">
        <f>Sales[Product_ID]</f>
        <v>PROD79</v>
      </c>
      <c r="I1846" s="21" t="str">
        <f>VLOOKUP(H1846,Products[],2)</f>
        <v>Decorative Lamp Shade</v>
      </c>
      <c r="J1846" s="24">
        <f>Sales[Total_Amount]</f>
        <v>1278.3675</v>
      </c>
      <c r="K1846" s="21" t="str">
        <f t="shared" si="1"/>
        <v>Nov</v>
      </c>
      <c r="L1846" s="21">
        <f t="shared" si="2"/>
        <v>2024</v>
      </c>
      <c r="N1846" s="33"/>
      <c r="O1846" s="34"/>
    </row>
    <row r="1847" ht="22.5" customHeight="1">
      <c r="A1847" s="21" t="s">
        <v>3812</v>
      </c>
      <c r="B1847" s="21" t="s">
        <v>972</v>
      </c>
      <c r="C1847" s="21" t="str">
        <f t="array" ref="C1847">XLOOKUP(B1847,Customer[Customer_ID],Customer[Name(Cleaned)])</f>
        <v>John Sloan</v>
      </c>
      <c r="D1847" s="22" t="str">
        <f>VLOOKUP(B1847,Customer[#ALL],6)</f>
        <v>Male</v>
      </c>
      <c r="E1847" s="23">
        <f>Sales[Order_Date]</f>
        <v>45545</v>
      </c>
      <c r="F1847" s="21" t="str">
        <f>Sales[Store_ID]</f>
        <v>STORE3</v>
      </c>
      <c r="G1847" s="21" t="str">
        <f t="array" ref="G1847">INDEX(Store[Store_Name],MATCH(F1847,Store[Store_ID],0))</f>
        <v>Johnson-Wright</v>
      </c>
      <c r="H1847" s="21" t="str">
        <f>Sales[Product_ID]</f>
        <v>PROD20</v>
      </c>
      <c r="I1847" s="21" t="str">
        <f>VLOOKUP(H1847,Products[],2)</f>
        <v>Outdoor Sports Water Bottle</v>
      </c>
      <c r="J1847" s="24">
        <f>Sales[Total_Amount]</f>
        <v>1943.0928</v>
      </c>
      <c r="K1847" s="21" t="str">
        <f t="shared" si="1"/>
        <v>Sep</v>
      </c>
      <c r="L1847" s="21">
        <f t="shared" si="2"/>
        <v>2024</v>
      </c>
      <c r="N1847" s="33"/>
      <c r="O1847" s="34"/>
    </row>
    <row r="1848" ht="22.5" customHeight="1">
      <c r="A1848" s="21" t="s">
        <v>3813</v>
      </c>
      <c r="B1848" s="21" t="s">
        <v>229</v>
      </c>
      <c r="C1848" s="21" t="str">
        <f t="array" ref="C1848">XLOOKUP(B1848,Customer[Customer_ID],Customer[Name(Cleaned)])</f>
        <v>Alyssa Vargas</v>
      </c>
      <c r="D1848" s="22" t="str">
        <f>VLOOKUP(B1848,Customer[#ALL],6)</f>
        <v>Female</v>
      </c>
      <c r="E1848" s="23">
        <f>Sales[Order_Date]</f>
        <v>45691</v>
      </c>
      <c r="F1848" s="21" t="str">
        <f>Sales[Store_ID]</f>
        <v>STORE13</v>
      </c>
      <c r="G1848" s="21" t="str">
        <f t="array" ref="G1848">INDEX(Store[Store_Name],MATCH(F1848,Store[Store_ID],0))</f>
        <v>Gardner, Humphrey and Contreras</v>
      </c>
      <c r="H1848" s="21" t="str">
        <f>Sales[Product_ID]</f>
        <v>PROD84</v>
      </c>
      <c r="I1848" s="21" t="str">
        <f>VLOOKUP(H1848,Products[],2)</f>
        <v>Wooden Bookshelf</v>
      </c>
      <c r="J1848" s="24">
        <f>Sales[Total_Amount]</f>
        <v>2524.8384</v>
      </c>
      <c r="K1848" s="21" t="str">
        <f t="shared" si="1"/>
        <v>Feb</v>
      </c>
      <c r="L1848" s="21">
        <f t="shared" si="2"/>
        <v>2025</v>
      </c>
      <c r="N1848" s="33"/>
      <c r="O1848" s="34"/>
    </row>
    <row r="1849" ht="22.5" customHeight="1">
      <c r="A1849" s="21" t="s">
        <v>3814</v>
      </c>
      <c r="B1849" s="21" t="s">
        <v>1203</v>
      </c>
      <c r="C1849" s="21" t="str">
        <f t="array" ref="C1849">XLOOKUP(B1849,Customer[Customer_ID],Customer[Name(Cleaned)])</f>
        <v>Shelley Ponce</v>
      </c>
      <c r="D1849" s="22" t="str">
        <f>VLOOKUP(B1849,Customer[#ALL],6)</f>
        <v>Female</v>
      </c>
      <c r="E1849" s="23">
        <f>Sales[Order_Date]</f>
        <v>45608</v>
      </c>
      <c r="F1849" s="21" t="str">
        <f>Sales[Store_ID]</f>
        <v>STORE13</v>
      </c>
      <c r="G1849" s="21" t="str">
        <f t="array" ref="G1849">INDEX(Store[Store_Name],MATCH(F1849,Store[Store_ID],0))</f>
        <v>Gardner, Humphrey and Contreras</v>
      </c>
      <c r="H1849" s="21" t="str">
        <f>Sales[Product_ID]</f>
        <v>PROD68</v>
      </c>
      <c r="I1849" s="21" t="str">
        <f>VLOOKUP(H1849,Products[],2)</f>
        <v>Wooden Nightstand</v>
      </c>
      <c r="J1849" s="24">
        <f>Sales[Total_Amount]</f>
        <v>1373.2992</v>
      </c>
      <c r="K1849" s="21" t="str">
        <f t="shared" si="1"/>
        <v>Nov</v>
      </c>
      <c r="L1849" s="21">
        <f t="shared" si="2"/>
        <v>2024</v>
      </c>
      <c r="N1849" s="33"/>
      <c r="O1849" s="34"/>
    </row>
    <row r="1850" ht="22.5" customHeight="1">
      <c r="A1850" s="21" t="s">
        <v>3815</v>
      </c>
      <c r="B1850" s="21" t="s">
        <v>911</v>
      </c>
      <c r="C1850" s="21" t="str">
        <f t="array" ref="C1850">XLOOKUP(B1850,Customer[Customer_ID],Customer[Name(Cleaned)])</f>
        <v>Kristi Lopez</v>
      </c>
      <c r="D1850" s="22" t="str">
        <f>VLOOKUP(B1850,Customer[#ALL],6)</f>
        <v>Male</v>
      </c>
      <c r="E1850" s="23">
        <f>Sales[Order_Date]</f>
        <v>45412</v>
      </c>
      <c r="F1850" s="21" t="str">
        <f>Sales[Store_ID]</f>
        <v>STORE3</v>
      </c>
      <c r="G1850" s="21" t="str">
        <f t="array" ref="G1850">INDEX(Store[Store_Name],MATCH(F1850,Store[Store_ID],0))</f>
        <v>Johnson-Wright</v>
      </c>
      <c r="H1850" s="21" t="str">
        <f>Sales[Product_ID]</f>
        <v>PROD71</v>
      </c>
      <c r="I1850" s="21" t="str">
        <f>VLOOKUP(H1850,Products[],2)</f>
        <v>Hair Repair Oil Treatment</v>
      </c>
      <c r="J1850" s="24">
        <f>Sales[Total_Amount]</f>
        <v>2250.298</v>
      </c>
      <c r="K1850" s="21" t="str">
        <f t="shared" si="1"/>
        <v>Apr</v>
      </c>
      <c r="L1850" s="21">
        <f t="shared" si="2"/>
        <v>2024</v>
      </c>
      <c r="N1850" s="33"/>
      <c r="O1850" s="34"/>
    </row>
    <row r="1851" ht="22.5" customHeight="1">
      <c r="A1851" s="21" t="s">
        <v>3816</v>
      </c>
      <c r="B1851" s="21" t="s">
        <v>675</v>
      </c>
      <c r="C1851" s="21" t="str">
        <f t="array" ref="C1851">XLOOKUP(B1851,Customer[Customer_ID],Customer[Name(Cleaned)])</f>
        <v>Sarah Brady</v>
      </c>
      <c r="D1851" s="22" t="str">
        <f>VLOOKUP(B1851,Customer[#ALL],6)</f>
        <v>Female</v>
      </c>
      <c r="E1851" s="23">
        <f>Sales[Order_Date]</f>
        <v>45767</v>
      </c>
      <c r="F1851" s="21" t="str">
        <f>Sales[Store_ID]</f>
        <v>STORE6</v>
      </c>
      <c r="G1851" s="21" t="str">
        <f t="array" ref="G1851">INDEX(Store[Store_Name],MATCH(F1851,Store[Store_ID],0))</f>
        <v>Benson-Elliott</v>
      </c>
      <c r="H1851" s="21" t="str">
        <f>Sales[Product_ID]</f>
        <v>PROD30</v>
      </c>
      <c r="I1851" s="21" t="str">
        <f>VLOOKUP(H1851,Products[],2)</f>
        <v>Stainless Steel Cutlery Set</v>
      </c>
      <c r="J1851" s="24">
        <f>Sales[Total_Amount]</f>
        <v>629.7434</v>
      </c>
      <c r="K1851" s="21" t="str">
        <f t="shared" si="1"/>
        <v>Apr</v>
      </c>
      <c r="L1851" s="21">
        <f t="shared" si="2"/>
        <v>2025</v>
      </c>
      <c r="N1851" s="33"/>
      <c r="O1851" s="34"/>
    </row>
    <row r="1852" ht="22.5" customHeight="1">
      <c r="A1852" s="21" t="s">
        <v>3817</v>
      </c>
      <c r="B1852" s="21" t="s">
        <v>1107</v>
      </c>
      <c r="C1852" s="21" t="str">
        <f t="array" ref="C1852">XLOOKUP(B1852,Customer[Customer_ID],Customer[Name(Cleaned)])</f>
        <v>Sherry Cabrera</v>
      </c>
      <c r="D1852" s="22" t="str">
        <f>VLOOKUP(B1852,Customer[#ALL],6)</f>
        <v>Female</v>
      </c>
      <c r="E1852" s="23">
        <f>Sales[Order_Date]</f>
        <v>45428</v>
      </c>
      <c r="F1852" s="21" t="str">
        <f>Sales[Store_ID]</f>
        <v>STORE10</v>
      </c>
      <c r="G1852" s="21" t="str">
        <f t="array" ref="G1852">INDEX(Store[Store_Name],MATCH(F1852,Store[Store_ID],0))</f>
        <v>Hill, Wagner and Ballard</v>
      </c>
      <c r="H1852" s="21" t="str">
        <f>Sales[Product_ID]</f>
        <v>PROD33</v>
      </c>
      <c r="I1852" s="21" t="str">
        <f>VLOOKUP(H1852,Products[],2)</f>
        <v>Modern Wall Clock</v>
      </c>
      <c r="J1852" s="24">
        <f>Sales[Total_Amount]</f>
        <v>607.648</v>
      </c>
      <c r="K1852" s="21" t="str">
        <f t="shared" si="1"/>
        <v>May</v>
      </c>
      <c r="L1852" s="21">
        <f t="shared" si="2"/>
        <v>2024</v>
      </c>
      <c r="N1852" s="33"/>
      <c r="O1852" s="34"/>
    </row>
    <row r="1853" ht="22.5" customHeight="1">
      <c r="A1853" s="21" t="s">
        <v>3818</v>
      </c>
      <c r="B1853" s="21" t="s">
        <v>809</v>
      </c>
      <c r="C1853" s="21" t="str">
        <f t="array" ref="C1853">XLOOKUP(B1853,Customer[Customer_ID],Customer[Name(Cleaned)])</f>
        <v>Nicholas Webb</v>
      </c>
      <c r="D1853" s="22" t="str">
        <f>VLOOKUP(B1853,Customer[#ALL],6)</f>
        <v>Female</v>
      </c>
      <c r="E1853" s="23">
        <f>Sales[Order_Date]</f>
        <v>45770</v>
      </c>
      <c r="F1853" s="21" t="str">
        <f>Sales[Store_ID]</f>
        <v>STORE8</v>
      </c>
      <c r="G1853" s="21" t="str">
        <f t="array" ref="G1853">INDEX(Store[Store_Name],MATCH(F1853,Store[Store_ID],0))</f>
        <v>Bean, Jones and Park</v>
      </c>
      <c r="H1853" s="21" t="str">
        <f>Sales[Product_ID]</f>
        <v>PROD43</v>
      </c>
      <c r="I1853" s="21" t="str">
        <f>VLOOKUP(H1853,Products[],2)</f>
        <v>USB External Hard Drive</v>
      </c>
      <c r="J1853" s="24">
        <f>Sales[Total_Amount]</f>
        <v>2495.205</v>
      </c>
      <c r="K1853" s="21" t="str">
        <f t="shared" si="1"/>
        <v>Apr</v>
      </c>
      <c r="L1853" s="21">
        <f t="shared" si="2"/>
        <v>2025</v>
      </c>
      <c r="N1853" s="33"/>
      <c r="O1853" s="34"/>
    </row>
    <row r="1854" ht="22.5" customHeight="1">
      <c r="A1854" s="21" t="s">
        <v>3819</v>
      </c>
      <c r="B1854" s="21" t="s">
        <v>1462</v>
      </c>
      <c r="C1854" s="21" t="str">
        <f t="array" ref="C1854">XLOOKUP(B1854,Customer[Customer_ID],Customer[Name(Cleaned)])</f>
        <v>James Foster</v>
      </c>
      <c r="D1854" s="22" t="str">
        <f>VLOOKUP(B1854,Customer[#ALL],6)</f>
        <v>Female</v>
      </c>
      <c r="E1854" s="23">
        <f>Sales[Order_Date]</f>
        <v>45571</v>
      </c>
      <c r="F1854" s="21" t="str">
        <f>Sales[Store_ID]</f>
        <v>STORE17</v>
      </c>
      <c r="G1854" s="21" t="str">
        <f t="array" ref="G1854">INDEX(Store[Store_Name],MATCH(F1854,Store[Store_ID],0))</f>
        <v>Holloway Ltd</v>
      </c>
      <c r="H1854" s="21" t="str">
        <f>Sales[Product_ID]</f>
        <v>PROD45</v>
      </c>
      <c r="I1854" s="21" t="str">
        <f>VLOOKUP(H1854,Products[],2)</f>
        <v>High-Grip Football</v>
      </c>
      <c r="J1854" s="24">
        <f>Sales[Total_Amount]</f>
        <v>308.1471</v>
      </c>
      <c r="K1854" s="21" t="str">
        <f t="shared" si="1"/>
        <v>Oct</v>
      </c>
      <c r="L1854" s="21">
        <f t="shared" si="2"/>
        <v>2024</v>
      </c>
      <c r="N1854" s="33"/>
      <c r="O1854" s="34"/>
    </row>
    <row r="1855" ht="22.5" customHeight="1">
      <c r="A1855" s="21" t="s">
        <v>3820</v>
      </c>
      <c r="B1855" s="21" t="s">
        <v>428</v>
      </c>
      <c r="C1855" s="21" t="str">
        <f t="array" ref="C1855">XLOOKUP(B1855,Customer[Customer_ID],Customer[Name(Cleaned)])</f>
        <v>Joel Robinson</v>
      </c>
      <c r="D1855" s="22" t="str">
        <f>VLOOKUP(B1855,Customer[#ALL],6)</f>
        <v>Female</v>
      </c>
      <c r="E1855" s="23">
        <f>Sales[Order_Date]</f>
        <v>45700</v>
      </c>
      <c r="F1855" s="21" t="str">
        <f>Sales[Store_ID]</f>
        <v>STORE15</v>
      </c>
      <c r="G1855" s="21" t="str">
        <f t="array" ref="G1855">INDEX(Store[Store_Name],MATCH(F1855,Store[Store_ID],0))</f>
        <v>Shelton PLC</v>
      </c>
      <c r="H1855" s="21" t="str">
        <f>Sales[Product_ID]</f>
        <v>PROD33</v>
      </c>
      <c r="I1855" s="21" t="str">
        <f>VLOOKUP(H1855,Products[],2)</f>
        <v>Modern Wall Clock</v>
      </c>
      <c r="J1855" s="24">
        <f>Sales[Total_Amount]</f>
        <v>1200.906</v>
      </c>
      <c r="K1855" s="21" t="str">
        <f t="shared" si="1"/>
        <v>Feb</v>
      </c>
      <c r="L1855" s="21">
        <f t="shared" si="2"/>
        <v>2025</v>
      </c>
      <c r="N1855" s="33"/>
      <c r="O1855" s="34"/>
    </row>
    <row r="1856" ht="22.5" customHeight="1">
      <c r="A1856" s="21" t="s">
        <v>3821</v>
      </c>
      <c r="B1856" s="21" t="s">
        <v>1268</v>
      </c>
      <c r="C1856" s="21" t="str">
        <f t="array" ref="C1856">XLOOKUP(B1856,Customer[Customer_ID],Customer[Name(Cleaned)])</f>
        <v>Cassandra Perez</v>
      </c>
      <c r="D1856" s="22" t="str">
        <f>VLOOKUP(B1856,Customer[#ALL],6)</f>
        <v>Female</v>
      </c>
      <c r="E1856" s="23">
        <f>Sales[Order_Date]</f>
        <v>45382</v>
      </c>
      <c r="F1856" s="21" t="str">
        <f>Sales[Store_ID]</f>
        <v>STORE3</v>
      </c>
      <c r="G1856" s="21" t="str">
        <f t="array" ref="G1856">INDEX(Store[Store_Name],MATCH(F1856,Store[Store_ID],0))</f>
        <v>Johnson-Wright</v>
      </c>
      <c r="H1856" s="21" t="str">
        <f>Sales[Product_ID]</f>
        <v>PROD66</v>
      </c>
      <c r="I1856" s="21" t="str">
        <f>VLOOKUP(H1856,Products[],2)</f>
        <v>Women's Hair Dryer Brush</v>
      </c>
      <c r="J1856" s="24">
        <f>Sales[Total_Amount]</f>
        <v>767.988</v>
      </c>
      <c r="K1856" s="21" t="str">
        <f t="shared" si="1"/>
        <v>Mar</v>
      </c>
      <c r="L1856" s="21">
        <f t="shared" si="2"/>
        <v>2024</v>
      </c>
      <c r="N1856" s="33"/>
      <c r="O1856" s="34"/>
    </row>
    <row r="1857" ht="22.5" customHeight="1">
      <c r="A1857" s="21" t="s">
        <v>3822</v>
      </c>
      <c r="B1857" s="21" t="s">
        <v>902</v>
      </c>
      <c r="C1857" s="21" t="str">
        <f t="array" ref="C1857">XLOOKUP(B1857,Customer[Customer_ID],Customer[Name(Cleaned)])</f>
        <v>Aaron Luna</v>
      </c>
      <c r="D1857" s="22" t="str">
        <f>VLOOKUP(B1857,Customer[#ALL],6)</f>
        <v>Male</v>
      </c>
      <c r="E1857" s="23">
        <f>Sales[Order_Date]</f>
        <v>45260</v>
      </c>
      <c r="F1857" s="21" t="str">
        <f>Sales[Store_ID]</f>
        <v>STORE8</v>
      </c>
      <c r="G1857" s="21" t="str">
        <f t="array" ref="G1857">INDEX(Store[Store_Name],MATCH(F1857,Store[Store_ID],0))</f>
        <v>Bean, Jones and Park</v>
      </c>
      <c r="H1857" s="21" t="str">
        <f>Sales[Product_ID]</f>
        <v>PROD13</v>
      </c>
      <c r="I1857" s="21" t="str">
        <f>VLOOKUP(H1857,Products[],2)</f>
        <v>USB-C Fast Charger</v>
      </c>
      <c r="J1857" s="24">
        <f>Sales[Total_Amount]</f>
        <v>139.29</v>
      </c>
      <c r="K1857" s="21" t="str">
        <f t="shared" si="1"/>
        <v>Nov</v>
      </c>
      <c r="L1857" s="21">
        <f t="shared" si="2"/>
        <v>2023</v>
      </c>
      <c r="N1857" s="33"/>
      <c r="O1857" s="34"/>
    </row>
    <row r="1858" ht="22.5" customHeight="1">
      <c r="A1858" s="21" t="s">
        <v>3823</v>
      </c>
      <c r="B1858" s="21" t="s">
        <v>1044</v>
      </c>
      <c r="C1858" s="21" t="str">
        <f t="array" ref="C1858">XLOOKUP(B1858,Customer[Customer_ID],Customer[Name(Cleaned)])</f>
        <v>Reginald Willis</v>
      </c>
      <c r="D1858" s="22" t="str">
        <f>VLOOKUP(B1858,Customer[#ALL],6)</f>
        <v>Male</v>
      </c>
      <c r="E1858" s="23">
        <f>Sales[Order_Date]</f>
        <v>45755</v>
      </c>
      <c r="F1858" s="21" t="str">
        <f>Sales[Store_ID]</f>
        <v>STORE10</v>
      </c>
      <c r="G1858" s="21" t="str">
        <f t="array" ref="G1858">INDEX(Store[Store_Name],MATCH(F1858,Store[Store_ID],0))</f>
        <v>Hill, Wagner and Ballard</v>
      </c>
      <c r="H1858" s="21" t="str">
        <f>Sales[Product_ID]</f>
        <v>PROD1</v>
      </c>
      <c r="I1858" s="21" t="str">
        <f>VLOOKUP(H1858,Products[],2)</f>
        <v>Men's Graphic T-Shirt</v>
      </c>
      <c r="J1858" s="24">
        <f>Sales[Total_Amount]</f>
        <v>2777.4432</v>
      </c>
      <c r="K1858" s="21" t="str">
        <f t="shared" si="1"/>
        <v>Apr</v>
      </c>
      <c r="L1858" s="21">
        <f t="shared" si="2"/>
        <v>2025</v>
      </c>
      <c r="N1858" s="33"/>
      <c r="O1858" s="34"/>
    </row>
    <row r="1859" ht="22.5" customHeight="1">
      <c r="A1859" s="21" t="s">
        <v>3824</v>
      </c>
      <c r="B1859" s="21" t="s">
        <v>142</v>
      </c>
      <c r="C1859" s="21" t="str">
        <f t="array" ref="C1859">XLOOKUP(B1859,Customer[Customer_ID],Customer[Name(Cleaned)])</f>
        <v>Robert Jones Dds</v>
      </c>
      <c r="D1859" s="22" t="str">
        <f>VLOOKUP(B1859,Customer[#ALL],6)</f>
        <v>Female</v>
      </c>
      <c r="E1859" s="23">
        <f>Sales[Order_Date]</f>
        <v>45702</v>
      </c>
      <c r="F1859" s="21" t="str">
        <f>Sales[Store_ID]</f>
        <v>STORE8</v>
      </c>
      <c r="G1859" s="21" t="str">
        <f t="array" ref="G1859">INDEX(Store[Store_Name],MATCH(F1859,Store[Store_ID],0))</f>
        <v>Bean, Jones and Park</v>
      </c>
      <c r="H1859" s="21" t="str">
        <f>Sales[Product_ID]</f>
        <v>PROD16</v>
      </c>
      <c r="I1859" s="21" t="str">
        <f>VLOOKUP(H1859,Products[],2)</f>
        <v>Beard Grooming Kit</v>
      </c>
      <c r="J1859" s="24">
        <f>Sales[Total_Amount]</f>
        <v>1240.839</v>
      </c>
      <c r="K1859" s="21" t="str">
        <f t="shared" si="1"/>
        <v>Feb</v>
      </c>
      <c r="L1859" s="21">
        <f t="shared" si="2"/>
        <v>2025</v>
      </c>
      <c r="N1859" s="33"/>
      <c r="O1859" s="34"/>
    </row>
    <row r="1860" ht="22.5" customHeight="1">
      <c r="A1860" s="21" t="s">
        <v>3825</v>
      </c>
      <c r="B1860" s="21" t="s">
        <v>252</v>
      </c>
      <c r="C1860" s="21" t="str">
        <f t="array" ref="C1860">XLOOKUP(B1860,Customer[Customer_ID],Customer[Name(Cleaned)])</f>
        <v>Cody Diaz</v>
      </c>
      <c r="D1860" s="22" t="str">
        <f>VLOOKUP(B1860,Customer[#ALL],6)</f>
        <v>Male</v>
      </c>
      <c r="E1860" s="23">
        <f>Sales[Order_Date]</f>
        <v>45302</v>
      </c>
      <c r="F1860" s="21" t="str">
        <f>Sales[Store_ID]</f>
        <v>STORE15</v>
      </c>
      <c r="G1860" s="21" t="str">
        <f t="array" ref="G1860">INDEX(Store[Store_Name],MATCH(F1860,Store[Store_ID],0))</f>
        <v>Shelton PLC</v>
      </c>
      <c r="H1860" s="21" t="str">
        <f>Sales[Product_ID]</f>
        <v>PROD40</v>
      </c>
      <c r="I1860" s="21" t="str">
        <f>VLOOKUP(H1860,Products[],2)</f>
        <v>Noise-Canceling Headphones</v>
      </c>
      <c r="J1860" s="24">
        <f>Sales[Total_Amount]</f>
        <v>367.6522</v>
      </c>
      <c r="K1860" s="21" t="str">
        <f t="shared" si="1"/>
        <v>Jan</v>
      </c>
      <c r="L1860" s="21">
        <f t="shared" si="2"/>
        <v>2024</v>
      </c>
      <c r="N1860" s="33"/>
      <c r="O1860" s="34"/>
    </row>
    <row r="1861" ht="22.5" customHeight="1">
      <c r="A1861" s="21" t="s">
        <v>3826</v>
      </c>
      <c r="B1861" s="21" t="s">
        <v>1200</v>
      </c>
      <c r="C1861" s="21" t="str">
        <f t="array" ref="C1861">XLOOKUP(B1861,Customer[Customer_ID],Customer[Name(Cleaned)])</f>
        <v>Tanya Lopez</v>
      </c>
      <c r="D1861" s="22" t="str">
        <f>VLOOKUP(B1861,Customer[#ALL],6)</f>
        <v>Male</v>
      </c>
      <c r="E1861" s="23">
        <f>Sales[Order_Date]</f>
        <v>45653</v>
      </c>
      <c r="F1861" s="21" t="str">
        <f>Sales[Store_ID]</f>
        <v>STORE6</v>
      </c>
      <c r="G1861" s="21" t="str">
        <f t="array" ref="G1861">INDEX(Store[Store_Name],MATCH(F1861,Store[Store_ID],0))</f>
        <v>Benson-Elliott</v>
      </c>
      <c r="H1861" s="21" t="str">
        <f>Sales[Product_ID]</f>
        <v>PROD76</v>
      </c>
      <c r="I1861" s="21" t="str">
        <f>VLOOKUP(H1861,Products[],2)</f>
        <v>Wireless Mouse</v>
      </c>
      <c r="J1861" s="24">
        <f>Sales[Total_Amount]</f>
        <v>802.158</v>
      </c>
      <c r="K1861" s="21" t="str">
        <f t="shared" si="1"/>
        <v>Dec</v>
      </c>
      <c r="L1861" s="21">
        <f t="shared" si="2"/>
        <v>2024</v>
      </c>
      <c r="N1861" s="33"/>
      <c r="O1861" s="34"/>
    </row>
    <row r="1862" ht="22.5" customHeight="1">
      <c r="A1862" s="21" t="s">
        <v>3827</v>
      </c>
      <c r="B1862" s="21" t="s">
        <v>1421</v>
      </c>
      <c r="C1862" s="21" t="str">
        <f t="array" ref="C1862">XLOOKUP(B1862,Customer[Customer_ID],Customer[Name(Cleaned)])</f>
        <v>Tyler Weber</v>
      </c>
      <c r="D1862" s="22" t="str">
        <f>VLOOKUP(B1862,Customer[#ALL],6)</f>
        <v>Female</v>
      </c>
      <c r="E1862" s="23">
        <f>Sales[Order_Date]</f>
        <v>45250</v>
      </c>
      <c r="F1862" s="21" t="str">
        <f>Sales[Store_ID]</f>
        <v>STORE7</v>
      </c>
      <c r="G1862" s="21" t="str">
        <f t="array" ref="G1862">INDEX(Store[Store_Name],MATCH(F1862,Store[Store_ID],0))</f>
        <v>Martinez-Mullins</v>
      </c>
      <c r="H1862" s="21" t="str">
        <f>Sales[Product_ID]</f>
        <v>PROD87</v>
      </c>
      <c r="I1862" s="21" t="str">
        <f>VLOOKUP(H1862,Products[],2)</f>
        <v>LED Bedside Lamp</v>
      </c>
      <c r="J1862" s="24">
        <f>Sales[Total_Amount]</f>
        <v>595.1484</v>
      </c>
      <c r="K1862" s="21" t="str">
        <f t="shared" si="1"/>
        <v>Nov</v>
      </c>
      <c r="L1862" s="21">
        <f t="shared" si="2"/>
        <v>2023</v>
      </c>
      <c r="N1862" s="33"/>
      <c r="O1862" s="34"/>
    </row>
    <row r="1863" ht="22.5" customHeight="1">
      <c r="A1863" s="21" t="s">
        <v>3828</v>
      </c>
      <c r="B1863" s="21" t="s">
        <v>652</v>
      </c>
      <c r="C1863" s="21" t="str">
        <f t="array" ref="C1863">XLOOKUP(B1863,Customer[Customer_ID],Customer[Name(Cleaned)])</f>
        <v>Anthony Garcia</v>
      </c>
      <c r="D1863" s="22" t="str">
        <f>VLOOKUP(B1863,Customer[#ALL],6)</f>
        <v>Female</v>
      </c>
      <c r="E1863" s="23">
        <f>Sales[Order_Date]</f>
        <v>45661</v>
      </c>
      <c r="F1863" s="21" t="str">
        <f>Sales[Store_ID]</f>
        <v>STORE3</v>
      </c>
      <c r="G1863" s="21" t="str">
        <f t="array" ref="G1863">INDEX(Store[Store_Name],MATCH(F1863,Store[Store_ID],0))</f>
        <v>Johnson-Wright</v>
      </c>
      <c r="H1863" s="21" t="str">
        <f>Sales[Product_ID]</f>
        <v>PROD19</v>
      </c>
      <c r="I1863" s="21" t="str">
        <f>VLOOKUP(H1863,Products[],2)</f>
        <v>Knee Support Brace</v>
      </c>
      <c r="J1863" s="24">
        <f>Sales[Total_Amount]</f>
        <v>229.8825</v>
      </c>
      <c r="K1863" s="21" t="str">
        <f t="shared" si="1"/>
        <v>Jan</v>
      </c>
      <c r="L1863" s="21">
        <f t="shared" si="2"/>
        <v>2025</v>
      </c>
      <c r="N1863" s="33"/>
      <c r="O1863" s="34"/>
    </row>
    <row r="1864" ht="22.5" customHeight="1">
      <c r="A1864" s="21" t="s">
        <v>3829</v>
      </c>
      <c r="B1864" s="21" t="s">
        <v>168</v>
      </c>
      <c r="C1864" s="21" t="str">
        <f t="array" ref="C1864">XLOOKUP(B1864,Customer[Customer_ID],Customer[Name(Cleaned)])</f>
        <v>James Gibbs</v>
      </c>
      <c r="D1864" s="22" t="str">
        <f>VLOOKUP(B1864,Customer[#ALL],6)</f>
        <v>Female</v>
      </c>
      <c r="E1864" s="23">
        <f>Sales[Order_Date]</f>
        <v>45493</v>
      </c>
      <c r="F1864" s="21" t="str">
        <f>Sales[Store_ID]</f>
        <v>STORE10</v>
      </c>
      <c r="G1864" s="21" t="str">
        <f t="array" ref="G1864">INDEX(Store[Store_Name],MATCH(F1864,Store[Store_ID],0))</f>
        <v>Hill, Wagner and Ballard</v>
      </c>
      <c r="H1864" s="21" t="str">
        <f>Sales[Product_ID]</f>
        <v>PROD76</v>
      </c>
      <c r="I1864" s="21" t="str">
        <f>VLOOKUP(H1864,Products[],2)</f>
        <v>Wireless Mouse</v>
      </c>
      <c r="J1864" s="24">
        <f>Sales[Total_Amount]</f>
        <v>2777.1016</v>
      </c>
      <c r="K1864" s="21" t="str">
        <f t="shared" si="1"/>
        <v>Jul</v>
      </c>
      <c r="L1864" s="21">
        <f t="shared" si="2"/>
        <v>2024</v>
      </c>
      <c r="N1864" s="33"/>
      <c r="O1864" s="34"/>
    </row>
    <row r="1865" ht="22.5" customHeight="1">
      <c r="A1865" s="21" t="s">
        <v>3830</v>
      </c>
      <c r="B1865" s="21" t="s">
        <v>1534</v>
      </c>
      <c r="C1865" s="21" t="str">
        <f t="array" ref="C1865">XLOOKUP(B1865,Customer[Customer_ID],Customer[Name(Cleaned)])</f>
        <v>Justin Lopez</v>
      </c>
      <c r="D1865" s="22" t="str">
        <f>VLOOKUP(B1865,Customer[#ALL],6)</f>
        <v>Female</v>
      </c>
      <c r="E1865" s="23">
        <f>Sales[Order_Date]</f>
        <v>45242</v>
      </c>
      <c r="F1865" s="21" t="str">
        <f>Sales[Store_ID]</f>
        <v>STORE13</v>
      </c>
      <c r="G1865" s="21" t="str">
        <f t="array" ref="G1865">INDEX(Store[Store_Name],MATCH(F1865,Store[Store_ID],0))</f>
        <v>Gardner, Humphrey and Contreras</v>
      </c>
      <c r="H1865" s="21" t="str">
        <f>Sales[Product_ID]</f>
        <v>PROD41</v>
      </c>
      <c r="I1865" s="21" t="str">
        <f>VLOOKUP(H1865,Products[],2)</f>
        <v>Yoga Exercise Mat</v>
      </c>
      <c r="J1865" s="24">
        <f>Sales[Total_Amount]</f>
        <v>306.7725</v>
      </c>
      <c r="K1865" s="21" t="str">
        <f t="shared" si="1"/>
        <v>Nov</v>
      </c>
      <c r="L1865" s="21">
        <f t="shared" si="2"/>
        <v>2023</v>
      </c>
      <c r="N1865" s="33"/>
      <c r="O1865" s="34"/>
    </row>
    <row r="1866" ht="22.5" customHeight="1">
      <c r="A1866" s="21" t="s">
        <v>3831</v>
      </c>
      <c r="B1866" s="21" t="s">
        <v>723</v>
      </c>
      <c r="C1866" s="21" t="str">
        <f t="array" ref="C1866">XLOOKUP(B1866,Customer[Customer_ID],Customer[Name(Cleaned)])</f>
        <v>Jordan Wells</v>
      </c>
      <c r="D1866" s="22" t="str">
        <f>VLOOKUP(B1866,Customer[#ALL],6)</f>
        <v>Male</v>
      </c>
      <c r="E1866" s="23">
        <f>Sales[Order_Date]</f>
        <v>45411</v>
      </c>
      <c r="F1866" s="21" t="str">
        <f>Sales[Store_ID]</f>
        <v>STORE18</v>
      </c>
      <c r="G1866" s="21" t="str">
        <f t="array" ref="G1866">INDEX(Store[Store_Name],MATCH(F1866,Store[Store_ID],0))</f>
        <v>Guerrero-Schmitt</v>
      </c>
      <c r="H1866" s="21" t="str">
        <f>Sales[Product_ID]</f>
        <v>PROD96</v>
      </c>
      <c r="I1866" s="21" t="str">
        <f>VLOOKUP(H1866,Products[],2)</f>
        <v>Women's Formal Blazer</v>
      </c>
      <c r="J1866" s="24">
        <f>Sales[Total_Amount]</f>
        <v>1550.5662</v>
      </c>
      <c r="K1866" s="21" t="str">
        <f t="shared" si="1"/>
        <v>Apr</v>
      </c>
      <c r="L1866" s="21">
        <f t="shared" si="2"/>
        <v>2024</v>
      </c>
      <c r="N1866" s="33"/>
      <c r="O1866" s="34"/>
    </row>
    <row r="1867" ht="22.5" customHeight="1">
      <c r="A1867" s="21" t="s">
        <v>3832</v>
      </c>
      <c r="B1867" s="21" t="s">
        <v>138</v>
      </c>
      <c r="C1867" s="21" t="str">
        <f t="array" ref="C1867">XLOOKUP(B1867,Customer[Customer_ID],Customer[Name(Cleaned)])</f>
        <v>Mike Jennings</v>
      </c>
      <c r="D1867" s="22" t="str">
        <f>VLOOKUP(B1867,Customer[#ALL],6)</f>
        <v>Male</v>
      </c>
      <c r="E1867" s="23">
        <f>Sales[Order_Date]</f>
        <v>45593</v>
      </c>
      <c r="F1867" s="21" t="str">
        <f>Sales[Store_ID]</f>
        <v>STORE16</v>
      </c>
      <c r="G1867" s="21" t="str">
        <f t="array" ref="G1867">INDEX(Store[Store_Name],MATCH(F1867,Store[Store_ID],0))</f>
        <v>Frederick-Wright</v>
      </c>
      <c r="H1867" s="21" t="str">
        <f>Sales[Product_ID]</f>
        <v>PROD92</v>
      </c>
      <c r="I1867" s="21" t="str">
        <f>VLOOKUP(H1867,Products[],2)</f>
        <v>Microwave Oven</v>
      </c>
      <c r="J1867" s="24">
        <f>Sales[Total_Amount]</f>
        <v>437.1702</v>
      </c>
      <c r="K1867" s="21" t="str">
        <f t="shared" si="1"/>
        <v>Oct</v>
      </c>
      <c r="L1867" s="21">
        <f t="shared" si="2"/>
        <v>2024</v>
      </c>
      <c r="N1867" s="33"/>
      <c r="O1867" s="34"/>
    </row>
    <row r="1868" ht="22.5" customHeight="1">
      <c r="A1868" s="21" t="s">
        <v>3833</v>
      </c>
      <c r="B1868" s="21" t="s">
        <v>546</v>
      </c>
      <c r="C1868" s="21" t="str">
        <f t="array" ref="C1868">XLOOKUP(B1868,Customer[Customer_ID],Customer[Name(Cleaned)])</f>
        <v>John Lawson</v>
      </c>
      <c r="D1868" s="22" t="str">
        <f>VLOOKUP(B1868,Customer[#ALL],6)</f>
        <v>Male</v>
      </c>
      <c r="E1868" s="23">
        <f>Sales[Order_Date]</f>
        <v>45281</v>
      </c>
      <c r="F1868" s="21" t="str">
        <f>Sales[Store_ID]</f>
        <v>STORE13</v>
      </c>
      <c r="G1868" s="21" t="str">
        <f t="array" ref="G1868">INDEX(Store[Store_Name],MATCH(F1868,Store[Store_ID],0))</f>
        <v>Gardner, Humphrey and Contreras</v>
      </c>
      <c r="H1868" s="21" t="str">
        <f>Sales[Product_ID]</f>
        <v>PROD85</v>
      </c>
      <c r="I1868" s="21" t="str">
        <f>VLOOKUP(H1868,Products[],2)</f>
        <v>Women's Beanie Hat</v>
      </c>
      <c r="J1868" s="24">
        <f>Sales[Total_Amount]</f>
        <v>1095.864</v>
      </c>
      <c r="K1868" s="21" t="str">
        <f t="shared" si="1"/>
        <v>Dec</v>
      </c>
      <c r="L1868" s="21">
        <f t="shared" si="2"/>
        <v>2023</v>
      </c>
      <c r="N1868" s="33"/>
      <c r="O1868" s="34"/>
    </row>
    <row r="1869" ht="22.5" customHeight="1">
      <c r="A1869" s="21" t="s">
        <v>3834</v>
      </c>
      <c r="B1869" s="21" t="s">
        <v>616</v>
      </c>
      <c r="C1869" s="21" t="str">
        <f t="array" ref="C1869">XLOOKUP(B1869,Customer[Customer_ID],Customer[Name(Cleaned)])</f>
        <v>Mario Jacobs</v>
      </c>
      <c r="D1869" s="22" t="str">
        <f>VLOOKUP(B1869,Customer[#ALL],6)</f>
        <v>Female</v>
      </c>
      <c r="E1869" s="23">
        <f>Sales[Order_Date]</f>
        <v>45588</v>
      </c>
      <c r="F1869" s="21" t="str">
        <f>Sales[Store_ID]</f>
        <v>STORE0</v>
      </c>
      <c r="G1869" s="21" t="str">
        <f t="array" ref="G1869">INDEX(Store[Store_Name],MATCH(F1869,Store[Store_ID],0))</f>
        <v>Rivera-Warner</v>
      </c>
      <c r="H1869" s="21" t="str">
        <f>Sales[Product_ID]</f>
        <v>PROD38</v>
      </c>
      <c r="I1869" s="21" t="str">
        <f>VLOOKUP(H1869,Products[],2)</f>
        <v>Sports Water Hydration Pack</v>
      </c>
      <c r="J1869" s="24">
        <f>Sales[Total_Amount]</f>
        <v>374.6676</v>
      </c>
      <c r="K1869" s="21" t="str">
        <f t="shared" si="1"/>
        <v>Oct</v>
      </c>
      <c r="L1869" s="21">
        <f t="shared" si="2"/>
        <v>2024</v>
      </c>
      <c r="N1869" s="33"/>
      <c r="O1869" s="34"/>
    </row>
    <row r="1870" ht="22.5" customHeight="1">
      <c r="A1870" s="21" t="s">
        <v>3835</v>
      </c>
      <c r="B1870" s="21" t="s">
        <v>431</v>
      </c>
      <c r="C1870" s="21" t="str">
        <f t="array" ref="C1870">XLOOKUP(B1870,Customer[Customer_ID],Customer[Name(Cleaned)])</f>
        <v>Michael Chang</v>
      </c>
      <c r="D1870" s="22" t="str">
        <f>VLOOKUP(B1870,Customer[#ALL],6)</f>
        <v>Female</v>
      </c>
      <c r="E1870" s="23">
        <f>Sales[Order_Date]</f>
        <v>45575</v>
      </c>
      <c r="F1870" s="21" t="str">
        <f>Sales[Store_ID]</f>
        <v>STORE9</v>
      </c>
      <c r="G1870" s="21" t="str">
        <f t="array" ref="G1870">INDEX(Store[Store_Name],MATCH(F1870,Store[Store_ID],0))</f>
        <v>Moore, Padilla and Butler</v>
      </c>
      <c r="H1870" s="21" t="str">
        <f>Sales[Product_ID]</f>
        <v>PROD42</v>
      </c>
      <c r="I1870" s="21" t="str">
        <f>VLOOKUP(H1870,Products[],2)</f>
        <v>Smart Home WiFi Camera</v>
      </c>
      <c r="J1870" s="24">
        <f>Sales[Total_Amount]</f>
        <v>637.5008</v>
      </c>
      <c r="K1870" s="21" t="str">
        <f t="shared" si="1"/>
        <v>Oct</v>
      </c>
      <c r="L1870" s="21">
        <f t="shared" si="2"/>
        <v>2024</v>
      </c>
      <c r="N1870" s="33"/>
      <c r="O1870" s="34"/>
    </row>
    <row r="1871" ht="22.5" customHeight="1">
      <c r="A1871" s="21" t="s">
        <v>3836</v>
      </c>
      <c r="B1871" s="21" t="s">
        <v>525</v>
      </c>
      <c r="C1871" s="21" t="str">
        <f t="array" ref="C1871">XLOOKUP(B1871,Customer[Customer_ID],Customer[Name(Cleaned)])</f>
        <v>Joseph Faulkner</v>
      </c>
      <c r="D1871" s="22" t="str">
        <f>VLOOKUP(B1871,Customer[#ALL],6)</f>
        <v>Female</v>
      </c>
      <c r="E1871" s="23">
        <f>Sales[Order_Date]</f>
        <v>45660</v>
      </c>
      <c r="F1871" s="21" t="str">
        <f>Sales[Store_ID]</f>
        <v>STORE1</v>
      </c>
      <c r="G1871" s="21" t="str">
        <f t="array" ref="G1871">INDEX(Store[Store_Name],MATCH(F1871,Store[Store_ID],0))</f>
        <v>Martinez, Adkins and Johnson</v>
      </c>
      <c r="H1871" s="21" t="str">
        <f>Sales[Product_ID]</f>
        <v>PROD92</v>
      </c>
      <c r="I1871" s="21" t="str">
        <f>VLOOKUP(H1871,Products[],2)</f>
        <v>Microwave Oven</v>
      </c>
      <c r="J1871" s="24">
        <f>Sales[Total_Amount]</f>
        <v>1128.9969</v>
      </c>
      <c r="K1871" s="21" t="str">
        <f t="shared" si="1"/>
        <v>Jan</v>
      </c>
      <c r="L1871" s="21">
        <f t="shared" si="2"/>
        <v>2025</v>
      </c>
      <c r="N1871" s="33"/>
      <c r="O1871" s="34"/>
    </row>
    <row r="1872" ht="22.5" customHeight="1">
      <c r="A1872" s="21" t="s">
        <v>3837</v>
      </c>
      <c r="B1872" s="21" t="s">
        <v>1158</v>
      </c>
      <c r="C1872" s="21" t="str">
        <f t="array" ref="C1872">XLOOKUP(B1872,Customer[Customer_ID],Customer[Name(Cleaned)])</f>
        <v>Brandon Mcbride</v>
      </c>
      <c r="D1872" s="22" t="str">
        <f>VLOOKUP(B1872,Customer[#ALL],6)</f>
        <v>Male</v>
      </c>
      <c r="E1872" s="23">
        <f>Sales[Order_Date]</f>
        <v>45360</v>
      </c>
      <c r="F1872" s="21" t="str">
        <f>Sales[Store_ID]</f>
        <v>STORE5</v>
      </c>
      <c r="G1872" s="21" t="str">
        <f t="array" ref="G1872">INDEX(Store[Store_Name],MATCH(F1872,Store[Store_ID],0))</f>
        <v>Gray Ltd</v>
      </c>
      <c r="H1872" s="21" t="str">
        <f>Sales[Product_ID]</f>
        <v>PROD40</v>
      </c>
      <c r="I1872" s="21" t="str">
        <f>VLOOKUP(H1872,Products[],2)</f>
        <v>Noise-Canceling Headphones</v>
      </c>
      <c r="J1872" s="24">
        <f>Sales[Total_Amount]</f>
        <v>523.71</v>
      </c>
      <c r="K1872" s="21" t="str">
        <f t="shared" si="1"/>
        <v>Mar</v>
      </c>
      <c r="L1872" s="21">
        <f t="shared" si="2"/>
        <v>2024</v>
      </c>
      <c r="N1872" s="33"/>
      <c r="O1872" s="34"/>
    </row>
    <row r="1873" ht="22.5" customHeight="1">
      <c r="A1873" s="21" t="s">
        <v>3838</v>
      </c>
      <c r="B1873" s="21" t="s">
        <v>422</v>
      </c>
      <c r="C1873" s="21" t="str">
        <f t="array" ref="C1873">XLOOKUP(B1873,Customer[Customer_ID],Customer[Name(Cleaned)])</f>
        <v>Michael Jones</v>
      </c>
      <c r="D1873" s="22" t="str">
        <f>VLOOKUP(B1873,Customer[#ALL],6)</f>
        <v>Female</v>
      </c>
      <c r="E1873" s="23">
        <f>Sales[Order_Date]</f>
        <v>45526</v>
      </c>
      <c r="F1873" s="21" t="str">
        <f>Sales[Store_ID]</f>
        <v>STORE0</v>
      </c>
      <c r="G1873" s="21" t="str">
        <f t="array" ref="G1873">INDEX(Store[Store_Name],MATCH(F1873,Store[Store_ID],0))</f>
        <v>Rivera-Warner</v>
      </c>
      <c r="H1873" s="21" t="str">
        <f>Sales[Product_ID]</f>
        <v>PROD85</v>
      </c>
      <c r="I1873" s="21" t="str">
        <f>VLOOKUP(H1873,Products[],2)</f>
        <v>Women's Beanie Hat</v>
      </c>
      <c r="J1873" s="24">
        <f>Sales[Total_Amount]</f>
        <v>2240.28</v>
      </c>
      <c r="K1873" s="21" t="str">
        <f t="shared" si="1"/>
        <v>Aug</v>
      </c>
      <c r="L1873" s="21">
        <f t="shared" si="2"/>
        <v>2024</v>
      </c>
      <c r="N1873" s="33"/>
      <c r="O1873" s="34"/>
    </row>
    <row r="1874" ht="22.5" customHeight="1">
      <c r="A1874" s="21" t="s">
        <v>3839</v>
      </c>
      <c r="B1874" s="21" t="s">
        <v>1335</v>
      </c>
      <c r="C1874" s="21" t="str">
        <f t="array" ref="C1874">XLOOKUP(B1874,Customer[Customer_ID],Customer[Name(Cleaned)])</f>
        <v>Bryce Hawkins</v>
      </c>
      <c r="D1874" s="22" t="str">
        <f>VLOOKUP(B1874,Customer[#ALL],6)</f>
        <v>Female</v>
      </c>
      <c r="E1874" s="23">
        <f>Sales[Order_Date]</f>
        <v>45395</v>
      </c>
      <c r="F1874" s="21" t="str">
        <f>Sales[Store_ID]</f>
        <v>STORE19</v>
      </c>
      <c r="G1874" s="21" t="str">
        <f t="array" ref="G1874">INDEX(Store[Store_Name],MATCH(F1874,Store[Store_ID],0))</f>
        <v>Mann-Austin</v>
      </c>
      <c r="H1874" s="21" t="str">
        <f>Sales[Product_ID]</f>
        <v>PROD72</v>
      </c>
      <c r="I1874" s="21" t="str">
        <f>VLOOKUP(H1874,Products[],2)</f>
        <v>Professional Jump Rope</v>
      </c>
      <c r="J1874" s="24">
        <f>Sales[Total_Amount]</f>
        <v>41.876</v>
      </c>
      <c r="K1874" s="21" t="str">
        <f t="shared" si="1"/>
        <v>Apr</v>
      </c>
      <c r="L1874" s="21">
        <f t="shared" si="2"/>
        <v>2024</v>
      </c>
      <c r="N1874" s="33"/>
      <c r="O1874" s="34"/>
    </row>
    <row r="1875" ht="22.5" customHeight="1">
      <c r="A1875" s="21" t="s">
        <v>3840</v>
      </c>
      <c r="B1875" s="21" t="s">
        <v>1537</v>
      </c>
      <c r="C1875" s="21" t="str">
        <f t="array" ref="C1875">XLOOKUP(B1875,Customer[Customer_ID],Customer[Name(Cleaned)])</f>
        <v>James Berger</v>
      </c>
      <c r="D1875" s="22" t="str">
        <f>VLOOKUP(B1875,Customer[#ALL],6)</f>
        <v>Male</v>
      </c>
      <c r="E1875" s="23">
        <f>Sales[Order_Date]</f>
        <v>45466</v>
      </c>
      <c r="F1875" s="21" t="str">
        <f>Sales[Store_ID]</f>
        <v>STORE13</v>
      </c>
      <c r="G1875" s="21" t="str">
        <f t="array" ref="G1875">INDEX(Store[Store_Name],MATCH(F1875,Store[Store_ID],0))</f>
        <v>Gardner, Humphrey and Contreras</v>
      </c>
      <c r="H1875" s="21" t="str">
        <f>Sales[Product_ID]</f>
        <v>PROD59</v>
      </c>
      <c r="I1875" s="21" t="str">
        <f>VLOOKUP(H1875,Products[],2)</f>
        <v>Men's Hair Styling Gel</v>
      </c>
      <c r="J1875" s="24">
        <f>Sales[Total_Amount]</f>
        <v>754.2012</v>
      </c>
      <c r="K1875" s="21" t="str">
        <f t="shared" si="1"/>
        <v>Jun</v>
      </c>
      <c r="L1875" s="21">
        <f t="shared" si="2"/>
        <v>2024</v>
      </c>
      <c r="N1875" s="33"/>
      <c r="O1875" s="34"/>
    </row>
    <row r="1876" ht="22.5" customHeight="1">
      <c r="A1876" s="21" t="s">
        <v>3841</v>
      </c>
      <c r="B1876" s="21" t="s">
        <v>669</v>
      </c>
      <c r="C1876" s="21" t="str">
        <f t="array" ref="C1876">XLOOKUP(B1876,Customer[Customer_ID],Customer[Name(Cleaned)])</f>
        <v>Mary Boyd</v>
      </c>
      <c r="D1876" s="22" t="str">
        <f>VLOOKUP(B1876,Customer[#ALL],6)</f>
        <v>Male</v>
      </c>
      <c r="E1876" s="23">
        <f>Sales[Order_Date]</f>
        <v>45876</v>
      </c>
      <c r="F1876" s="21" t="str">
        <f>Sales[Store_ID]</f>
        <v>STORE10</v>
      </c>
      <c r="G1876" s="21" t="str">
        <f t="array" ref="G1876">INDEX(Store[Store_Name],MATCH(F1876,Store[Store_ID],0))</f>
        <v>Hill, Wagner and Ballard</v>
      </c>
      <c r="H1876" s="21" t="str">
        <f>Sales[Product_ID]</f>
        <v>PROD31</v>
      </c>
      <c r="I1876" s="21" t="str">
        <f>VLOOKUP(H1876,Products[],2)</f>
        <v>Basketball</v>
      </c>
      <c r="J1876" s="24">
        <f>Sales[Total_Amount]</f>
        <v>991.302</v>
      </c>
      <c r="K1876" s="21" t="str">
        <f t="shared" si="1"/>
        <v>Aug</v>
      </c>
      <c r="L1876" s="21">
        <f t="shared" si="2"/>
        <v>2025</v>
      </c>
      <c r="N1876" s="33"/>
      <c r="O1876" s="34"/>
    </row>
    <row r="1877" ht="22.5" customHeight="1">
      <c r="A1877" s="21" t="s">
        <v>3842</v>
      </c>
      <c r="B1877" s="21" t="s">
        <v>1074</v>
      </c>
      <c r="C1877" s="21" t="str">
        <f t="array" ref="C1877">XLOOKUP(B1877,Customer[Customer_ID],Customer[Name(Cleaned)])</f>
        <v>Carol Lewis</v>
      </c>
      <c r="D1877" s="22" t="str">
        <f>VLOOKUP(B1877,Customer[#ALL],6)</f>
        <v>Male</v>
      </c>
      <c r="E1877" s="23">
        <f>Sales[Order_Date]</f>
        <v>45724</v>
      </c>
      <c r="F1877" s="21" t="str">
        <f>Sales[Store_ID]</f>
        <v>STORE10</v>
      </c>
      <c r="G1877" s="21" t="str">
        <f t="array" ref="G1877">INDEX(Store[Store_Name],MATCH(F1877,Store[Store_ID],0))</f>
        <v>Hill, Wagner and Ballard</v>
      </c>
      <c r="H1877" s="21" t="str">
        <f>Sales[Product_ID]</f>
        <v>PROD16</v>
      </c>
      <c r="I1877" s="21" t="str">
        <f>VLOOKUP(H1877,Products[],2)</f>
        <v>Beard Grooming Kit</v>
      </c>
      <c r="J1877" s="24">
        <f>Sales[Total_Amount]</f>
        <v>1179.137</v>
      </c>
      <c r="K1877" s="21" t="str">
        <f t="shared" si="1"/>
        <v>Mar</v>
      </c>
      <c r="L1877" s="21">
        <f t="shared" si="2"/>
        <v>2025</v>
      </c>
      <c r="N1877" s="33"/>
      <c r="O1877" s="34"/>
    </row>
    <row r="1878" ht="22.5" customHeight="1">
      <c r="A1878" s="21" t="s">
        <v>3843</v>
      </c>
      <c r="B1878" s="21" t="s">
        <v>1450</v>
      </c>
      <c r="C1878" s="21" t="str">
        <f t="array" ref="C1878">XLOOKUP(B1878,Customer[Customer_ID],Customer[Name(Cleaned)])</f>
        <v>Ronald Ross</v>
      </c>
      <c r="D1878" s="22" t="str">
        <f>VLOOKUP(B1878,Customer[#ALL],6)</f>
        <v>Male</v>
      </c>
      <c r="E1878" s="23">
        <f>Sales[Order_Date]</f>
        <v>45801</v>
      </c>
      <c r="F1878" s="21" t="str">
        <f>Sales[Store_ID]</f>
        <v>STORE8</v>
      </c>
      <c r="G1878" s="21" t="str">
        <f t="array" ref="G1878">INDEX(Store[Store_Name],MATCH(F1878,Store[Store_ID],0))</f>
        <v>Bean, Jones and Park</v>
      </c>
      <c r="H1878" s="21" t="str">
        <f>Sales[Product_ID]</f>
        <v>PROD67</v>
      </c>
      <c r="I1878" s="21" t="str">
        <f>VLOOKUP(H1878,Products[],2)</f>
        <v>Smart LED Light Strip</v>
      </c>
      <c r="J1878" s="24">
        <f>Sales[Total_Amount]</f>
        <v>1731.4914</v>
      </c>
      <c r="K1878" s="21" t="str">
        <f t="shared" si="1"/>
        <v>May</v>
      </c>
      <c r="L1878" s="21">
        <f t="shared" si="2"/>
        <v>2025</v>
      </c>
      <c r="N1878" s="33"/>
      <c r="O1878" s="34"/>
    </row>
    <row r="1879" ht="22.5" customHeight="1">
      <c r="A1879" s="21" t="s">
        <v>3844</v>
      </c>
      <c r="B1879" s="21" t="s">
        <v>1206</v>
      </c>
      <c r="C1879" s="21" t="str">
        <f t="array" ref="C1879">XLOOKUP(B1879,Customer[Customer_ID],Customer[Name(Cleaned)])</f>
        <v>Erika Padilla</v>
      </c>
      <c r="D1879" s="22" t="str">
        <f>VLOOKUP(B1879,Customer[#ALL],6)</f>
        <v>Female</v>
      </c>
      <c r="E1879" s="23">
        <f>Sales[Order_Date]</f>
        <v>45749</v>
      </c>
      <c r="F1879" s="21" t="str">
        <f>Sales[Store_ID]</f>
        <v>STORE4</v>
      </c>
      <c r="G1879" s="21" t="str">
        <f t="array" ref="G1879">INDEX(Store[Store_Name],MATCH(F1879,Store[Store_ID],0))</f>
        <v>Alexander Group</v>
      </c>
      <c r="H1879" s="21" t="str">
        <f>Sales[Product_ID]</f>
        <v>PROD23</v>
      </c>
      <c r="I1879" s="21" t="str">
        <f>VLOOKUP(H1879,Products[],2)</f>
        <v>Men's Formal Shirt</v>
      </c>
      <c r="J1879" s="24">
        <f>Sales[Total_Amount]</f>
        <v>200.1354</v>
      </c>
      <c r="K1879" s="21" t="str">
        <f t="shared" si="1"/>
        <v>Apr</v>
      </c>
      <c r="L1879" s="21">
        <f t="shared" si="2"/>
        <v>2025</v>
      </c>
      <c r="N1879" s="33"/>
      <c r="O1879" s="34"/>
    </row>
    <row r="1880" ht="22.5" customHeight="1">
      <c r="A1880" s="21" t="s">
        <v>3845</v>
      </c>
      <c r="B1880" s="21" t="s">
        <v>495</v>
      </c>
      <c r="C1880" s="21" t="str">
        <f t="array" ref="C1880">XLOOKUP(B1880,Customer[Customer_ID],Customer[Name(Cleaned)])</f>
        <v>Carlos Skinner</v>
      </c>
      <c r="D1880" s="22" t="str">
        <f>VLOOKUP(B1880,Customer[#ALL],6)</f>
        <v>Female</v>
      </c>
      <c r="E1880" s="23">
        <f>Sales[Order_Date]</f>
        <v>45848</v>
      </c>
      <c r="F1880" s="21" t="str">
        <f>Sales[Store_ID]</f>
        <v>STORE1</v>
      </c>
      <c r="G1880" s="21" t="str">
        <f t="array" ref="G1880">INDEX(Store[Store_Name],MATCH(F1880,Store[Store_ID],0))</f>
        <v>Martinez, Adkins and Johnson</v>
      </c>
      <c r="H1880" s="21" t="str">
        <f>Sales[Product_ID]</f>
        <v>PROD17</v>
      </c>
      <c r="I1880" s="21" t="str">
        <f>VLOOKUP(H1880,Products[],2)</f>
        <v>Soccer Training Cone Set</v>
      </c>
      <c r="J1880" s="24">
        <f>Sales[Total_Amount]</f>
        <v>705.7896</v>
      </c>
      <c r="K1880" s="21" t="str">
        <f t="shared" si="1"/>
        <v>Jul</v>
      </c>
      <c r="L1880" s="21">
        <f t="shared" si="2"/>
        <v>2025</v>
      </c>
      <c r="N1880" s="33"/>
      <c r="O1880" s="34"/>
    </row>
    <row r="1881" ht="22.5" customHeight="1">
      <c r="A1881" s="21" t="s">
        <v>3846</v>
      </c>
      <c r="B1881" s="21" t="s">
        <v>404</v>
      </c>
      <c r="C1881" s="21" t="str">
        <f t="array" ref="C1881">XLOOKUP(B1881,Customer[Customer_ID],Customer[Name(Cleaned)])</f>
        <v>Edward Hall</v>
      </c>
      <c r="D1881" s="22" t="str">
        <f>VLOOKUP(B1881,Customer[#ALL],6)</f>
        <v>Female</v>
      </c>
      <c r="E1881" s="23">
        <f>Sales[Order_Date]</f>
        <v>45325</v>
      </c>
      <c r="F1881" s="21" t="str">
        <f>Sales[Store_ID]</f>
        <v>STORE9</v>
      </c>
      <c r="G1881" s="21" t="str">
        <f t="array" ref="G1881">INDEX(Store[Store_Name],MATCH(F1881,Store[Store_ID],0))</f>
        <v>Moore, Padilla and Butler</v>
      </c>
      <c r="H1881" s="21" t="str">
        <f>Sales[Product_ID]</f>
        <v>PROD83</v>
      </c>
      <c r="I1881" s="21" t="str">
        <f>VLOOKUP(H1881,Products[],2)</f>
        <v>Hydrating Face Cleanser</v>
      </c>
      <c r="J1881" s="24">
        <f>Sales[Total_Amount]</f>
        <v>1185.4584</v>
      </c>
      <c r="K1881" s="21" t="str">
        <f t="shared" si="1"/>
        <v>Feb</v>
      </c>
      <c r="L1881" s="21">
        <f t="shared" si="2"/>
        <v>2024</v>
      </c>
      <c r="N1881" s="33"/>
      <c r="O1881" s="34"/>
    </row>
    <row r="1882" ht="22.5" customHeight="1">
      <c r="A1882" s="21" t="s">
        <v>3847</v>
      </c>
      <c r="B1882" s="21" t="s">
        <v>1005</v>
      </c>
      <c r="C1882" s="21" t="str">
        <f t="array" ref="C1882">XLOOKUP(B1882,Customer[Customer_ID],Customer[Name(Cleaned)])</f>
        <v>Elizabeth Johnson</v>
      </c>
      <c r="D1882" s="22" t="str">
        <f>VLOOKUP(B1882,Customer[#ALL],6)</f>
        <v>Male</v>
      </c>
      <c r="E1882" s="23">
        <f>Sales[Order_Date]</f>
        <v>45932</v>
      </c>
      <c r="F1882" s="21" t="str">
        <f>Sales[Store_ID]</f>
        <v>STORE16</v>
      </c>
      <c r="G1882" s="21" t="str">
        <f t="array" ref="G1882">INDEX(Store[Store_Name],MATCH(F1882,Store[Store_ID],0))</f>
        <v>Frederick-Wright</v>
      </c>
      <c r="H1882" s="21" t="str">
        <f>Sales[Product_ID]</f>
        <v>PROD86</v>
      </c>
      <c r="I1882" s="21" t="str">
        <f>VLOOKUP(H1882,Products[],2)</f>
        <v>Kitchen Cutting Board</v>
      </c>
      <c r="J1882" s="24">
        <f>Sales[Total_Amount]</f>
        <v>353.5676</v>
      </c>
      <c r="K1882" s="21" t="str">
        <f t="shared" si="1"/>
        <v>Oct</v>
      </c>
      <c r="L1882" s="21">
        <f t="shared" si="2"/>
        <v>2025</v>
      </c>
      <c r="N1882" s="33"/>
      <c r="O1882" s="34"/>
    </row>
    <row r="1883" ht="22.5" customHeight="1">
      <c r="A1883" s="21" t="s">
        <v>3848</v>
      </c>
      <c r="B1883" s="21" t="s">
        <v>782</v>
      </c>
      <c r="C1883" s="21" t="str">
        <f t="array" ref="C1883">XLOOKUP(B1883,Customer[Customer_ID],Customer[Name(Cleaned)])</f>
        <v>Maria Hill</v>
      </c>
      <c r="D1883" s="22" t="str">
        <f>VLOOKUP(B1883,Customer[#ALL],6)</f>
        <v>Male</v>
      </c>
      <c r="E1883" s="23">
        <f>Sales[Order_Date]</f>
        <v>45895</v>
      </c>
      <c r="F1883" s="21" t="str">
        <f>Sales[Store_ID]</f>
        <v>STORE0</v>
      </c>
      <c r="G1883" s="21" t="str">
        <f t="array" ref="G1883">INDEX(Store[Store_Name],MATCH(F1883,Store[Store_ID],0))</f>
        <v>Rivera-Warner</v>
      </c>
      <c r="H1883" s="21" t="str">
        <f>Sales[Product_ID]</f>
        <v>PROD92</v>
      </c>
      <c r="I1883" s="21" t="str">
        <f>VLOOKUP(H1883,Products[],2)</f>
        <v>Microwave Oven</v>
      </c>
      <c r="J1883" s="24">
        <f>Sales[Total_Amount]</f>
        <v>389.674</v>
      </c>
      <c r="K1883" s="21" t="str">
        <f t="shared" si="1"/>
        <v>Aug</v>
      </c>
      <c r="L1883" s="21">
        <f t="shared" si="2"/>
        <v>2025</v>
      </c>
      <c r="N1883" s="33"/>
      <c r="O1883" s="34"/>
    </row>
    <row r="1884" ht="22.5" customHeight="1">
      <c r="A1884" s="21" t="s">
        <v>3849</v>
      </c>
      <c r="B1884" s="21" t="s">
        <v>343</v>
      </c>
      <c r="C1884" s="21" t="str">
        <f t="array" ref="C1884">XLOOKUP(B1884,Customer[Customer_ID],Customer[Name(Cleaned)])</f>
        <v>Christy Vasquez</v>
      </c>
      <c r="D1884" s="22" t="str">
        <f>VLOOKUP(B1884,Customer[#ALL],6)</f>
        <v>Male</v>
      </c>
      <c r="E1884" s="23">
        <f>Sales[Order_Date]</f>
        <v>45614</v>
      </c>
      <c r="F1884" s="21" t="str">
        <f>Sales[Store_ID]</f>
        <v>STORE3</v>
      </c>
      <c r="G1884" s="21" t="str">
        <f t="array" ref="G1884">INDEX(Store[Store_Name],MATCH(F1884,Store[Store_ID],0))</f>
        <v>Johnson-Wright</v>
      </c>
      <c r="H1884" s="21" t="str">
        <f>Sales[Product_ID]</f>
        <v>PROD32</v>
      </c>
      <c r="I1884" s="21" t="str">
        <f>VLOOKUP(H1884,Products[],2)</f>
        <v>Vitamin C Face Serum</v>
      </c>
      <c r="J1884" s="24">
        <f>Sales[Total_Amount]</f>
        <v>1113.6584</v>
      </c>
      <c r="K1884" s="21" t="str">
        <f t="shared" si="1"/>
        <v>Nov</v>
      </c>
      <c r="L1884" s="21">
        <f t="shared" si="2"/>
        <v>2024</v>
      </c>
      <c r="N1884" s="33"/>
      <c r="O1884" s="34"/>
    </row>
    <row r="1885" ht="22.5" customHeight="1">
      <c r="A1885" s="21" t="s">
        <v>3850</v>
      </c>
      <c r="B1885" s="21" t="s">
        <v>1520</v>
      </c>
      <c r="C1885" s="21" t="str">
        <f t="array" ref="C1885">XLOOKUP(B1885,Customer[Customer_ID],Customer[Name(Cleaned)])</f>
        <v>Melinda Thomas</v>
      </c>
      <c r="D1885" s="22" t="str">
        <f>VLOOKUP(B1885,Customer[#ALL],6)</f>
        <v>Male</v>
      </c>
      <c r="E1885" s="23">
        <f>Sales[Order_Date]</f>
        <v>45247</v>
      </c>
      <c r="F1885" s="21" t="str">
        <f>Sales[Store_ID]</f>
        <v>STORE13</v>
      </c>
      <c r="G1885" s="21" t="str">
        <f t="array" ref="G1885">INDEX(Store[Store_Name],MATCH(F1885,Store[Store_ID],0))</f>
        <v>Gardner, Humphrey and Contreras</v>
      </c>
      <c r="H1885" s="21" t="str">
        <f>Sales[Product_ID]</f>
        <v>PROD60</v>
      </c>
      <c r="I1885" s="21" t="str">
        <f>VLOOKUP(H1885,Products[],2)</f>
        <v>Luxury Perfume Spray</v>
      </c>
      <c r="J1885" s="24">
        <f>Sales[Total_Amount]</f>
        <v>383.328</v>
      </c>
      <c r="K1885" s="21" t="str">
        <f t="shared" si="1"/>
        <v>Nov</v>
      </c>
      <c r="L1885" s="21">
        <f t="shared" si="2"/>
        <v>2023</v>
      </c>
      <c r="N1885" s="33"/>
      <c r="O1885" s="34"/>
    </row>
    <row r="1886" ht="22.5" customHeight="1">
      <c r="A1886" s="21" t="s">
        <v>3851</v>
      </c>
      <c r="B1886" s="21" t="s">
        <v>380</v>
      </c>
      <c r="C1886" s="21" t="str">
        <f t="array" ref="C1886">XLOOKUP(B1886,Customer[Customer_ID],Customer[Name(Cleaned)])</f>
        <v>Lance Baker</v>
      </c>
      <c r="D1886" s="22" t="str">
        <f>VLOOKUP(B1886,Customer[#ALL],6)</f>
        <v>Male</v>
      </c>
      <c r="E1886" s="23">
        <f>Sales[Order_Date]</f>
        <v>45696</v>
      </c>
      <c r="F1886" s="21" t="str">
        <f>Sales[Store_ID]</f>
        <v>STORE3</v>
      </c>
      <c r="G1886" s="21" t="str">
        <f t="array" ref="G1886">INDEX(Store[Store_Name],MATCH(F1886,Store[Store_ID],0))</f>
        <v>Johnson-Wright</v>
      </c>
      <c r="H1886" s="21" t="str">
        <f>Sales[Product_ID]</f>
        <v>PROD57</v>
      </c>
      <c r="I1886" s="21" t="str">
        <f>VLOOKUP(H1886,Products[],2)</f>
        <v>Foam Roller</v>
      </c>
      <c r="J1886" s="24">
        <f>Sales[Total_Amount]</f>
        <v>28.044</v>
      </c>
      <c r="K1886" s="21" t="str">
        <f t="shared" si="1"/>
        <v>Feb</v>
      </c>
      <c r="L1886" s="21">
        <f t="shared" si="2"/>
        <v>2025</v>
      </c>
      <c r="N1886" s="33"/>
      <c r="O1886" s="34"/>
    </row>
    <row r="1887" ht="22.5" customHeight="1">
      <c r="A1887" s="21" t="s">
        <v>3852</v>
      </c>
      <c r="B1887" s="21" t="s">
        <v>1353</v>
      </c>
      <c r="C1887" s="21" t="str">
        <f t="array" ref="C1887">XLOOKUP(B1887,Customer[Customer_ID],Customer[Name(Cleaned)])</f>
        <v>John Smith</v>
      </c>
      <c r="D1887" s="22" t="str">
        <f>VLOOKUP(B1887,Customer[#ALL],6)</f>
        <v>Female</v>
      </c>
      <c r="E1887" s="23">
        <f>Sales[Order_Date]</f>
        <v>45294</v>
      </c>
      <c r="F1887" s="21" t="str">
        <f>Sales[Store_ID]</f>
        <v>STORE16</v>
      </c>
      <c r="G1887" s="21" t="str">
        <f t="array" ref="G1887">INDEX(Store[Store_Name],MATCH(F1887,Store[Store_ID],0))</f>
        <v>Frederick-Wright</v>
      </c>
      <c r="H1887" s="21" t="str">
        <f>Sales[Product_ID]</f>
        <v>PROD96</v>
      </c>
      <c r="I1887" s="21" t="str">
        <f>VLOOKUP(H1887,Products[],2)</f>
        <v>Women's Formal Blazer</v>
      </c>
      <c r="J1887" s="24">
        <f>Sales[Total_Amount]</f>
        <v>818.4666</v>
      </c>
      <c r="K1887" s="21" t="str">
        <f t="shared" si="1"/>
        <v>Jan</v>
      </c>
      <c r="L1887" s="21">
        <f t="shared" si="2"/>
        <v>2024</v>
      </c>
      <c r="N1887" s="33"/>
      <c r="O1887" s="34"/>
    </row>
    <row r="1888" ht="22.5" customHeight="1">
      <c r="A1888" s="21" t="s">
        <v>3853</v>
      </c>
      <c r="B1888" s="21" t="s">
        <v>469</v>
      </c>
      <c r="C1888" s="21" t="str">
        <f t="array" ref="C1888">XLOOKUP(B1888,Customer[Customer_ID],Customer[Name(Cleaned)])</f>
        <v>Morgan Bowen</v>
      </c>
      <c r="D1888" s="22" t="str">
        <f>VLOOKUP(B1888,Customer[#ALL],6)</f>
        <v>Female</v>
      </c>
      <c r="E1888" s="23">
        <f>Sales[Order_Date]</f>
        <v>45389</v>
      </c>
      <c r="F1888" s="21" t="str">
        <f>Sales[Store_ID]</f>
        <v>STORE3</v>
      </c>
      <c r="G1888" s="21" t="str">
        <f t="array" ref="G1888">INDEX(Store[Store_Name],MATCH(F1888,Store[Store_ID],0))</f>
        <v>Johnson-Wright</v>
      </c>
      <c r="H1888" s="21" t="str">
        <f>Sales[Product_ID]</f>
        <v>PROD83</v>
      </c>
      <c r="I1888" s="21" t="str">
        <f>VLOOKUP(H1888,Products[],2)</f>
        <v>Hydrating Face Cleanser</v>
      </c>
      <c r="J1888" s="24">
        <f>Sales[Total_Amount]</f>
        <v>85.9332</v>
      </c>
      <c r="K1888" s="21" t="str">
        <f t="shared" si="1"/>
        <v>Apr</v>
      </c>
      <c r="L1888" s="21">
        <f t="shared" si="2"/>
        <v>2024</v>
      </c>
      <c r="N1888" s="33"/>
      <c r="O1888" s="34"/>
    </row>
    <row r="1889" ht="22.5" customHeight="1">
      <c r="A1889" s="21" t="s">
        <v>3854</v>
      </c>
      <c r="B1889" s="21" t="s">
        <v>1453</v>
      </c>
      <c r="C1889" s="21" t="str">
        <f t="array" ref="C1889">XLOOKUP(B1889,Customer[Customer_ID],Customer[Name(Cleaned)])</f>
        <v>Cynthia Parrish</v>
      </c>
      <c r="D1889" s="22" t="str">
        <f>VLOOKUP(B1889,Customer[#ALL],6)</f>
        <v>Female</v>
      </c>
      <c r="E1889" s="23">
        <f>Sales[Order_Date]</f>
        <v>45930</v>
      </c>
      <c r="F1889" s="21" t="str">
        <f>Sales[Store_ID]</f>
        <v>STORE12</v>
      </c>
      <c r="G1889" s="21" t="str">
        <f t="array" ref="G1889">INDEX(Store[Store_Name],MATCH(F1889,Store[Store_ID],0))</f>
        <v>Thomas, Bridges and Harris</v>
      </c>
      <c r="H1889" s="21" t="str">
        <f>Sales[Product_ID]</f>
        <v>PROD94</v>
      </c>
      <c r="I1889" s="21" t="str">
        <f>VLOOKUP(H1889,Products[],2)</f>
        <v>Vitamin E Body Lotion</v>
      </c>
      <c r="J1889" s="24">
        <f>Sales[Total_Amount]</f>
        <v>695.0482</v>
      </c>
      <c r="K1889" s="21" t="str">
        <f t="shared" si="1"/>
        <v>Sep</v>
      </c>
      <c r="L1889" s="21">
        <f t="shared" si="2"/>
        <v>2025</v>
      </c>
      <c r="N1889" s="33"/>
      <c r="O1889" s="34"/>
    </row>
    <row r="1890" ht="22.5" customHeight="1">
      <c r="A1890" s="21" t="s">
        <v>3855</v>
      </c>
      <c r="B1890" s="21" t="s">
        <v>1179</v>
      </c>
      <c r="C1890" s="21" t="str">
        <f t="array" ref="C1890">XLOOKUP(B1890,Customer[Customer_ID],Customer[Name(Cleaned)])</f>
        <v>Jacqueline Anthony</v>
      </c>
      <c r="D1890" s="22" t="str">
        <f>VLOOKUP(B1890,Customer[#ALL],6)</f>
        <v>Female</v>
      </c>
      <c r="E1890" s="23">
        <f>Sales[Order_Date]</f>
        <v>45456</v>
      </c>
      <c r="F1890" s="21" t="str">
        <f>Sales[Store_ID]</f>
        <v>STORE6</v>
      </c>
      <c r="G1890" s="21" t="str">
        <f t="array" ref="G1890">INDEX(Store[Store_Name],MATCH(F1890,Store[Store_ID],0))</f>
        <v>Benson-Elliott</v>
      </c>
      <c r="H1890" s="21" t="str">
        <f>Sales[Product_ID]</f>
        <v>PROD86</v>
      </c>
      <c r="I1890" s="21" t="str">
        <f>VLOOKUP(H1890,Products[],2)</f>
        <v>Kitchen Cutting Board</v>
      </c>
      <c r="J1890" s="24">
        <f>Sales[Total_Amount]</f>
        <v>1561.9212</v>
      </c>
      <c r="K1890" s="21" t="str">
        <f t="shared" si="1"/>
        <v>Jun</v>
      </c>
      <c r="L1890" s="21">
        <f t="shared" si="2"/>
        <v>2024</v>
      </c>
      <c r="N1890" s="33"/>
      <c r="O1890" s="34"/>
    </row>
    <row r="1891" ht="22.5" customHeight="1">
      <c r="A1891" s="21" t="s">
        <v>3856</v>
      </c>
      <c r="B1891" s="21" t="s">
        <v>1447</v>
      </c>
      <c r="C1891" s="21" t="str">
        <f t="array" ref="C1891">XLOOKUP(B1891,Customer[Customer_ID],Customer[Name(Cleaned)])</f>
        <v>David Pierce</v>
      </c>
      <c r="D1891" s="22" t="str">
        <f>VLOOKUP(B1891,Customer[#ALL],6)</f>
        <v>Male</v>
      </c>
      <c r="E1891" s="23">
        <f>Sales[Order_Date]</f>
        <v>45869</v>
      </c>
      <c r="F1891" s="21" t="str">
        <f>Sales[Store_ID]</f>
        <v>STORE0</v>
      </c>
      <c r="G1891" s="21" t="str">
        <f t="array" ref="G1891">INDEX(Store[Store_Name],MATCH(F1891,Store[Store_ID],0))</f>
        <v>Rivera-Warner</v>
      </c>
      <c r="H1891" s="21" t="str">
        <f>Sales[Product_ID]</f>
        <v>PROD33</v>
      </c>
      <c r="I1891" s="21" t="str">
        <f>VLOOKUP(H1891,Products[],2)</f>
        <v>Modern Wall Clock</v>
      </c>
      <c r="J1891" s="24">
        <f>Sales[Total_Amount]</f>
        <v>1344.6818</v>
      </c>
      <c r="K1891" s="21" t="str">
        <f t="shared" si="1"/>
        <v>Jul</v>
      </c>
      <c r="L1891" s="21">
        <f t="shared" si="2"/>
        <v>2025</v>
      </c>
      <c r="N1891" s="33"/>
      <c r="O1891" s="34"/>
    </row>
    <row r="1892" ht="22.5" customHeight="1">
      <c r="A1892" s="21" t="s">
        <v>3857</v>
      </c>
      <c r="B1892" s="21" t="s">
        <v>59</v>
      </c>
      <c r="C1892" s="21" t="str">
        <f t="array" ref="C1892">XLOOKUP(B1892,Customer[Customer_ID],Customer[Name(Cleaned)])</f>
        <v>Dominic Page</v>
      </c>
      <c r="D1892" s="22" t="str">
        <f>VLOOKUP(B1892,Customer[#ALL],6)</f>
        <v>Female</v>
      </c>
      <c r="E1892" s="23">
        <f>Sales[Order_Date]</f>
        <v>45577</v>
      </c>
      <c r="F1892" s="21" t="str">
        <f>Sales[Store_ID]</f>
        <v>STORE18</v>
      </c>
      <c r="G1892" s="21" t="str">
        <f t="array" ref="G1892">INDEX(Store[Store_Name],MATCH(F1892,Store[Store_ID],0))</f>
        <v>Guerrero-Schmitt</v>
      </c>
      <c r="H1892" s="21" t="str">
        <f>Sales[Product_ID]</f>
        <v>PROD33</v>
      </c>
      <c r="I1892" s="21" t="str">
        <f>VLOOKUP(H1892,Products[],2)</f>
        <v>Modern Wall Clock</v>
      </c>
      <c r="J1892" s="24">
        <f>Sales[Total_Amount]</f>
        <v>616.2112</v>
      </c>
      <c r="K1892" s="21" t="str">
        <f t="shared" si="1"/>
        <v>Oct</v>
      </c>
      <c r="L1892" s="21">
        <f t="shared" si="2"/>
        <v>2024</v>
      </c>
      <c r="N1892" s="33"/>
      <c r="O1892" s="34"/>
    </row>
    <row r="1893" ht="22.5" customHeight="1">
      <c r="A1893" s="21" t="s">
        <v>3858</v>
      </c>
      <c r="B1893" s="21" t="s">
        <v>389</v>
      </c>
      <c r="C1893" s="21" t="str">
        <f t="array" ref="C1893">XLOOKUP(B1893,Customer[Customer_ID],Customer[Name(Cleaned)])</f>
        <v>Travis Holland</v>
      </c>
      <c r="D1893" s="22" t="str">
        <f>VLOOKUP(B1893,Customer[#ALL],6)</f>
        <v>Female</v>
      </c>
      <c r="E1893" s="23">
        <f>Sales[Order_Date]</f>
        <v>45713</v>
      </c>
      <c r="F1893" s="21" t="str">
        <f>Sales[Store_ID]</f>
        <v>STORE7</v>
      </c>
      <c r="G1893" s="21" t="str">
        <f t="array" ref="G1893">INDEX(Store[Store_Name],MATCH(F1893,Store[Store_ID],0))</f>
        <v>Martinez-Mullins</v>
      </c>
      <c r="H1893" s="21" t="str">
        <f>Sales[Product_ID]</f>
        <v>PROD62</v>
      </c>
      <c r="I1893" s="21" t="str">
        <f>VLOOKUP(H1893,Products[],2)</f>
        <v>Laptop Cooling Pad</v>
      </c>
      <c r="J1893" s="24">
        <f>Sales[Total_Amount]</f>
        <v>139.0312</v>
      </c>
      <c r="K1893" s="21" t="str">
        <f t="shared" si="1"/>
        <v>Feb</v>
      </c>
      <c r="L1893" s="21">
        <f t="shared" si="2"/>
        <v>2025</v>
      </c>
      <c r="N1893" s="33"/>
      <c r="O1893" s="34"/>
    </row>
    <row r="1894" ht="22.5" customHeight="1">
      <c r="A1894" s="21" t="s">
        <v>3859</v>
      </c>
      <c r="B1894" s="21" t="s">
        <v>619</v>
      </c>
      <c r="C1894" s="21" t="str">
        <f t="array" ref="C1894">XLOOKUP(B1894,Customer[Customer_ID],Customer[Name(Cleaned)])</f>
        <v>Leonard Cochran</v>
      </c>
      <c r="D1894" s="22" t="str">
        <f>VLOOKUP(B1894,Customer[#ALL],6)</f>
        <v>Male</v>
      </c>
      <c r="E1894" s="23">
        <f>Sales[Order_Date]</f>
        <v>45784</v>
      </c>
      <c r="F1894" s="21" t="str">
        <f>Sales[Store_ID]</f>
        <v>STORE2</v>
      </c>
      <c r="G1894" s="21" t="str">
        <f t="array" ref="G1894">INDEX(Store[Store_Name],MATCH(F1894,Store[Store_ID],0))</f>
        <v>Black-Horn</v>
      </c>
      <c r="H1894" s="21" t="str">
        <f>Sales[Product_ID]</f>
        <v>PROD46</v>
      </c>
      <c r="I1894" s="21" t="str">
        <f>VLOOKUP(H1894,Products[],2)</f>
        <v>Men's Winter Jacket</v>
      </c>
      <c r="J1894" s="24">
        <f>Sales[Total_Amount]</f>
        <v>122.9456</v>
      </c>
      <c r="K1894" s="21" t="str">
        <f t="shared" si="1"/>
        <v>May</v>
      </c>
      <c r="L1894" s="21">
        <f t="shared" si="2"/>
        <v>2025</v>
      </c>
      <c r="N1894" s="33"/>
      <c r="O1894" s="34"/>
    </row>
    <row r="1895" ht="22.5" customHeight="1">
      <c r="A1895" s="21" t="s">
        <v>3860</v>
      </c>
      <c r="B1895" s="21" t="s">
        <v>12</v>
      </c>
      <c r="C1895" s="21" t="str">
        <f t="array" ref="C1895">XLOOKUP(B1895,Customer[Customer_ID],Customer[Name(Cleaned)])</f>
        <v>Sheena Bonilla</v>
      </c>
      <c r="D1895" s="22" t="str">
        <f>VLOOKUP(B1895,Customer[#ALL],6)</f>
        <v>Female</v>
      </c>
      <c r="E1895" s="23">
        <f>Sales[Order_Date]</f>
        <v>45812</v>
      </c>
      <c r="F1895" s="21" t="str">
        <f>Sales[Store_ID]</f>
        <v>STORE19</v>
      </c>
      <c r="G1895" s="21" t="str">
        <f t="array" ref="G1895">INDEX(Store[Store_Name],MATCH(F1895,Store[Store_ID],0))</f>
        <v>Mann-Austin</v>
      </c>
      <c r="H1895" s="21" t="str">
        <f>Sales[Product_ID]</f>
        <v>PROD56</v>
      </c>
      <c r="I1895" s="21" t="str">
        <f>VLOOKUP(H1895,Products[],2)</f>
        <v>Premium Blanket Throw</v>
      </c>
      <c r="J1895" s="24">
        <f>Sales[Total_Amount]</f>
        <v>751.5888</v>
      </c>
      <c r="K1895" s="21" t="str">
        <f t="shared" si="1"/>
        <v>Jun</v>
      </c>
      <c r="L1895" s="21">
        <f t="shared" si="2"/>
        <v>2025</v>
      </c>
      <c r="N1895" s="33"/>
      <c r="O1895" s="34"/>
    </row>
    <row r="1896" ht="22.5" customHeight="1">
      <c r="A1896" s="21" t="s">
        <v>3861</v>
      </c>
      <c r="B1896" s="21" t="s">
        <v>857</v>
      </c>
      <c r="C1896" s="21" t="str">
        <f t="array" ref="C1896">XLOOKUP(B1896,Customer[Customer_ID],Customer[Name(Cleaned)])</f>
        <v>Matthew Payne</v>
      </c>
      <c r="D1896" s="22" t="str">
        <f>VLOOKUP(B1896,Customer[#ALL],6)</f>
        <v>Female</v>
      </c>
      <c r="E1896" s="23">
        <f>Sales[Order_Date]</f>
        <v>45653</v>
      </c>
      <c r="F1896" s="21" t="str">
        <f>Sales[Store_ID]</f>
        <v>STORE16</v>
      </c>
      <c r="G1896" s="21" t="str">
        <f t="array" ref="G1896">INDEX(Store[Store_Name],MATCH(F1896,Store[Store_ID],0))</f>
        <v>Frederick-Wright</v>
      </c>
      <c r="H1896" s="21" t="str">
        <f>Sales[Product_ID]</f>
        <v>PROD17</v>
      </c>
      <c r="I1896" s="21" t="str">
        <f>VLOOKUP(H1896,Products[],2)</f>
        <v>Soccer Training Cone Set</v>
      </c>
      <c r="J1896" s="24">
        <f>Sales[Total_Amount]</f>
        <v>493.9145</v>
      </c>
      <c r="K1896" s="21" t="str">
        <f t="shared" si="1"/>
        <v>Dec</v>
      </c>
      <c r="L1896" s="21">
        <f t="shared" si="2"/>
        <v>2024</v>
      </c>
      <c r="N1896" s="33"/>
      <c r="O1896" s="34"/>
    </row>
    <row r="1897" ht="22.5" customHeight="1">
      <c r="A1897" s="21" t="s">
        <v>3862</v>
      </c>
      <c r="B1897" s="21" t="s">
        <v>501</v>
      </c>
      <c r="C1897" s="21" t="str">
        <f t="array" ref="C1897">XLOOKUP(B1897,Customer[Customer_ID],Customer[Name(Cleaned)])</f>
        <v>Cameron Simpson</v>
      </c>
      <c r="D1897" s="22" t="str">
        <f>VLOOKUP(B1897,Customer[#ALL],6)</f>
        <v>Female</v>
      </c>
      <c r="E1897" s="23">
        <f>Sales[Order_Date]</f>
        <v>45672</v>
      </c>
      <c r="F1897" s="21" t="str">
        <f>Sales[Store_ID]</f>
        <v>STORE13</v>
      </c>
      <c r="G1897" s="21" t="str">
        <f t="array" ref="G1897">INDEX(Store[Store_Name],MATCH(F1897,Store[Store_ID],0))</f>
        <v>Gardner, Humphrey and Contreras</v>
      </c>
      <c r="H1897" s="21" t="str">
        <f>Sales[Product_ID]</f>
        <v>PROD48</v>
      </c>
      <c r="I1897" s="21" t="str">
        <f>VLOOKUP(H1897,Products[],2)</f>
        <v>Car Dashboard Phone Holder</v>
      </c>
      <c r="J1897" s="24">
        <f>Sales[Total_Amount]</f>
        <v>1613.556</v>
      </c>
      <c r="K1897" s="21" t="str">
        <f t="shared" si="1"/>
        <v>Jan</v>
      </c>
      <c r="L1897" s="21">
        <f t="shared" si="2"/>
        <v>2025</v>
      </c>
      <c r="N1897" s="33"/>
      <c r="O1897" s="34"/>
    </row>
    <row r="1898" ht="22.5" customHeight="1">
      <c r="A1898" s="21" t="s">
        <v>3863</v>
      </c>
      <c r="B1898" s="21" t="s">
        <v>1239</v>
      </c>
      <c r="C1898" s="21" t="str">
        <f t="array" ref="C1898">XLOOKUP(B1898,Customer[Customer_ID],Customer[Name(Cleaned)])</f>
        <v>Jacqueline Payne</v>
      </c>
      <c r="D1898" s="22" t="str">
        <f>VLOOKUP(B1898,Customer[#ALL],6)</f>
        <v>Female</v>
      </c>
      <c r="E1898" s="23">
        <f>Sales[Order_Date]</f>
        <v>45799</v>
      </c>
      <c r="F1898" s="21" t="str">
        <f>Sales[Store_ID]</f>
        <v>STORE10</v>
      </c>
      <c r="G1898" s="21" t="str">
        <f t="array" ref="G1898">INDEX(Store[Store_Name],MATCH(F1898,Store[Store_ID],0))</f>
        <v>Hill, Wagner and Ballard</v>
      </c>
      <c r="H1898" s="21" t="str">
        <f>Sales[Product_ID]</f>
        <v>PROD52</v>
      </c>
      <c r="I1898" s="21" t="str">
        <f>VLOOKUP(H1898,Products[],2)</f>
        <v>Rugby Ball</v>
      </c>
      <c r="J1898" s="24">
        <f>Sales[Total_Amount]</f>
        <v>537.1184</v>
      </c>
      <c r="K1898" s="21" t="str">
        <f t="shared" si="1"/>
        <v>May</v>
      </c>
      <c r="L1898" s="21">
        <f t="shared" si="2"/>
        <v>2025</v>
      </c>
      <c r="N1898" s="33"/>
      <c r="O1898" s="34"/>
    </row>
    <row r="1899" ht="22.5" customHeight="1">
      <c r="A1899" s="21" t="s">
        <v>3864</v>
      </c>
      <c r="B1899" s="21" t="s">
        <v>392</v>
      </c>
      <c r="C1899" s="21" t="str">
        <f t="array" ref="C1899">XLOOKUP(B1899,Customer[Customer_ID],Customer[Name(Cleaned)])</f>
        <v>Amy Walker</v>
      </c>
      <c r="D1899" s="22" t="str">
        <f>VLOOKUP(B1899,Customer[#ALL],6)</f>
        <v>Female</v>
      </c>
      <c r="E1899" s="23">
        <f>Sales[Order_Date]</f>
        <v>45848</v>
      </c>
      <c r="F1899" s="21" t="str">
        <f>Sales[Store_ID]</f>
        <v>STORE11</v>
      </c>
      <c r="G1899" s="21" t="str">
        <f t="array" ref="G1899">INDEX(Store[Store_Name],MATCH(F1899,Store[Store_ID],0))</f>
        <v>Aguirre-Keller</v>
      </c>
      <c r="H1899" s="21" t="str">
        <f>Sales[Product_ID]</f>
        <v>PROD34</v>
      </c>
      <c r="I1899" s="21" t="str">
        <f>VLOOKUP(H1899,Products[],2)</f>
        <v>Gaming Mechanical Keyboard</v>
      </c>
      <c r="J1899" s="24">
        <f>Sales[Total_Amount]</f>
        <v>621.27</v>
      </c>
      <c r="K1899" s="21" t="str">
        <f t="shared" si="1"/>
        <v>Jul</v>
      </c>
      <c r="L1899" s="21">
        <f t="shared" si="2"/>
        <v>2025</v>
      </c>
      <c r="N1899" s="33"/>
      <c r="O1899" s="34"/>
    </row>
    <row r="1900" ht="22.5" customHeight="1">
      <c r="A1900" s="21" t="s">
        <v>3865</v>
      </c>
      <c r="B1900" s="21" t="s">
        <v>869</v>
      </c>
      <c r="C1900" s="21" t="str">
        <f t="array" ref="C1900">XLOOKUP(B1900,Customer[Customer_ID],Customer[Name(Cleaned)])</f>
        <v>Kevin Orr</v>
      </c>
      <c r="D1900" s="22" t="str">
        <f>VLOOKUP(B1900,Customer[#ALL],6)</f>
        <v>Male</v>
      </c>
      <c r="E1900" s="23">
        <f>Sales[Order_Date]</f>
        <v>45918</v>
      </c>
      <c r="F1900" s="21" t="str">
        <f>Sales[Store_ID]</f>
        <v>STORE8</v>
      </c>
      <c r="G1900" s="21" t="str">
        <f t="array" ref="G1900">INDEX(Store[Store_Name],MATCH(F1900,Store[Store_ID],0))</f>
        <v>Bean, Jones and Park</v>
      </c>
      <c r="H1900" s="21" t="str">
        <f>Sales[Product_ID]</f>
        <v>PROD58</v>
      </c>
      <c r="I1900" s="21" t="str">
        <f>VLOOKUP(H1900,Products[],2)</f>
        <v>Womens Cotton Scarf</v>
      </c>
      <c r="J1900" s="24">
        <f>Sales[Total_Amount]</f>
        <v>867.5</v>
      </c>
      <c r="K1900" s="21" t="str">
        <f t="shared" si="1"/>
        <v>Sep</v>
      </c>
      <c r="L1900" s="21">
        <f t="shared" si="2"/>
        <v>2025</v>
      </c>
      <c r="N1900" s="33"/>
      <c r="O1900" s="34"/>
    </row>
    <row r="1901" ht="22.5" customHeight="1">
      <c r="A1901" s="21" t="s">
        <v>3866</v>
      </c>
      <c r="B1901" s="21" t="s">
        <v>908</v>
      </c>
      <c r="C1901" s="21" t="str">
        <f t="array" ref="C1901">XLOOKUP(B1901,Customer[Customer_ID],Customer[Name(Cleaned)])</f>
        <v>Brittany Watson</v>
      </c>
      <c r="D1901" s="22" t="str">
        <f>VLOOKUP(B1901,Customer[#ALL],6)</f>
        <v>Female</v>
      </c>
      <c r="E1901" s="23">
        <f>Sales[Order_Date]</f>
        <v>45288</v>
      </c>
      <c r="F1901" s="21" t="str">
        <f>Sales[Store_ID]</f>
        <v>STORE19</v>
      </c>
      <c r="G1901" s="21" t="str">
        <f t="array" ref="G1901">INDEX(Store[Store_Name],MATCH(F1901,Store[Store_ID],0))</f>
        <v>Mann-Austin</v>
      </c>
      <c r="H1901" s="21" t="str">
        <f>Sales[Product_ID]</f>
        <v>PROD85</v>
      </c>
      <c r="I1901" s="21" t="str">
        <f>VLOOKUP(H1901,Products[],2)</f>
        <v>Women's Beanie Hat</v>
      </c>
      <c r="J1901" s="24">
        <f>Sales[Total_Amount]</f>
        <v>272.3013</v>
      </c>
      <c r="K1901" s="21" t="str">
        <f t="shared" si="1"/>
        <v>Dec</v>
      </c>
      <c r="L1901" s="21">
        <f t="shared" si="2"/>
        <v>2023</v>
      </c>
      <c r="N1901" s="33"/>
      <c r="O1901" s="34"/>
    </row>
    <row r="1902" ht="22.5" customHeight="1">
      <c r="A1902" s="21" t="s">
        <v>3867</v>
      </c>
      <c r="B1902" s="21" t="s">
        <v>1447</v>
      </c>
      <c r="C1902" s="21" t="str">
        <f t="array" ref="C1902">XLOOKUP(B1902,Customer[Customer_ID],Customer[Name(Cleaned)])</f>
        <v>David Pierce</v>
      </c>
      <c r="D1902" s="22" t="str">
        <f>VLOOKUP(B1902,Customer[#ALL],6)</f>
        <v>Male</v>
      </c>
      <c r="E1902" s="23">
        <f>Sales[Order_Date]</f>
        <v>45477</v>
      </c>
      <c r="F1902" s="21" t="str">
        <f>Sales[Store_ID]</f>
        <v>STORE12</v>
      </c>
      <c r="G1902" s="21" t="str">
        <f t="array" ref="G1902">INDEX(Store[Store_Name],MATCH(F1902,Store[Store_ID],0))</f>
        <v>Thomas, Bridges and Harris</v>
      </c>
      <c r="H1902" s="21" t="str">
        <f>Sales[Product_ID]</f>
        <v>PROD4</v>
      </c>
      <c r="I1902" s="21" t="str">
        <f>VLOOKUP(H1902,Products[],2)</f>
        <v>Portable Power Bank</v>
      </c>
      <c r="J1902" s="24">
        <f>Sales[Total_Amount]</f>
        <v>212.832</v>
      </c>
      <c r="K1902" s="21" t="str">
        <f t="shared" si="1"/>
        <v>Jul</v>
      </c>
      <c r="L1902" s="21">
        <f t="shared" si="2"/>
        <v>2024</v>
      </c>
      <c r="N1902" s="33"/>
      <c r="O1902" s="34"/>
    </row>
    <row r="1903" ht="22.5" customHeight="1">
      <c r="A1903" s="21" t="s">
        <v>3868</v>
      </c>
      <c r="B1903" s="21" t="s">
        <v>1279</v>
      </c>
      <c r="C1903" s="21" t="str">
        <f t="array" ref="C1903">XLOOKUP(B1903,Customer[Customer_ID],Customer[Name(Cleaned)])</f>
        <v>David Lozano</v>
      </c>
      <c r="D1903" s="22" t="str">
        <f>VLOOKUP(B1903,Customer[#ALL],6)</f>
        <v>Male</v>
      </c>
      <c r="E1903" s="23">
        <f>Sales[Order_Date]</f>
        <v>45312</v>
      </c>
      <c r="F1903" s="21" t="str">
        <f>Sales[Store_ID]</f>
        <v>STORE1</v>
      </c>
      <c r="G1903" s="21" t="str">
        <f t="array" ref="G1903">INDEX(Store[Store_Name],MATCH(F1903,Store[Store_ID],0))</f>
        <v>Martinez, Adkins and Johnson</v>
      </c>
      <c r="H1903" s="21" t="str">
        <f>Sales[Product_ID]</f>
        <v>PROD16</v>
      </c>
      <c r="I1903" s="21" t="str">
        <f>VLOOKUP(H1903,Products[],2)</f>
        <v>Beard Grooming Kit</v>
      </c>
      <c r="J1903" s="24">
        <f>Sales[Total_Amount]</f>
        <v>339.2708</v>
      </c>
      <c r="K1903" s="21" t="str">
        <f t="shared" si="1"/>
        <v>Jan</v>
      </c>
      <c r="L1903" s="21">
        <f t="shared" si="2"/>
        <v>2024</v>
      </c>
      <c r="N1903" s="33"/>
      <c r="O1903" s="34"/>
    </row>
    <row r="1904" ht="22.5" customHeight="1">
      <c r="A1904" s="21" t="s">
        <v>3869</v>
      </c>
      <c r="B1904" s="21" t="s">
        <v>699</v>
      </c>
      <c r="C1904" s="21" t="str">
        <f t="array" ref="C1904">XLOOKUP(B1904,Customer[Customer_ID],Customer[Name(Cleaned)])</f>
        <v>Rodney Huffman</v>
      </c>
      <c r="D1904" s="22" t="str">
        <f>VLOOKUP(B1904,Customer[#ALL],6)</f>
        <v>Male</v>
      </c>
      <c r="E1904" s="23">
        <f>Sales[Order_Date]</f>
        <v>45796</v>
      </c>
      <c r="F1904" s="21" t="str">
        <f>Sales[Store_ID]</f>
        <v>STORE5</v>
      </c>
      <c r="G1904" s="21" t="str">
        <f t="array" ref="G1904">INDEX(Store[Store_Name],MATCH(F1904,Store[Store_ID],0))</f>
        <v>Gray Ltd</v>
      </c>
      <c r="H1904" s="21" t="str">
        <f>Sales[Product_ID]</f>
        <v>PROD67</v>
      </c>
      <c r="I1904" s="21" t="str">
        <f>VLOOKUP(H1904,Products[],2)</f>
        <v>Smart LED Light Strip</v>
      </c>
      <c r="J1904" s="24">
        <f>Sales[Total_Amount]</f>
        <v>844.9672</v>
      </c>
      <c r="K1904" s="21" t="str">
        <f t="shared" si="1"/>
        <v>May</v>
      </c>
      <c r="L1904" s="21">
        <f t="shared" si="2"/>
        <v>2025</v>
      </c>
      <c r="N1904" s="33"/>
      <c r="O1904" s="34"/>
    </row>
    <row r="1905" ht="22.5" customHeight="1">
      <c r="A1905" s="21" t="s">
        <v>3870</v>
      </c>
      <c r="B1905" s="21" t="s">
        <v>610</v>
      </c>
      <c r="C1905" s="21" t="str">
        <f t="array" ref="C1905">XLOOKUP(B1905,Customer[Customer_ID],Customer[Name(Cleaned)])</f>
        <v>Erin Ward</v>
      </c>
      <c r="D1905" s="22" t="str">
        <f>VLOOKUP(B1905,Customer[#ALL],6)</f>
        <v>Female</v>
      </c>
      <c r="E1905" s="23">
        <f>Sales[Order_Date]</f>
        <v>45630</v>
      </c>
      <c r="F1905" s="21" t="str">
        <f>Sales[Store_ID]</f>
        <v>STORE8</v>
      </c>
      <c r="G1905" s="21" t="str">
        <f t="array" ref="G1905">INDEX(Store[Store_Name],MATCH(F1905,Store[Store_ID],0))</f>
        <v>Bean, Jones and Park</v>
      </c>
      <c r="H1905" s="21" t="str">
        <f>Sales[Product_ID]</f>
        <v>PROD37</v>
      </c>
      <c r="I1905" s="21" t="str">
        <f>VLOOKUP(H1905,Products[],2)</f>
        <v>Men's Casual Sneakers</v>
      </c>
      <c r="J1905" s="24">
        <f>Sales[Total_Amount]</f>
        <v>3138.676</v>
      </c>
      <c r="K1905" s="21" t="str">
        <f t="shared" si="1"/>
        <v>Dec</v>
      </c>
      <c r="L1905" s="21">
        <f t="shared" si="2"/>
        <v>2024</v>
      </c>
      <c r="N1905" s="33"/>
      <c r="O1905" s="34"/>
    </row>
    <row r="1906" ht="22.5" customHeight="1">
      <c r="A1906" s="21" t="s">
        <v>3871</v>
      </c>
      <c r="B1906" s="21" t="s">
        <v>646</v>
      </c>
      <c r="C1906" s="21" t="str">
        <f t="array" ref="C1906">XLOOKUP(B1906,Customer[Customer_ID],Customer[Name(Cleaned)])</f>
        <v>David Roberts</v>
      </c>
      <c r="D1906" s="22" t="str">
        <f>VLOOKUP(B1906,Customer[#ALL],6)</f>
        <v>Female</v>
      </c>
      <c r="E1906" s="23">
        <f>Sales[Order_Date]</f>
        <v>45625</v>
      </c>
      <c r="F1906" s="21" t="str">
        <f>Sales[Store_ID]</f>
        <v>STORE7</v>
      </c>
      <c r="G1906" s="21" t="str">
        <f t="array" ref="G1906">INDEX(Store[Store_Name],MATCH(F1906,Store[Store_ID],0))</f>
        <v>Martinez-Mullins</v>
      </c>
      <c r="H1906" s="21" t="str">
        <f>Sales[Product_ID]</f>
        <v>PROD64</v>
      </c>
      <c r="I1906" s="21" t="str">
        <f>VLOOKUP(H1906,Products[],2)</f>
        <v>Matte Lipstick Set</v>
      </c>
      <c r="J1906" s="24">
        <f>Sales[Total_Amount]</f>
        <v>1375.676</v>
      </c>
      <c r="K1906" s="21" t="str">
        <f t="shared" si="1"/>
        <v>Nov</v>
      </c>
      <c r="L1906" s="21">
        <f t="shared" si="2"/>
        <v>2024</v>
      </c>
      <c r="N1906" s="33"/>
      <c r="O1906" s="34"/>
    </row>
    <row r="1907" ht="22.5" customHeight="1">
      <c r="A1907" s="21" t="s">
        <v>3872</v>
      </c>
      <c r="B1907" s="21" t="s">
        <v>392</v>
      </c>
      <c r="C1907" s="21" t="str">
        <f t="array" ref="C1907">XLOOKUP(B1907,Customer[Customer_ID],Customer[Name(Cleaned)])</f>
        <v>Amy Walker</v>
      </c>
      <c r="D1907" s="22" t="str">
        <f>VLOOKUP(B1907,Customer[#ALL],6)</f>
        <v>Female</v>
      </c>
      <c r="E1907" s="23">
        <f>Sales[Order_Date]</f>
        <v>45773</v>
      </c>
      <c r="F1907" s="21" t="str">
        <f>Sales[Store_ID]</f>
        <v>STORE7</v>
      </c>
      <c r="G1907" s="21" t="str">
        <f t="array" ref="G1907">INDEX(Store[Store_Name],MATCH(F1907,Store[Store_ID],0))</f>
        <v>Martinez-Mullins</v>
      </c>
      <c r="H1907" s="21" t="str">
        <f>Sales[Product_ID]</f>
        <v>PROD42</v>
      </c>
      <c r="I1907" s="21" t="str">
        <f>VLOOKUP(H1907,Products[],2)</f>
        <v>Smart Home WiFi Camera</v>
      </c>
      <c r="J1907" s="24">
        <f>Sales[Total_Amount]</f>
        <v>246.7755</v>
      </c>
      <c r="K1907" s="21" t="str">
        <f t="shared" si="1"/>
        <v>Apr</v>
      </c>
      <c r="L1907" s="21">
        <f t="shared" si="2"/>
        <v>2025</v>
      </c>
      <c r="N1907" s="33"/>
      <c r="O1907" s="34"/>
    </row>
    <row r="1908" ht="22.5" customHeight="1">
      <c r="A1908" s="21" t="s">
        <v>3873</v>
      </c>
      <c r="B1908" s="21" t="s">
        <v>161</v>
      </c>
      <c r="C1908" s="21" t="str">
        <f t="array" ref="C1908">XLOOKUP(B1908,Customer[Customer_ID],Customer[Name(Cleaned)])</f>
        <v>Tonya Reynolds</v>
      </c>
      <c r="D1908" s="22" t="str">
        <f>VLOOKUP(B1908,Customer[#ALL],6)</f>
        <v>Male</v>
      </c>
      <c r="E1908" s="23">
        <f>Sales[Order_Date]</f>
        <v>45308</v>
      </c>
      <c r="F1908" s="21" t="str">
        <f>Sales[Store_ID]</f>
        <v>STORE19</v>
      </c>
      <c r="G1908" s="21" t="str">
        <f t="array" ref="G1908">INDEX(Store[Store_Name],MATCH(F1908,Store[Store_ID],0))</f>
        <v>Mann-Austin</v>
      </c>
      <c r="H1908" s="21" t="str">
        <f>Sales[Product_ID]</f>
        <v>PROD15</v>
      </c>
      <c r="I1908" s="21" t="str">
        <f>VLOOKUP(H1908,Products[],2)</f>
        <v>4K Home Projector</v>
      </c>
      <c r="J1908" s="24">
        <f>Sales[Total_Amount]</f>
        <v>1748.7384</v>
      </c>
      <c r="K1908" s="21" t="str">
        <f t="shared" si="1"/>
        <v>Jan</v>
      </c>
      <c r="L1908" s="21">
        <f t="shared" si="2"/>
        <v>2024</v>
      </c>
      <c r="N1908" s="33"/>
      <c r="O1908" s="34"/>
    </row>
    <row r="1909" ht="22.5" customHeight="1">
      <c r="A1909" s="21" t="s">
        <v>3874</v>
      </c>
      <c r="B1909" s="21" t="s">
        <v>1511</v>
      </c>
      <c r="C1909" s="21" t="str">
        <f t="array" ref="C1909">XLOOKUP(B1909,Customer[Customer_ID],Customer[Name(Cleaned)])</f>
        <v>Eric Lee</v>
      </c>
      <c r="D1909" s="22" t="str">
        <f>VLOOKUP(B1909,Customer[#ALL],6)</f>
        <v>Male</v>
      </c>
      <c r="E1909" s="23">
        <f>Sales[Order_Date]</f>
        <v>45869</v>
      </c>
      <c r="F1909" s="21" t="str">
        <f>Sales[Store_ID]</f>
        <v>STORE6</v>
      </c>
      <c r="G1909" s="21" t="str">
        <f t="array" ref="G1909">INDEX(Store[Store_Name],MATCH(F1909,Store[Store_ID],0))</f>
        <v>Benson-Elliott</v>
      </c>
      <c r="H1909" s="21" t="str">
        <f>Sales[Product_ID]</f>
        <v>PROD69</v>
      </c>
      <c r="I1909" s="21" t="str">
        <f>VLOOKUP(H1909,Products[],2)</f>
        <v>Men's Sports Shorts</v>
      </c>
      <c r="J1909" s="24">
        <f>Sales[Total_Amount]</f>
        <v>623.1984</v>
      </c>
      <c r="K1909" s="21" t="str">
        <f t="shared" si="1"/>
        <v>Jul</v>
      </c>
      <c r="L1909" s="21">
        <f t="shared" si="2"/>
        <v>2025</v>
      </c>
      <c r="N1909" s="33"/>
      <c r="O1909" s="34"/>
    </row>
    <row r="1910" ht="22.5" customHeight="1">
      <c r="A1910" s="21" t="s">
        <v>3875</v>
      </c>
      <c r="B1910" s="21" t="s">
        <v>456</v>
      </c>
      <c r="C1910" s="21" t="str">
        <f t="array" ref="C1910">XLOOKUP(B1910,Customer[Customer_ID],Customer[Name(Cleaned)])</f>
        <v>Jamie Reyes</v>
      </c>
      <c r="D1910" s="22" t="str">
        <f>VLOOKUP(B1910,Customer[#ALL],6)</f>
        <v>Female</v>
      </c>
      <c r="E1910" s="23">
        <f>Sales[Order_Date]</f>
        <v>45621</v>
      </c>
      <c r="F1910" s="21" t="str">
        <f>Sales[Store_ID]</f>
        <v>STORE5</v>
      </c>
      <c r="G1910" s="21" t="str">
        <f t="array" ref="G1910">INDEX(Store[Store_Name],MATCH(F1910,Store[Store_ID],0))</f>
        <v>Gray Ltd</v>
      </c>
      <c r="H1910" s="21" t="str">
        <f>Sales[Product_ID]</f>
        <v>PROD53</v>
      </c>
      <c r="I1910" s="21" t="str">
        <f>VLOOKUP(H1910,Products[],2)</f>
        <v>Men's Track Pants</v>
      </c>
      <c r="J1910" s="24">
        <f>Sales[Total_Amount]</f>
        <v>502.9596</v>
      </c>
      <c r="K1910" s="21" t="str">
        <f t="shared" si="1"/>
        <v>Nov</v>
      </c>
      <c r="L1910" s="21">
        <f t="shared" si="2"/>
        <v>2024</v>
      </c>
      <c r="N1910" s="33"/>
      <c r="O1910" s="34"/>
    </row>
    <row r="1911" ht="22.5" customHeight="1">
      <c r="A1911" s="21" t="s">
        <v>3876</v>
      </c>
      <c r="B1911" s="21" t="s">
        <v>663</v>
      </c>
      <c r="C1911" s="21" t="str">
        <f t="array" ref="C1911">XLOOKUP(B1911,Customer[Customer_ID],Customer[Name(Cleaned)])</f>
        <v>Carmen Price</v>
      </c>
      <c r="D1911" s="22" t="str">
        <f>VLOOKUP(B1911,Customer[#ALL],6)</f>
        <v>Female</v>
      </c>
      <c r="E1911" s="23">
        <f>Sales[Order_Date]</f>
        <v>45428</v>
      </c>
      <c r="F1911" s="21" t="str">
        <f>Sales[Store_ID]</f>
        <v>STORE12</v>
      </c>
      <c r="G1911" s="21" t="str">
        <f t="array" ref="G1911">INDEX(Store[Store_Name],MATCH(F1911,Store[Store_ID],0))</f>
        <v>Thomas, Bridges and Harris</v>
      </c>
      <c r="H1911" s="21" t="str">
        <f>Sales[Product_ID]</f>
        <v>PROD9</v>
      </c>
      <c r="I1911" s="21" t="str">
        <f>VLOOKUP(H1911,Products[],2)</f>
        <v>Face Foundation Kit</v>
      </c>
      <c r="J1911" s="24">
        <f>Sales[Total_Amount]</f>
        <v>520.4304</v>
      </c>
      <c r="K1911" s="21" t="str">
        <f t="shared" si="1"/>
        <v>May</v>
      </c>
      <c r="L1911" s="21">
        <f t="shared" si="2"/>
        <v>2024</v>
      </c>
      <c r="N1911" s="33"/>
      <c r="O1911" s="34"/>
    </row>
    <row r="1912" ht="22.5" customHeight="1">
      <c r="A1912" s="21" t="s">
        <v>3877</v>
      </c>
      <c r="B1912" s="21" t="s">
        <v>263</v>
      </c>
      <c r="C1912" s="21" t="str">
        <f t="array" ref="C1912">XLOOKUP(B1912,Customer[Customer_ID],Customer[Name(Cleaned)])</f>
        <v>Roy Cole</v>
      </c>
      <c r="D1912" s="22" t="str">
        <f>VLOOKUP(B1912,Customer[#ALL],6)</f>
        <v>Male</v>
      </c>
      <c r="E1912" s="23">
        <f>Sales[Order_Date]</f>
        <v>45807</v>
      </c>
      <c r="F1912" s="21" t="str">
        <f>Sales[Store_ID]</f>
        <v>STORE3</v>
      </c>
      <c r="G1912" s="21" t="str">
        <f t="array" ref="G1912">INDEX(Store[Store_Name],MATCH(F1912,Store[Store_ID],0))</f>
        <v>Johnson-Wright</v>
      </c>
      <c r="H1912" s="21" t="str">
        <f>Sales[Product_ID]</f>
        <v>PROD13</v>
      </c>
      <c r="I1912" s="21" t="str">
        <f>VLOOKUP(H1912,Products[],2)</f>
        <v>USB-C Fast Charger</v>
      </c>
      <c r="J1912" s="24">
        <f>Sales[Total_Amount]</f>
        <v>316.222</v>
      </c>
      <c r="K1912" s="21" t="str">
        <f t="shared" si="1"/>
        <v>May</v>
      </c>
      <c r="L1912" s="21">
        <f t="shared" si="2"/>
        <v>2025</v>
      </c>
      <c r="N1912" s="33"/>
      <c r="O1912" s="34"/>
    </row>
    <row r="1913" ht="22.5" customHeight="1">
      <c r="A1913" s="21" t="s">
        <v>3878</v>
      </c>
      <c r="B1913" s="21" t="s">
        <v>1288</v>
      </c>
      <c r="C1913" s="21" t="str">
        <f t="array" ref="C1913">XLOOKUP(B1913,Customer[Customer_ID],Customer[Name(Cleaned)])</f>
        <v>Sarah Smith</v>
      </c>
      <c r="D1913" s="22" t="str">
        <f>VLOOKUP(B1913,Customer[#ALL],6)</f>
        <v>Female</v>
      </c>
      <c r="E1913" s="23">
        <f>Sales[Order_Date]</f>
        <v>45238</v>
      </c>
      <c r="F1913" s="21" t="str">
        <f>Sales[Store_ID]</f>
        <v>STORE0</v>
      </c>
      <c r="G1913" s="21" t="str">
        <f t="array" ref="G1913">INDEX(Store[Store_Name],MATCH(F1913,Store[Store_ID],0))</f>
        <v>Rivera-Warner</v>
      </c>
      <c r="H1913" s="21" t="str">
        <f>Sales[Product_ID]</f>
        <v>PROD70</v>
      </c>
      <c r="I1913" s="21" t="str">
        <f>VLOOKUP(H1913,Products[],2)</f>
        <v>Kitchen Storage Rack</v>
      </c>
      <c r="J1913" s="24">
        <f>Sales[Total_Amount]</f>
        <v>544.5594</v>
      </c>
      <c r="K1913" s="21" t="str">
        <f t="shared" si="1"/>
        <v>Nov</v>
      </c>
      <c r="L1913" s="21">
        <f t="shared" si="2"/>
        <v>2023</v>
      </c>
      <c r="N1913" s="33"/>
      <c r="O1913" s="34"/>
    </row>
    <row r="1914" ht="22.5" customHeight="1">
      <c r="A1914" s="21" t="s">
        <v>3879</v>
      </c>
      <c r="B1914" s="21" t="s">
        <v>47</v>
      </c>
      <c r="C1914" s="21" t="str">
        <f t="array" ref="C1914">XLOOKUP(B1914,Customer[Customer_ID],Customer[Name(Cleaned)])</f>
        <v>Daniel Boyd</v>
      </c>
      <c r="D1914" s="22" t="str">
        <f>VLOOKUP(B1914,Customer[#ALL],6)</f>
        <v>Male</v>
      </c>
      <c r="E1914" s="23">
        <f>Sales[Order_Date]</f>
        <v>45350</v>
      </c>
      <c r="F1914" s="21" t="str">
        <f>Sales[Store_ID]</f>
        <v>STORE4</v>
      </c>
      <c r="G1914" s="21" t="str">
        <f t="array" ref="G1914">INDEX(Store[Store_Name],MATCH(F1914,Store[Store_ID],0))</f>
        <v>Alexander Group</v>
      </c>
      <c r="H1914" s="21" t="str">
        <f>Sales[Product_ID]</f>
        <v>PROD86</v>
      </c>
      <c r="I1914" s="21" t="str">
        <f>VLOOKUP(H1914,Products[],2)</f>
        <v>Kitchen Cutting Board</v>
      </c>
      <c r="J1914" s="24">
        <f>Sales[Total_Amount]</f>
        <v>578.1199</v>
      </c>
      <c r="K1914" s="21" t="str">
        <f t="shared" si="1"/>
        <v>Feb</v>
      </c>
      <c r="L1914" s="21">
        <f t="shared" si="2"/>
        <v>2024</v>
      </c>
      <c r="N1914" s="33"/>
      <c r="O1914" s="34"/>
    </row>
    <row r="1915" ht="22.5" customHeight="1">
      <c r="A1915" s="21" t="s">
        <v>3880</v>
      </c>
      <c r="B1915" s="21" t="s">
        <v>129</v>
      </c>
      <c r="C1915" s="21" t="str">
        <f t="array" ref="C1915">XLOOKUP(B1915,Customer[Customer_ID],Customer[Name(Cleaned)])</f>
        <v>David Arnold</v>
      </c>
      <c r="D1915" s="22" t="str">
        <f>VLOOKUP(B1915,Customer[#ALL],6)</f>
        <v>Male</v>
      </c>
      <c r="E1915" s="23">
        <f>Sales[Order_Date]</f>
        <v>45253</v>
      </c>
      <c r="F1915" s="21" t="str">
        <f>Sales[Store_ID]</f>
        <v>STORE4</v>
      </c>
      <c r="G1915" s="21" t="str">
        <f t="array" ref="G1915">INDEX(Store[Store_Name],MATCH(F1915,Store[Store_ID],0))</f>
        <v>Alexander Group</v>
      </c>
      <c r="H1915" s="21" t="str">
        <f>Sales[Product_ID]</f>
        <v>PROD79</v>
      </c>
      <c r="I1915" s="21" t="str">
        <f>VLOOKUP(H1915,Products[],2)</f>
        <v>Decorative Lamp Shade</v>
      </c>
      <c r="J1915" s="24">
        <f>Sales[Total_Amount]</f>
        <v>56.0106</v>
      </c>
      <c r="K1915" s="21" t="str">
        <f t="shared" si="1"/>
        <v>Nov</v>
      </c>
      <c r="L1915" s="21">
        <f t="shared" si="2"/>
        <v>2023</v>
      </c>
      <c r="N1915" s="33"/>
      <c r="O1915" s="34"/>
    </row>
    <row r="1916" ht="22.5" customHeight="1">
      <c r="A1916" s="21" t="s">
        <v>3881</v>
      </c>
      <c r="B1916" s="21" t="s">
        <v>481</v>
      </c>
      <c r="C1916" s="21" t="str">
        <f t="array" ref="C1916">XLOOKUP(B1916,Customer[Customer_ID],Customer[Name(Cleaned)])</f>
        <v>Sean Roth</v>
      </c>
      <c r="D1916" s="22" t="str">
        <f>VLOOKUP(B1916,Customer[#ALL],6)</f>
        <v>Female</v>
      </c>
      <c r="E1916" s="23">
        <f>Sales[Order_Date]</f>
        <v>45460</v>
      </c>
      <c r="F1916" s="21" t="str">
        <f>Sales[Store_ID]</f>
        <v>STORE19</v>
      </c>
      <c r="G1916" s="21" t="str">
        <f t="array" ref="G1916">INDEX(Store[Store_Name],MATCH(F1916,Store[Store_ID],0))</f>
        <v>Mann-Austin</v>
      </c>
      <c r="H1916" s="21" t="str">
        <f>Sales[Product_ID]</f>
        <v>PROD33</v>
      </c>
      <c r="I1916" s="21" t="str">
        <f>VLOOKUP(H1916,Products[],2)</f>
        <v>Modern Wall Clock</v>
      </c>
      <c r="J1916" s="24">
        <f>Sales[Total_Amount]</f>
        <v>1641.3904</v>
      </c>
      <c r="K1916" s="21" t="str">
        <f t="shared" si="1"/>
        <v>Jun</v>
      </c>
      <c r="L1916" s="21">
        <f t="shared" si="2"/>
        <v>2024</v>
      </c>
      <c r="N1916" s="33"/>
      <c r="O1916" s="34"/>
    </row>
    <row r="1917" ht="22.5" customHeight="1">
      <c r="A1917" s="21" t="s">
        <v>3882</v>
      </c>
      <c r="B1917" s="21" t="s">
        <v>1471</v>
      </c>
      <c r="C1917" s="21" t="str">
        <f t="array" ref="C1917">XLOOKUP(B1917,Customer[Customer_ID],Customer[Name(Cleaned)])</f>
        <v>Philip Mendoza</v>
      </c>
      <c r="D1917" s="22" t="str">
        <f>VLOOKUP(B1917,Customer[#ALL],6)</f>
        <v>Female</v>
      </c>
      <c r="E1917" s="23">
        <f>Sales[Order_Date]</f>
        <v>45628</v>
      </c>
      <c r="F1917" s="21" t="str">
        <f>Sales[Store_ID]</f>
        <v>STORE6</v>
      </c>
      <c r="G1917" s="21" t="str">
        <f t="array" ref="G1917">INDEX(Store[Store_Name],MATCH(F1917,Store[Store_ID],0))</f>
        <v>Benson-Elliott</v>
      </c>
      <c r="H1917" s="21" t="str">
        <f>Sales[Product_ID]</f>
        <v>PROD58</v>
      </c>
      <c r="I1917" s="21" t="str">
        <f>VLOOKUP(H1917,Products[],2)</f>
        <v>Womens Cotton Scarf</v>
      </c>
      <c r="J1917" s="24">
        <f>Sales[Total_Amount]</f>
        <v>107.0748</v>
      </c>
      <c r="K1917" s="21" t="str">
        <f t="shared" si="1"/>
        <v>Dec</v>
      </c>
      <c r="L1917" s="21">
        <f t="shared" si="2"/>
        <v>2024</v>
      </c>
      <c r="N1917" s="33"/>
      <c r="O1917" s="34"/>
    </row>
    <row r="1918" ht="22.5" customHeight="1">
      <c r="A1918" s="21" t="s">
        <v>3883</v>
      </c>
      <c r="B1918" s="21" t="s">
        <v>1227</v>
      </c>
      <c r="C1918" s="21" t="str">
        <f t="array" ref="C1918">XLOOKUP(B1918,Customer[Customer_ID],Customer[Name(Cleaned)])</f>
        <v>Timothy Valenzuela</v>
      </c>
      <c r="D1918" s="22" t="str">
        <f>VLOOKUP(B1918,Customer[#ALL],6)</f>
        <v>Female</v>
      </c>
      <c r="E1918" s="23">
        <f>Sales[Order_Date]</f>
        <v>45778</v>
      </c>
      <c r="F1918" s="21" t="str">
        <f>Sales[Store_ID]</f>
        <v>STORE14</v>
      </c>
      <c r="G1918" s="21" t="str">
        <f t="array" ref="G1918">INDEX(Store[Store_Name],MATCH(F1918,Store[Store_ID],0))</f>
        <v>Mcdonald Inc</v>
      </c>
      <c r="H1918" s="21" t="str">
        <f>Sales[Product_ID]</f>
        <v>PROD77</v>
      </c>
      <c r="I1918" s="21" t="str">
        <f>VLOOKUP(H1918,Products[],2)</f>
        <v>WiFi Mesh Router</v>
      </c>
      <c r="J1918" s="24">
        <f>Sales[Total_Amount]</f>
        <v>523.6602</v>
      </c>
      <c r="K1918" s="21" t="str">
        <f t="shared" si="1"/>
        <v>May</v>
      </c>
      <c r="L1918" s="21">
        <f t="shared" si="2"/>
        <v>2025</v>
      </c>
      <c r="N1918" s="33"/>
      <c r="O1918" s="34"/>
    </row>
    <row r="1919" ht="22.5" customHeight="1">
      <c r="A1919" s="21" t="s">
        <v>3884</v>
      </c>
      <c r="B1919" s="21" t="s">
        <v>610</v>
      </c>
      <c r="C1919" s="21" t="str">
        <f t="array" ref="C1919">XLOOKUP(B1919,Customer[Customer_ID],Customer[Name(Cleaned)])</f>
        <v>Erin Ward</v>
      </c>
      <c r="D1919" s="22" t="str">
        <f>VLOOKUP(B1919,Customer[#ALL],6)</f>
        <v>Female</v>
      </c>
      <c r="E1919" s="23">
        <f>Sales[Order_Date]</f>
        <v>45471</v>
      </c>
      <c r="F1919" s="21" t="str">
        <f>Sales[Store_ID]</f>
        <v>STORE7</v>
      </c>
      <c r="G1919" s="21" t="str">
        <f t="array" ref="G1919">INDEX(Store[Store_Name],MATCH(F1919,Store[Store_ID],0))</f>
        <v>Martinez-Mullins</v>
      </c>
      <c r="H1919" s="21" t="str">
        <f>Sales[Product_ID]</f>
        <v>PROD81</v>
      </c>
      <c r="I1919" s="21" t="str">
        <f>VLOOKUP(H1919,Products[],2)</f>
        <v>Badminton Racket Set</v>
      </c>
      <c r="J1919" s="24">
        <f>Sales[Total_Amount]</f>
        <v>18.459</v>
      </c>
      <c r="K1919" s="21" t="str">
        <f t="shared" si="1"/>
        <v>Jun</v>
      </c>
      <c r="L1919" s="21">
        <f t="shared" si="2"/>
        <v>2024</v>
      </c>
      <c r="N1919" s="33"/>
      <c r="O1919" s="34"/>
    </row>
    <row r="1920" ht="22.5" customHeight="1">
      <c r="A1920" s="21" t="s">
        <v>3885</v>
      </c>
      <c r="B1920" s="21" t="s">
        <v>1453</v>
      </c>
      <c r="C1920" s="21" t="str">
        <f t="array" ref="C1920">XLOOKUP(B1920,Customer[Customer_ID],Customer[Name(Cleaned)])</f>
        <v>Cynthia Parrish</v>
      </c>
      <c r="D1920" s="22" t="str">
        <f>VLOOKUP(B1920,Customer[#ALL],6)</f>
        <v>Female</v>
      </c>
      <c r="E1920" s="23">
        <f>Sales[Order_Date]</f>
        <v>45770</v>
      </c>
      <c r="F1920" s="21" t="str">
        <f>Sales[Store_ID]</f>
        <v>STORE18</v>
      </c>
      <c r="G1920" s="21" t="str">
        <f t="array" ref="G1920">INDEX(Store[Store_Name],MATCH(F1920,Store[Store_ID],0))</f>
        <v>Guerrero-Schmitt</v>
      </c>
      <c r="H1920" s="21" t="str">
        <f>Sales[Product_ID]</f>
        <v>PROD34</v>
      </c>
      <c r="I1920" s="21" t="str">
        <f>VLOOKUP(H1920,Products[],2)</f>
        <v>Gaming Mechanical Keyboard</v>
      </c>
      <c r="J1920" s="24">
        <f>Sales[Total_Amount]</f>
        <v>3205.3728</v>
      </c>
      <c r="K1920" s="21" t="str">
        <f t="shared" si="1"/>
        <v>Apr</v>
      </c>
      <c r="L1920" s="21">
        <f t="shared" si="2"/>
        <v>2025</v>
      </c>
      <c r="N1920" s="33"/>
      <c r="O1920" s="34"/>
    </row>
    <row r="1921" ht="22.5" customHeight="1">
      <c r="A1921" s="21" t="s">
        <v>3886</v>
      </c>
      <c r="B1921" s="21" t="s">
        <v>711</v>
      </c>
      <c r="C1921" s="21" t="str">
        <f t="array" ref="C1921">XLOOKUP(B1921,Customer[Customer_ID],Customer[Name(Cleaned)])</f>
        <v>Steve Medina</v>
      </c>
      <c r="D1921" s="22" t="str">
        <f>VLOOKUP(B1921,Customer[#ALL],6)</f>
        <v>Male</v>
      </c>
      <c r="E1921" s="23">
        <f>Sales[Order_Date]</f>
        <v>45369</v>
      </c>
      <c r="F1921" s="21" t="str">
        <f>Sales[Store_ID]</f>
        <v>STORE19</v>
      </c>
      <c r="G1921" s="21" t="str">
        <f t="array" ref="G1921">INDEX(Store[Store_Name],MATCH(F1921,Store[Store_ID],0))</f>
        <v>Mann-Austin</v>
      </c>
      <c r="H1921" s="21" t="str">
        <f>Sales[Product_ID]</f>
        <v>PROD67</v>
      </c>
      <c r="I1921" s="21" t="str">
        <f>VLOOKUP(H1921,Products[],2)</f>
        <v>Smart LED Light Strip</v>
      </c>
      <c r="J1921" s="24">
        <f>Sales[Total_Amount]</f>
        <v>2470.644</v>
      </c>
      <c r="K1921" s="21" t="str">
        <f t="shared" si="1"/>
        <v>Mar</v>
      </c>
      <c r="L1921" s="21">
        <f t="shared" si="2"/>
        <v>2024</v>
      </c>
      <c r="N1921" s="33"/>
      <c r="O1921" s="34"/>
    </row>
    <row r="1922" ht="22.5" customHeight="1">
      <c r="A1922" s="21" t="s">
        <v>3887</v>
      </c>
      <c r="B1922" s="21" t="s">
        <v>628</v>
      </c>
      <c r="C1922" s="21" t="str">
        <f t="array" ref="C1922">XLOOKUP(B1922,Customer[Customer_ID],Customer[Name(Cleaned)])</f>
        <v>Dr. Suzanne Bullock</v>
      </c>
      <c r="D1922" s="22" t="str">
        <f>VLOOKUP(B1922,Customer[#ALL],6)</f>
        <v>Male</v>
      </c>
      <c r="E1922" s="23">
        <f>Sales[Order_Date]</f>
        <v>45910</v>
      </c>
      <c r="F1922" s="21" t="str">
        <f>Sales[Store_ID]</f>
        <v>STORE18</v>
      </c>
      <c r="G1922" s="21" t="str">
        <f t="array" ref="G1922">INDEX(Store[Store_Name],MATCH(F1922,Store[Store_ID],0))</f>
        <v>Guerrero-Schmitt</v>
      </c>
      <c r="H1922" s="21" t="str">
        <f>Sales[Product_ID]</f>
        <v>PROD76</v>
      </c>
      <c r="I1922" s="21" t="str">
        <f>VLOOKUP(H1922,Products[],2)</f>
        <v>Wireless Mouse</v>
      </c>
      <c r="J1922" s="24">
        <f>Sales[Total_Amount]</f>
        <v>474.4145</v>
      </c>
      <c r="K1922" s="21" t="str">
        <f t="shared" si="1"/>
        <v>Sep</v>
      </c>
      <c r="L1922" s="21">
        <f t="shared" si="2"/>
        <v>2025</v>
      </c>
      <c r="N1922" s="33"/>
      <c r="O1922" s="34"/>
    </row>
    <row r="1923" ht="22.5" customHeight="1">
      <c r="A1923" s="21" t="s">
        <v>3888</v>
      </c>
      <c r="B1923" s="21" t="s">
        <v>1206</v>
      </c>
      <c r="C1923" s="21" t="str">
        <f t="array" ref="C1923">XLOOKUP(B1923,Customer[Customer_ID],Customer[Name(Cleaned)])</f>
        <v>Erika Padilla</v>
      </c>
      <c r="D1923" s="22" t="str">
        <f>VLOOKUP(B1923,Customer[#ALL],6)</f>
        <v>Female</v>
      </c>
      <c r="E1923" s="23">
        <f>Sales[Order_Date]</f>
        <v>45637</v>
      </c>
      <c r="F1923" s="21" t="str">
        <f>Sales[Store_ID]</f>
        <v>STORE1</v>
      </c>
      <c r="G1923" s="21" t="str">
        <f t="array" ref="G1923">INDEX(Store[Store_Name],MATCH(F1923,Store[Store_ID],0))</f>
        <v>Martinez, Adkins and Johnson</v>
      </c>
      <c r="H1923" s="21" t="str">
        <f>Sales[Product_ID]</f>
        <v>PROD81</v>
      </c>
      <c r="I1923" s="21" t="str">
        <f>VLOOKUP(H1923,Products[],2)</f>
        <v>Badminton Racket Set</v>
      </c>
      <c r="J1923" s="24">
        <f>Sales[Total_Amount]</f>
        <v>370.7562</v>
      </c>
      <c r="K1923" s="21" t="str">
        <f t="shared" si="1"/>
        <v>Dec</v>
      </c>
      <c r="L1923" s="21">
        <f t="shared" si="2"/>
        <v>2024</v>
      </c>
      <c r="N1923" s="33"/>
      <c r="O1923" s="34"/>
    </row>
    <row r="1924" ht="22.5" customHeight="1">
      <c r="A1924" s="21" t="s">
        <v>3889</v>
      </c>
      <c r="B1924" s="21" t="s">
        <v>543</v>
      </c>
      <c r="C1924" s="21" t="str">
        <f t="array" ref="C1924">XLOOKUP(B1924,Customer[Customer_ID],Customer[Name(Cleaned)])</f>
        <v>Brian Choi</v>
      </c>
      <c r="D1924" s="22" t="str">
        <f>VLOOKUP(B1924,Customer[#ALL],6)</f>
        <v>Male</v>
      </c>
      <c r="E1924" s="23">
        <f>Sales[Order_Date]</f>
        <v>45706</v>
      </c>
      <c r="F1924" s="21" t="str">
        <f>Sales[Store_ID]</f>
        <v>STORE0</v>
      </c>
      <c r="G1924" s="21" t="str">
        <f t="array" ref="G1924">INDEX(Store[Store_Name],MATCH(F1924,Store[Store_ID],0))</f>
        <v>Rivera-Warner</v>
      </c>
      <c r="H1924" s="21" t="str">
        <f>Sales[Product_ID]</f>
        <v>PROD22</v>
      </c>
      <c r="I1924" s="21" t="str">
        <f>VLOOKUP(H1924,Products[],2)</f>
        <v>Carbon Fiber Tennis Racket</v>
      </c>
      <c r="J1924" s="24">
        <f>Sales[Total_Amount]</f>
        <v>571.2621</v>
      </c>
      <c r="K1924" s="21" t="str">
        <f t="shared" si="1"/>
        <v>Feb</v>
      </c>
      <c r="L1924" s="21">
        <f t="shared" si="2"/>
        <v>2025</v>
      </c>
      <c r="N1924" s="33"/>
      <c r="O1924" s="34"/>
    </row>
    <row r="1925" ht="22.5" customHeight="1">
      <c r="A1925" s="21" t="s">
        <v>3890</v>
      </c>
      <c r="B1925" s="21" t="s">
        <v>249</v>
      </c>
      <c r="C1925" s="21" t="str">
        <f t="array" ref="C1925">XLOOKUP(B1925,Customer[Customer_ID],Customer[Name(Cleaned)])</f>
        <v>Michael Thomas</v>
      </c>
      <c r="D1925" s="22" t="str">
        <f>VLOOKUP(B1925,Customer[#ALL],6)</f>
        <v>Male</v>
      </c>
      <c r="E1925" s="23">
        <f>Sales[Order_Date]</f>
        <v>45657</v>
      </c>
      <c r="F1925" s="21" t="str">
        <f>Sales[Store_ID]</f>
        <v>STORE4</v>
      </c>
      <c r="G1925" s="21" t="str">
        <f t="array" ref="G1925">INDEX(Store[Store_Name],MATCH(F1925,Store[Store_ID],0))</f>
        <v>Alexander Group</v>
      </c>
      <c r="H1925" s="21" t="str">
        <f>Sales[Product_ID]</f>
        <v>PROD19</v>
      </c>
      <c r="I1925" s="21" t="str">
        <f>VLOOKUP(H1925,Products[],2)</f>
        <v>Knee Support Brace</v>
      </c>
      <c r="J1925" s="24">
        <f>Sales[Total_Amount]</f>
        <v>556.784</v>
      </c>
      <c r="K1925" s="21" t="str">
        <f t="shared" si="1"/>
        <v>Dec</v>
      </c>
      <c r="L1925" s="21">
        <f t="shared" si="2"/>
        <v>2024</v>
      </c>
      <c r="N1925" s="33"/>
      <c r="O1925" s="34"/>
    </row>
    <row r="1926" ht="22.5" customHeight="1">
      <c r="A1926" s="21" t="s">
        <v>3891</v>
      </c>
      <c r="B1926" s="21" t="s">
        <v>1270</v>
      </c>
      <c r="C1926" s="21" t="str">
        <f t="array" ref="C1926">XLOOKUP(B1926,Customer[Customer_ID],Customer[Name(Cleaned)])</f>
        <v>Justin Ingram</v>
      </c>
      <c r="D1926" s="22" t="str">
        <f>VLOOKUP(B1926,Customer[#ALL],6)</f>
        <v>Female</v>
      </c>
      <c r="E1926" s="23">
        <f>Sales[Order_Date]</f>
        <v>45557</v>
      </c>
      <c r="F1926" s="21" t="str">
        <f>Sales[Store_ID]</f>
        <v>STORE5</v>
      </c>
      <c r="G1926" s="21" t="str">
        <f t="array" ref="G1926">INDEX(Store[Store_Name],MATCH(F1926,Store[Store_ID],0))</f>
        <v>Gray Ltd</v>
      </c>
      <c r="H1926" s="21" t="str">
        <f>Sales[Product_ID]</f>
        <v>PROD52</v>
      </c>
      <c r="I1926" s="21" t="str">
        <f>VLOOKUP(H1926,Products[],2)</f>
        <v>Rugby Ball</v>
      </c>
      <c r="J1926" s="24">
        <f>Sales[Total_Amount]</f>
        <v>934.4646</v>
      </c>
      <c r="K1926" s="21" t="str">
        <f t="shared" si="1"/>
        <v>Sep</v>
      </c>
      <c r="L1926" s="21">
        <f t="shared" si="2"/>
        <v>2024</v>
      </c>
      <c r="N1926" s="33"/>
      <c r="O1926" s="34"/>
    </row>
    <row r="1927" ht="22.5" customHeight="1">
      <c r="A1927" s="21" t="s">
        <v>3892</v>
      </c>
      <c r="B1927" s="21" t="s">
        <v>1032</v>
      </c>
      <c r="C1927" s="21" t="str">
        <f t="array" ref="C1927">XLOOKUP(B1927,Customer[Customer_ID],Customer[Name(Cleaned)])</f>
        <v>Kristy Dunlap</v>
      </c>
      <c r="D1927" s="22" t="str">
        <f>VLOOKUP(B1927,Customer[#ALL],6)</f>
        <v>Male</v>
      </c>
      <c r="E1927" s="23">
        <f>Sales[Order_Date]</f>
        <v>45338</v>
      </c>
      <c r="F1927" s="21" t="str">
        <f>Sales[Store_ID]</f>
        <v>STORE12</v>
      </c>
      <c r="G1927" s="21" t="str">
        <f t="array" ref="G1927">INDEX(Store[Store_Name],MATCH(F1927,Store[Store_ID],0))</f>
        <v>Thomas, Bridges and Harris</v>
      </c>
      <c r="H1927" s="21" t="str">
        <f>Sales[Product_ID]</f>
        <v>PROD65</v>
      </c>
      <c r="I1927" s="21" t="str">
        <f>VLOOKUP(H1927,Products[],2)</f>
        <v>Adjustable Dumbbells 20kg</v>
      </c>
      <c r="J1927" s="24">
        <f>Sales[Total_Amount]</f>
        <v>647.235</v>
      </c>
      <c r="K1927" s="21" t="str">
        <f t="shared" si="1"/>
        <v>Feb</v>
      </c>
      <c r="L1927" s="21">
        <f t="shared" si="2"/>
        <v>2024</v>
      </c>
      <c r="N1927" s="33"/>
      <c r="O1927" s="34"/>
    </row>
    <row r="1928" ht="22.5" customHeight="1">
      <c r="A1928" s="21" t="s">
        <v>3893</v>
      </c>
      <c r="B1928" s="21" t="s">
        <v>1427</v>
      </c>
      <c r="C1928" s="21" t="str">
        <f t="array" ref="C1928">XLOOKUP(B1928,Customer[Customer_ID],Customer[Name(Cleaned)])</f>
        <v>Christina Robertson</v>
      </c>
      <c r="D1928" s="22" t="str">
        <f>VLOOKUP(B1928,Customer[#ALL],6)</f>
        <v>Female</v>
      </c>
      <c r="E1928" s="23">
        <f>Sales[Order_Date]</f>
        <v>45441</v>
      </c>
      <c r="F1928" s="21" t="str">
        <f>Sales[Store_ID]</f>
        <v>STORE15</v>
      </c>
      <c r="G1928" s="21" t="str">
        <f t="array" ref="G1928">INDEX(Store[Store_Name],MATCH(F1928,Store[Store_ID],0))</f>
        <v>Shelton PLC</v>
      </c>
      <c r="H1928" s="21" t="str">
        <f>Sales[Product_ID]</f>
        <v>PROD25</v>
      </c>
      <c r="I1928" s="21" t="str">
        <f>VLOOKUP(H1928,Products[],2)</f>
        <v>Women's Scarf Set</v>
      </c>
      <c r="J1928" s="24">
        <f>Sales[Total_Amount]</f>
        <v>1060.437</v>
      </c>
      <c r="K1928" s="21" t="str">
        <f t="shared" si="1"/>
        <v>May</v>
      </c>
      <c r="L1928" s="21">
        <f t="shared" si="2"/>
        <v>2024</v>
      </c>
      <c r="N1928" s="33"/>
      <c r="O1928" s="34"/>
    </row>
    <row r="1929" ht="22.5" customHeight="1">
      <c r="A1929" s="21" t="s">
        <v>3894</v>
      </c>
      <c r="B1929" s="21" t="s">
        <v>232</v>
      </c>
      <c r="C1929" s="21" t="str">
        <f t="array" ref="C1929">XLOOKUP(B1929,Customer[Customer_ID],Customer[Name(Cleaned)])</f>
        <v>Dr. David Smith</v>
      </c>
      <c r="D1929" s="22" t="str">
        <f>VLOOKUP(B1929,Customer[#ALL],6)</f>
        <v>Male</v>
      </c>
      <c r="E1929" s="23">
        <f>Sales[Order_Date]</f>
        <v>45396</v>
      </c>
      <c r="F1929" s="21" t="str">
        <f>Sales[Store_ID]</f>
        <v>STORE11</v>
      </c>
      <c r="G1929" s="21" t="str">
        <f t="array" ref="G1929">INDEX(Store[Store_Name],MATCH(F1929,Store[Store_ID],0))</f>
        <v>Aguirre-Keller</v>
      </c>
      <c r="H1929" s="21" t="str">
        <f>Sales[Product_ID]</f>
        <v>PROD38</v>
      </c>
      <c r="I1929" s="21" t="str">
        <f>VLOOKUP(H1929,Products[],2)</f>
        <v>Sports Water Hydration Pack</v>
      </c>
      <c r="J1929" s="24">
        <f>Sales[Total_Amount]</f>
        <v>1754.406</v>
      </c>
      <c r="K1929" s="21" t="str">
        <f t="shared" si="1"/>
        <v>Apr</v>
      </c>
      <c r="L1929" s="21">
        <f t="shared" si="2"/>
        <v>2024</v>
      </c>
      <c r="N1929" s="33"/>
      <c r="O1929" s="34"/>
    </row>
    <row r="1930" ht="22.5" customHeight="1">
      <c r="A1930" s="21" t="s">
        <v>3895</v>
      </c>
      <c r="B1930" s="21" t="s">
        <v>800</v>
      </c>
      <c r="C1930" s="21" t="str">
        <f t="array" ref="C1930">XLOOKUP(B1930,Customer[Customer_ID],Customer[Name(Cleaned)])</f>
        <v>Laura Soto</v>
      </c>
      <c r="D1930" s="22" t="str">
        <f>VLOOKUP(B1930,Customer[#ALL],6)</f>
        <v>Male</v>
      </c>
      <c r="E1930" s="23">
        <f>Sales[Order_Date]</f>
        <v>45317</v>
      </c>
      <c r="F1930" s="21" t="str">
        <f>Sales[Store_ID]</f>
        <v>STORE9</v>
      </c>
      <c r="G1930" s="21" t="str">
        <f t="array" ref="G1930">INDEX(Store[Store_Name],MATCH(F1930,Store[Store_ID],0))</f>
        <v>Moore, Padilla and Butler</v>
      </c>
      <c r="H1930" s="21" t="str">
        <f>Sales[Product_ID]</f>
        <v>PROD39</v>
      </c>
      <c r="I1930" s="21" t="str">
        <f>VLOOKUP(H1930,Products[],2)</f>
        <v>Portable Power Bank</v>
      </c>
      <c r="J1930" s="24">
        <f>Sales[Total_Amount]</f>
        <v>1874.787</v>
      </c>
      <c r="K1930" s="21" t="str">
        <f t="shared" si="1"/>
        <v>Jan</v>
      </c>
      <c r="L1930" s="21">
        <f t="shared" si="2"/>
        <v>2024</v>
      </c>
      <c r="N1930" s="33"/>
      <c r="O1930" s="34"/>
    </row>
    <row r="1931" ht="22.5" customHeight="1">
      <c r="A1931" s="21" t="s">
        <v>3896</v>
      </c>
      <c r="B1931" s="21" t="s">
        <v>422</v>
      </c>
      <c r="C1931" s="21" t="str">
        <f t="array" ref="C1931">XLOOKUP(B1931,Customer[Customer_ID],Customer[Name(Cleaned)])</f>
        <v>Michael Jones</v>
      </c>
      <c r="D1931" s="22" t="str">
        <f>VLOOKUP(B1931,Customer[#ALL],6)</f>
        <v>Female</v>
      </c>
      <c r="E1931" s="23">
        <f>Sales[Order_Date]</f>
        <v>45235</v>
      </c>
      <c r="F1931" s="21" t="str">
        <f>Sales[Store_ID]</f>
        <v>STORE15</v>
      </c>
      <c r="G1931" s="21" t="str">
        <f t="array" ref="G1931">INDEX(Store[Store_Name],MATCH(F1931,Store[Store_ID],0))</f>
        <v>Shelton PLC</v>
      </c>
      <c r="H1931" s="21" t="str">
        <f>Sales[Product_ID]</f>
        <v>PROD13</v>
      </c>
      <c r="I1931" s="21" t="str">
        <f>VLOOKUP(H1931,Products[],2)</f>
        <v>USB-C Fast Charger</v>
      </c>
      <c r="J1931" s="24">
        <f>Sales[Total_Amount]</f>
        <v>124.336</v>
      </c>
      <c r="K1931" s="21" t="str">
        <f t="shared" si="1"/>
        <v>Nov</v>
      </c>
      <c r="L1931" s="21">
        <f t="shared" si="2"/>
        <v>2023</v>
      </c>
      <c r="N1931" s="33"/>
      <c r="O1931" s="34"/>
    </row>
    <row r="1932" ht="22.5" customHeight="1">
      <c r="A1932" s="21" t="s">
        <v>3897</v>
      </c>
      <c r="B1932" s="21" t="s">
        <v>1212</v>
      </c>
      <c r="C1932" s="21" t="str">
        <f t="array" ref="C1932">XLOOKUP(B1932,Customer[Customer_ID],Customer[Name(Cleaned)])</f>
        <v>Kristine Higgins</v>
      </c>
      <c r="D1932" s="22" t="str">
        <f>VLOOKUP(B1932,Customer[#ALL],6)</f>
        <v>Male</v>
      </c>
      <c r="E1932" s="23">
        <f>Sales[Order_Date]</f>
        <v>45824</v>
      </c>
      <c r="F1932" s="21" t="str">
        <f>Sales[Store_ID]</f>
        <v>STORE13</v>
      </c>
      <c r="G1932" s="21" t="str">
        <f t="array" ref="G1932">INDEX(Store[Store_Name],MATCH(F1932,Store[Store_ID],0))</f>
        <v>Gardner, Humphrey and Contreras</v>
      </c>
      <c r="H1932" s="21" t="str">
        <f>Sales[Product_ID]</f>
        <v>PROD63</v>
      </c>
      <c r="I1932" s="21" t="str">
        <f>VLOOKUP(H1932,Products[],2)</f>
        <v>Organic Sunscreen Lotion</v>
      </c>
      <c r="J1932" s="24">
        <f>Sales[Total_Amount]</f>
        <v>2746.7712</v>
      </c>
      <c r="K1932" s="21" t="str">
        <f t="shared" si="1"/>
        <v>Jun</v>
      </c>
      <c r="L1932" s="21">
        <f t="shared" si="2"/>
        <v>2025</v>
      </c>
      <c r="N1932" s="33"/>
      <c r="O1932" s="34"/>
    </row>
    <row r="1933" ht="22.5" customHeight="1">
      <c r="A1933" s="21" t="s">
        <v>3898</v>
      </c>
      <c r="B1933" s="21" t="s">
        <v>255</v>
      </c>
      <c r="C1933" s="21" t="str">
        <f t="array" ref="C1933">XLOOKUP(B1933,Customer[Customer_ID],Customer[Name(Cleaned)])</f>
        <v>Amber Mcclain</v>
      </c>
      <c r="D1933" s="22" t="str">
        <f>VLOOKUP(B1933,Customer[#ALL],6)</f>
        <v>Female</v>
      </c>
      <c r="E1933" s="23">
        <f>Sales[Order_Date]</f>
        <v>45543</v>
      </c>
      <c r="F1933" s="21" t="str">
        <f>Sales[Store_ID]</f>
        <v>STORE10</v>
      </c>
      <c r="G1933" s="21" t="str">
        <f t="array" ref="G1933">INDEX(Store[Store_Name],MATCH(F1933,Store[Store_ID],0))</f>
        <v>Hill, Wagner and Ballard</v>
      </c>
      <c r="H1933" s="21" t="str">
        <f>Sales[Product_ID]</f>
        <v>PROD76</v>
      </c>
      <c r="I1933" s="21" t="str">
        <f>VLOOKUP(H1933,Products[],2)</f>
        <v>Wireless Mouse</v>
      </c>
      <c r="J1933" s="24">
        <f>Sales[Total_Amount]</f>
        <v>2143.6176</v>
      </c>
      <c r="K1933" s="21" t="str">
        <f t="shared" si="1"/>
        <v>Sep</v>
      </c>
      <c r="L1933" s="21">
        <f t="shared" si="2"/>
        <v>2024</v>
      </c>
      <c r="N1933" s="33"/>
      <c r="O1933" s="34"/>
    </row>
    <row r="1934" ht="22.5" customHeight="1">
      <c r="A1934" s="21" t="s">
        <v>3899</v>
      </c>
      <c r="B1934" s="21" t="s">
        <v>1529</v>
      </c>
      <c r="C1934" s="21" t="str">
        <f t="array" ref="C1934">XLOOKUP(B1934,Customer[Customer_ID],Customer[Name(Cleaned)])</f>
        <v>Darrell Miller</v>
      </c>
      <c r="D1934" s="22" t="str">
        <f>VLOOKUP(B1934,Customer[#ALL],6)</f>
        <v>Male</v>
      </c>
      <c r="E1934" s="23">
        <f>Sales[Order_Date]</f>
        <v>45595</v>
      </c>
      <c r="F1934" s="21" t="str">
        <f>Sales[Store_ID]</f>
        <v>STORE15</v>
      </c>
      <c r="G1934" s="21" t="str">
        <f t="array" ref="G1934">INDEX(Store[Store_Name],MATCH(F1934,Store[Store_ID],0))</f>
        <v>Shelton PLC</v>
      </c>
      <c r="H1934" s="21" t="str">
        <f>Sales[Product_ID]</f>
        <v>PROD62</v>
      </c>
      <c r="I1934" s="21" t="str">
        <f>VLOOKUP(H1934,Products[],2)</f>
        <v>Laptop Cooling Pad</v>
      </c>
      <c r="J1934" s="24">
        <f>Sales[Total_Amount]</f>
        <v>2486.214</v>
      </c>
      <c r="K1934" s="21" t="str">
        <f t="shared" si="1"/>
        <v>Oct</v>
      </c>
      <c r="L1934" s="21">
        <f t="shared" si="2"/>
        <v>2024</v>
      </c>
      <c r="N1934" s="33"/>
      <c r="O1934" s="34"/>
    </row>
    <row r="1935" ht="22.5" customHeight="1">
      <c r="A1935" s="21" t="s">
        <v>3900</v>
      </c>
      <c r="B1935" s="21" t="s">
        <v>978</v>
      </c>
      <c r="C1935" s="21" t="str">
        <f t="array" ref="C1935">XLOOKUP(B1935,Customer[Customer_ID],Customer[Name(Cleaned)])</f>
        <v>Roberta Green</v>
      </c>
      <c r="D1935" s="22" t="str">
        <f>VLOOKUP(B1935,Customer[#ALL],6)</f>
        <v>Female</v>
      </c>
      <c r="E1935" s="23">
        <f>Sales[Order_Date]</f>
        <v>45803</v>
      </c>
      <c r="F1935" s="21" t="str">
        <f>Sales[Store_ID]</f>
        <v>STORE1</v>
      </c>
      <c r="G1935" s="21" t="str">
        <f t="array" ref="G1935">INDEX(Store[Store_Name],MATCH(F1935,Store[Store_ID],0))</f>
        <v>Martinez, Adkins and Johnson</v>
      </c>
      <c r="H1935" s="21" t="str">
        <f>Sales[Product_ID]</f>
        <v>PROD28</v>
      </c>
      <c r="I1935" s="21" t="str">
        <f>VLOOKUP(H1935,Products[],2)</f>
        <v>Sports Stopwatch Timer</v>
      </c>
      <c r="J1935" s="24">
        <f>Sales[Total_Amount]</f>
        <v>154.938</v>
      </c>
      <c r="K1935" s="21" t="str">
        <f t="shared" si="1"/>
        <v>May</v>
      </c>
      <c r="L1935" s="21">
        <f t="shared" si="2"/>
        <v>2025</v>
      </c>
      <c r="N1935" s="33"/>
      <c r="O1935" s="34"/>
    </row>
    <row r="1936" ht="22.5" customHeight="1">
      <c r="A1936" s="21" t="s">
        <v>3901</v>
      </c>
      <c r="B1936" s="21" t="s">
        <v>957</v>
      </c>
      <c r="C1936" s="21" t="str">
        <f t="array" ref="C1936">XLOOKUP(B1936,Customer[Customer_ID],Customer[Name(Cleaned)])</f>
        <v>Tracy Stephens</v>
      </c>
      <c r="D1936" s="22" t="str">
        <f>VLOOKUP(B1936,Customer[#ALL],6)</f>
        <v>Female</v>
      </c>
      <c r="E1936" s="23">
        <f>Sales[Order_Date]</f>
        <v>45530</v>
      </c>
      <c r="F1936" s="21" t="str">
        <f>Sales[Store_ID]</f>
        <v>STORE19</v>
      </c>
      <c r="G1936" s="21" t="str">
        <f t="array" ref="G1936">INDEX(Store[Store_Name],MATCH(F1936,Store[Store_ID],0))</f>
        <v>Mann-Austin</v>
      </c>
      <c r="H1936" s="21" t="str">
        <f>Sales[Product_ID]</f>
        <v>PROD97</v>
      </c>
      <c r="I1936" s="21" t="str">
        <f>VLOOKUP(H1936,Products[],2)</f>
        <v>Cricket Bat</v>
      </c>
      <c r="J1936" s="24">
        <f>Sales[Total_Amount]</f>
        <v>1127.3328</v>
      </c>
      <c r="K1936" s="21" t="str">
        <f t="shared" si="1"/>
        <v>Aug</v>
      </c>
      <c r="L1936" s="21">
        <f t="shared" si="2"/>
        <v>2024</v>
      </c>
      <c r="N1936" s="33"/>
      <c r="O1936" s="34"/>
    </row>
    <row r="1937" ht="22.5" customHeight="1">
      <c r="A1937" s="21" t="s">
        <v>3902</v>
      </c>
      <c r="B1937" s="21" t="s">
        <v>1393</v>
      </c>
      <c r="C1937" s="21" t="str">
        <f t="array" ref="C1937">XLOOKUP(B1937,Customer[Customer_ID],Customer[Name(Cleaned)])</f>
        <v>Gene Lee</v>
      </c>
      <c r="D1937" s="22" t="str">
        <f>VLOOKUP(B1937,Customer[#ALL],6)</f>
        <v>Male</v>
      </c>
      <c r="E1937" s="23">
        <f>Sales[Order_Date]</f>
        <v>45880</v>
      </c>
      <c r="F1937" s="21" t="str">
        <f>Sales[Store_ID]</f>
        <v>STORE16</v>
      </c>
      <c r="G1937" s="21" t="str">
        <f t="array" ref="G1937">INDEX(Store[Store_Name],MATCH(F1937,Store[Store_ID],0))</f>
        <v>Frederick-Wright</v>
      </c>
      <c r="H1937" s="21" t="str">
        <f>Sales[Product_ID]</f>
        <v>PROD31</v>
      </c>
      <c r="I1937" s="21" t="str">
        <f>VLOOKUP(H1937,Products[],2)</f>
        <v>Basketball</v>
      </c>
      <c r="J1937" s="24">
        <f>Sales[Total_Amount]</f>
        <v>2421.7944</v>
      </c>
      <c r="K1937" s="21" t="str">
        <f t="shared" si="1"/>
        <v>Aug</v>
      </c>
      <c r="L1937" s="21">
        <f t="shared" si="2"/>
        <v>2025</v>
      </c>
      <c r="N1937" s="33"/>
      <c r="O1937" s="34"/>
    </row>
    <row r="1938" ht="22.5" customHeight="1">
      <c r="A1938" s="21" t="s">
        <v>3903</v>
      </c>
      <c r="B1938" s="21" t="s">
        <v>303</v>
      </c>
      <c r="C1938" s="21" t="str">
        <f t="array" ref="C1938">XLOOKUP(B1938,Customer[Customer_ID],Customer[Name(Cleaned)])</f>
        <v>Krystal Ford</v>
      </c>
      <c r="D1938" s="22" t="str">
        <f>VLOOKUP(B1938,Customer[#ALL],6)</f>
        <v>Male</v>
      </c>
      <c r="E1938" s="23">
        <f>Sales[Order_Date]</f>
        <v>45690</v>
      </c>
      <c r="F1938" s="21" t="str">
        <f>Sales[Store_ID]</f>
        <v>STORE5</v>
      </c>
      <c r="G1938" s="21" t="str">
        <f t="array" ref="G1938">INDEX(Store[Store_Name],MATCH(F1938,Store[Store_ID],0))</f>
        <v>Gray Ltd</v>
      </c>
      <c r="H1938" s="21" t="str">
        <f>Sales[Product_ID]</f>
        <v>PROD91</v>
      </c>
      <c r="I1938" s="21" t="str">
        <f>VLOOKUP(H1938,Products[],2)</f>
        <v>Women's High Heels</v>
      </c>
      <c r="J1938" s="24">
        <f>Sales[Total_Amount]</f>
        <v>541.1016</v>
      </c>
      <c r="K1938" s="21" t="str">
        <f t="shared" si="1"/>
        <v>Feb</v>
      </c>
      <c r="L1938" s="21">
        <f t="shared" si="2"/>
        <v>2025</v>
      </c>
      <c r="N1938" s="33"/>
      <c r="O1938" s="34"/>
    </row>
    <row r="1939" ht="22.5" customHeight="1">
      <c r="A1939" s="21" t="s">
        <v>3904</v>
      </c>
      <c r="B1939" s="21" t="s">
        <v>1474</v>
      </c>
      <c r="C1939" s="21" t="str">
        <f t="array" ref="C1939">XLOOKUP(B1939,Customer[Customer_ID],Customer[Name(Cleaned)])</f>
        <v>Laura Mathews</v>
      </c>
      <c r="D1939" s="22" t="str">
        <f>VLOOKUP(B1939,Customer[#ALL],6)</f>
        <v>Female</v>
      </c>
      <c r="E1939" s="23">
        <f>Sales[Order_Date]</f>
        <v>45841</v>
      </c>
      <c r="F1939" s="21" t="str">
        <f>Sales[Store_ID]</f>
        <v>STORE18</v>
      </c>
      <c r="G1939" s="21" t="str">
        <f t="array" ref="G1939">INDEX(Store[Store_Name],MATCH(F1939,Store[Store_ID],0))</f>
        <v>Guerrero-Schmitt</v>
      </c>
      <c r="H1939" s="21" t="str">
        <f>Sales[Product_ID]</f>
        <v>PROD71</v>
      </c>
      <c r="I1939" s="21" t="str">
        <f>VLOOKUP(H1939,Products[],2)</f>
        <v>Hair Repair Oil Treatment</v>
      </c>
      <c r="J1939" s="24">
        <f>Sales[Total_Amount]</f>
        <v>844.7706</v>
      </c>
      <c r="K1939" s="21" t="str">
        <f t="shared" si="1"/>
        <v>Jul</v>
      </c>
      <c r="L1939" s="21">
        <f t="shared" si="2"/>
        <v>2025</v>
      </c>
      <c r="N1939" s="33"/>
      <c r="O1939" s="34"/>
    </row>
    <row r="1940" ht="22.5" customHeight="1">
      <c r="A1940" s="21" t="s">
        <v>3905</v>
      </c>
      <c r="B1940" s="21" t="s">
        <v>1416</v>
      </c>
      <c r="C1940" s="21" t="str">
        <f t="array" ref="C1940">XLOOKUP(B1940,Customer[Customer_ID],Customer[Name(Cleaned)])</f>
        <v>April Phillips</v>
      </c>
      <c r="D1940" s="22" t="str">
        <f>VLOOKUP(B1940,Customer[#ALL],6)</f>
        <v>Male</v>
      </c>
      <c r="E1940" s="23">
        <f>Sales[Order_Date]</f>
        <v>45380</v>
      </c>
      <c r="F1940" s="21" t="str">
        <f>Sales[Store_ID]</f>
        <v>STORE18</v>
      </c>
      <c r="G1940" s="21" t="str">
        <f t="array" ref="G1940">INDEX(Store[Store_Name],MATCH(F1940,Store[Store_ID],0))</f>
        <v>Guerrero-Schmitt</v>
      </c>
      <c r="H1940" s="21" t="str">
        <f>Sales[Product_ID]</f>
        <v>PROD81</v>
      </c>
      <c r="I1940" s="21" t="str">
        <f>VLOOKUP(H1940,Products[],2)</f>
        <v>Badminton Racket Set</v>
      </c>
      <c r="J1940" s="24">
        <f>Sales[Total_Amount]</f>
        <v>1196.5536</v>
      </c>
      <c r="K1940" s="21" t="str">
        <f t="shared" si="1"/>
        <v>Mar</v>
      </c>
      <c r="L1940" s="21">
        <f t="shared" si="2"/>
        <v>2024</v>
      </c>
      <c r="N1940" s="33"/>
      <c r="O1940" s="34"/>
    </row>
    <row r="1941" ht="22.5" customHeight="1">
      <c r="A1941" s="21" t="s">
        <v>3906</v>
      </c>
      <c r="B1941" s="21" t="s">
        <v>1212</v>
      </c>
      <c r="C1941" s="21" t="str">
        <f t="array" ref="C1941">XLOOKUP(B1941,Customer[Customer_ID],Customer[Name(Cleaned)])</f>
        <v>Kristine Higgins</v>
      </c>
      <c r="D1941" s="22" t="str">
        <f>VLOOKUP(B1941,Customer[#ALL],6)</f>
        <v>Male</v>
      </c>
      <c r="E1941" s="23">
        <f>Sales[Order_Date]</f>
        <v>45503</v>
      </c>
      <c r="F1941" s="21" t="str">
        <f>Sales[Store_ID]</f>
        <v>STORE9</v>
      </c>
      <c r="G1941" s="21" t="str">
        <f t="array" ref="G1941">INDEX(Store[Store_Name],MATCH(F1941,Store[Store_ID],0))</f>
        <v>Moore, Padilla and Butler</v>
      </c>
      <c r="H1941" s="21" t="str">
        <f>Sales[Product_ID]</f>
        <v>PROD3</v>
      </c>
      <c r="I1941" s="21" t="str">
        <f>VLOOKUP(H1941,Products[],2)</f>
        <v>Fabric Sofa Throw Blanket</v>
      </c>
      <c r="J1941" s="24">
        <f>Sales[Total_Amount]</f>
        <v>1082.835</v>
      </c>
      <c r="K1941" s="21" t="str">
        <f t="shared" si="1"/>
        <v>Jul</v>
      </c>
      <c r="L1941" s="21">
        <f t="shared" si="2"/>
        <v>2024</v>
      </c>
      <c r="N1941" s="33"/>
      <c r="O1941" s="34"/>
    </row>
    <row r="1942" ht="22.5" customHeight="1">
      <c r="A1942" s="21" t="s">
        <v>3907</v>
      </c>
      <c r="B1942" s="21" t="s">
        <v>255</v>
      </c>
      <c r="C1942" s="21" t="str">
        <f t="array" ref="C1942">XLOOKUP(B1942,Customer[Customer_ID],Customer[Name(Cleaned)])</f>
        <v>Amber Mcclain</v>
      </c>
      <c r="D1942" s="22" t="str">
        <f>VLOOKUP(B1942,Customer[#ALL],6)</f>
        <v>Female</v>
      </c>
      <c r="E1942" s="23">
        <f>Sales[Order_Date]</f>
        <v>45567</v>
      </c>
      <c r="F1942" s="21" t="str">
        <f>Sales[Store_ID]</f>
        <v>STORE15</v>
      </c>
      <c r="G1942" s="21" t="str">
        <f t="array" ref="G1942">INDEX(Store[Store_Name],MATCH(F1942,Store[Store_ID],0))</f>
        <v>Shelton PLC</v>
      </c>
      <c r="H1942" s="21" t="str">
        <f>Sales[Product_ID]</f>
        <v>PROD14</v>
      </c>
      <c r="I1942" s="21" t="str">
        <f>VLOOKUP(H1942,Products[],2)</f>
        <v>Decorative Wall Mirror</v>
      </c>
      <c r="J1942" s="24">
        <f>Sales[Total_Amount]</f>
        <v>3817.688</v>
      </c>
      <c r="K1942" s="21" t="str">
        <f t="shared" si="1"/>
        <v>Oct</v>
      </c>
      <c r="L1942" s="21">
        <f t="shared" si="2"/>
        <v>2024</v>
      </c>
      <c r="N1942" s="33"/>
      <c r="O1942" s="34"/>
    </row>
    <row r="1943" ht="22.5" customHeight="1">
      <c r="A1943" s="21" t="s">
        <v>3908</v>
      </c>
      <c r="B1943" s="21" t="s">
        <v>486</v>
      </c>
      <c r="C1943" s="21" t="str">
        <f t="array" ref="C1943">XLOOKUP(B1943,Customer[Customer_ID],Customer[Name(Cleaned)])</f>
        <v>Patty Francis</v>
      </c>
      <c r="D1943" s="22" t="str">
        <f>VLOOKUP(B1943,Customer[#ALL],6)</f>
        <v>Male</v>
      </c>
      <c r="E1943" s="23">
        <f>Sales[Order_Date]</f>
        <v>45600</v>
      </c>
      <c r="F1943" s="21" t="str">
        <f>Sales[Store_ID]</f>
        <v>STORE1</v>
      </c>
      <c r="G1943" s="21" t="str">
        <f t="array" ref="G1943">INDEX(Store[Store_Name],MATCH(F1943,Store[Store_ID],0))</f>
        <v>Martinez, Adkins and Johnson</v>
      </c>
      <c r="H1943" s="21" t="str">
        <f>Sales[Product_ID]</f>
        <v>PROD35</v>
      </c>
      <c r="I1943" s="21" t="str">
        <f>VLOOKUP(H1943,Products[],2)</f>
        <v>Bedroom Table Lamp</v>
      </c>
      <c r="J1943" s="24">
        <f>Sales[Total_Amount]</f>
        <v>267.206</v>
      </c>
      <c r="K1943" s="21" t="str">
        <f t="shared" si="1"/>
        <v>Nov</v>
      </c>
      <c r="L1943" s="21">
        <f t="shared" si="2"/>
        <v>2024</v>
      </c>
      <c r="N1943" s="33"/>
      <c r="O1943" s="34"/>
    </row>
    <row r="1944" ht="22.5" customHeight="1">
      <c r="A1944" s="21" t="s">
        <v>3909</v>
      </c>
      <c r="B1944" s="21" t="s">
        <v>70</v>
      </c>
      <c r="C1944" s="21" t="str">
        <f t="array" ref="C1944">XLOOKUP(B1944,Customer[Customer_ID],Customer[Name(Cleaned)])</f>
        <v>Nathan Hernandez</v>
      </c>
      <c r="D1944" s="22" t="str">
        <f>VLOOKUP(B1944,Customer[#ALL],6)</f>
        <v>Male</v>
      </c>
      <c r="E1944" s="23">
        <f>Sales[Order_Date]</f>
        <v>45415</v>
      </c>
      <c r="F1944" s="21" t="str">
        <f>Sales[Store_ID]</f>
        <v>STORE13</v>
      </c>
      <c r="G1944" s="21" t="str">
        <f t="array" ref="G1944">INDEX(Store[Store_Name],MATCH(F1944,Store[Store_ID],0))</f>
        <v>Gardner, Humphrey and Contreras</v>
      </c>
      <c r="H1944" s="21" t="str">
        <f>Sales[Product_ID]</f>
        <v>PROD73</v>
      </c>
      <c r="I1944" s="21" t="str">
        <f>VLOOKUP(H1944,Products[],2)</f>
        <v>Shin Guards – Adult</v>
      </c>
      <c r="J1944" s="24">
        <f>Sales[Total_Amount]</f>
        <v>603.7164</v>
      </c>
      <c r="K1944" s="21" t="str">
        <f t="shared" si="1"/>
        <v>May</v>
      </c>
      <c r="L1944" s="21">
        <f t="shared" si="2"/>
        <v>2024</v>
      </c>
      <c r="N1944" s="33"/>
      <c r="O1944" s="34"/>
    </row>
    <row r="1945" ht="22.5" customHeight="1">
      <c r="A1945" s="21" t="s">
        <v>3910</v>
      </c>
      <c r="B1945" s="21" t="s">
        <v>1044</v>
      </c>
      <c r="C1945" s="21" t="str">
        <f t="array" ref="C1945">XLOOKUP(B1945,Customer[Customer_ID],Customer[Name(Cleaned)])</f>
        <v>Reginald Willis</v>
      </c>
      <c r="D1945" s="22" t="str">
        <f>VLOOKUP(B1945,Customer[#ALL],6)</f>
        <v>Male</v>
      </c>
      <c r="E1945" s="23">
        <f>Sales[Order_Date]</f>
        <v>45343</v>
      </c>
      <c r="F1945" s="21" t="str">
        <f>Sales[Store_ID]</f>
        <v>STORE16</v>
      </c>
      <c r="G1945" s="21" t="str">
        <f t="array" ref="G1945">INDEX(Store[Store_Name],MATCH(F1945,Store[Store_ID],0))</f>
        <v>Frederick-Wright</v>
      </c>
      <c r="H1945" s="21" t="str">
        <f>Sales[Product_ID]</f>
        <v>PROD9</v>
      </c>
      <c r="I1945" s="21" t="str">
        <f>VLOOKUP(H1945,Products[],2)</f>
        <v>Face Foundation Kit</v>
      </c>
      <c r="J1945" s="24">
        <f>Sales[Total_Amount]</f>
        <v>1866.272</v>
      </c>
      <c r="K1945" s="21" t="str">
        <f t="shared" si="1"/>
        <v>Feb</v>
      </c>
      <c r="L1945" s="21">
        <f t="shared" si="2"/>
        <v>2024</v>
      </c>
      <c r="N1945" s="33"/>
      <c r="O1945" s="34"/>
    </row>
    <row r="1946" ht="22.5" customHeight="1">
      <c r="A1946" s="21" t="s">
        <v>3911</v>
      </c>
      <c r="B1946" s="21" t="s">
        <v>1299</v>
      </c>
      <c r="C1946" s="21" t="str">
        <f t="array" ref="C1946">XLOOKUP(B1946,Customer[Customer_ID],Customer[Name(Cleaned)])</f>
        <v>Megan Ryan</v>
      </c>
      <c r="D1946" s="22" t="str">
        <f>VLOOKUP(B1946,Customer[#ALL],6)</f>
        <v>Male</v>
      </c>
      <c r="E1946" s="23">
        <f>Sales[Order_Date]</f>
        <v>45399</v>
      </c>
      <c r="F1946" s="21" t="str">
        <f>Sales[Store_ID]</f>
        <v>STORE8</v>
      </c>
      <c r="G1946" s="21" t="str">
        <f t="array" ref="G1946">INDEX(Store[Store_Name],MATCH(F1946,Store[Store_ID],0))</f>
        <v>Bean, Jones and Park</v>
      </c>
      <c r="H1946" s="21" t="str">
        <f>Sales[Product_ID]</f>
        <v>PROD81</v>
      </c>
      <c r="I1946" s="21" t="str">
        <f>VLOOKUP(H1946,Products[],2)</f>
        <v>Badminton Racket Set</v>
      </c>
      <c r="J1946" s="24">
        <f>Sales[Total_Amount]</f>
        <v>1661.6625</v>
      </c>
      <c r="K1946" s="21" t="str">
        <f t="shared" si="1"/>
        <v>Apr</v>
      </c>
      <c r="L1946" s="21">
        <f t="shared" si="2"/>
        <v>2024</v>
      </c>
      <c r="N1946" s="33"/>
      <c r="O1946" s="34"/>
    </row>
    <row r="1947" ht="22.5" customHeight="1">
      <c r="A1947" s="21" t="s">
        <v>3912</v>
      </c>
      <c r="B1947" s="21" t="s">
        <v>1026</v>
      </c>
      <c r="C1947" s="21" t="str">
        <f t="array" ref="C1947">XLOOKUP(B1947,Customer[Customer_ID],Customer[Name(Cleaned)])</f>
        <v>Darren Burton</v>
      </c>
      <c r="D1947" s="22" t="str">
        <f>VLOOKUP(B1947,Customer[#ALL],6)</f>
        <v>Male</v>
      </c>
      <c r="E1947" s="23">
        <f>Sales[Order_Date]</f>
        <v>45556</v>
      </c>
      <c r="F1947" s="21" t="str">
        <f>Sales[Store_ID]</f>
        <v>STORE6</v>
      </c>
      <c r="G1947" s="21" t="str">
        <f t="array" ref="G1947">INDEX(Store[Store_Name],MATCH(F1947,Store[Store_ID],0))</f>
        <v>Benson-Elliott</v>
      </c>
      <c r="H1947" s="21" t="str">
        <f>Sales[Product_ID]</f>
        <v>PROD99</v>
      </c>
      <c r="I1947" s="21" t="str">
        <f>VLOOKUP(H1947,Products[],2)</f>
        <v>Stainless Steel Cookware Set</v>
      </c>
      <c r="J1947" s="24">
        <f>Sales[Total_Amount]</f>
        <v>117.4588</v>
      </c>
      <c r="K1947" s="21" t="str">
        <f t="shared" si="1"/>
        <v>Sep</v>
      </c>
      <c r="L1947" s="21">
        <f t="shared" si="2"/>
        <v>2024</v>
      </c>
      <c r="N1947" s="33"/>
      <c r="O1947" s="34"/>
    </row>
    <row r="1948" ht="22.5" customHeight="1">
      <c r="A1948" s="21" t="s">
        <v>3913</v>
      </c>
      <c r="B1948" s="21" t="s">
        <v>990</v>
      </c>
      <c r="C1948" s="21" t="str">
        <f t="array" ref="C1948">XLOOKUP(B1948,Customer[Customer_ID],Customer[Name(Cleaned)])</f>
        <v>Stacy Collins</v>
      </c>
      <c r="D1948" s="22" t="str">
        <f>VLOOKUP(B1948,Customer[#ALL],6)</f>
        <v>Male</v>
      </c>
      <c r="E1948" s="23">
        <f>Sales[Order_Date]</f>
        <v>45689</v>
      </c>
      <c r="F1948" s="21" t="str">
        <f>Sales[Store_ID]</f>
        <v>STORE5</v>
      </c>
      <c r="G1948" s="21" t="str">
        <f t="array" ref="G1948">INDEX(Store[Store_Name],MATCH(F1948,Store[Store_ID],0))</f>
        <v>Gray Ltd</v>
      </c>
      <c r="H1948" s="21" t="str">
        <f>Sales[Product_ID]</f>
        <v>PROD61</v>
      </c>
      <c r="I1948" s="21" t="str">
        <f>VLOOKUP(H1948,Products[],2)</f>
        <v>Tennis Ball 3-Pack</v>
      </c>
      <c r="J1948" s="24">
        <f>Sales[Total_Amount]</f>
        <v>1206.6408</v>
      </c>
      <c r="K1948" s="21" t="str">
        <f t="shared" si="1"/>
        <v>Feb</v>
      </c>
      <c r="L1948" s="21">
        <f t="shared" si="2"/>
        <v>2025</v>
      </c>
      <c r="N1948" s="33"/>
      <c r="O1948" s="34"/>
    </row>
    <row r="1949" ht="22.5" customHeight="1">
      <c r="A1949" s="21" t="s">
        <v>3914</v>
      </c>
      <c r="B1949" s="21" t="s">
        <v>528</v>
      </c>
      <c r="C1949" s="21" t="str">
        <f t="array" ref="C1949">XLOOKUP(B1949,Customer[Customer_ID],Customer[Name(Cleaned)])</f>
        <v>Julie Hale</v>
      </c>
      <c r="D1949" s="22" t="str">
        <f>VLOOKUP(B1949,Customer[#ALL],6)</f>
        <v>Male</v>
      </c>
      <c r="E1949" s="23">
        <f>Sales[Order_Date]</f>
        <v>45699</v>
      </c>
      <c r="F1949" s="21" t="str">
        <f>Sales[Store_ID]</f>
        <v>STORE19</v>
      </c>
      <c r="G1949" s="21" t="str">
        <f t="array" ref="G1949">INDEX(Store[Store_Name],MATCH(F1949,Store[Store_ID],0))</f>
        <v>Mann-Austin</v>
      </c>
      <c r="H1949" s="21" t="str">
        <f>Sales[Product_ID]</f>
        <v>PROD63</v>
      </c>
      <c r="I1949" s="21" t="str">
        <f>VLOOKUP(H1949,Products[],2)</f>
        <v>Organic Sunscreen Lotion</v>
      </c>
      <c r="J1949" s="24">
        <f>Sales[Total_Amount]</f>
        <v>824.4864</v>
      </c>
      <c r="K1949" s="21" t="str">
        <f t="shared" si="1"/>
        <v>Feb</v>
      </c>
      <c r="L1949" s="21">
        <f t="shared" si="2"/>
        <v>2025</v>
      </c>
      <c r="N1949" s="33"/>
      <c r="O1949" s="34"/>
    </row>
    <row r="1950" ht="22.5" customHeight="1">
      <c r="A1950" s="21" t="s">
        <v>3915</v>
      </c>
      <c r="B1950" s="21" t="s">
        <v>902</v>
      </c>
      <c r="C1950" s="21" t="str">
        <f t="array" ref="C1950">XLOOKUP(B1950,Customer[Customer_ID],Customer[Name(Cleaned)])</f>
        <v>Aaron Luna</v>
      </c>
      <c r="D1950" s="22" t="str">
        <f>VLOOKUP(B1950,Customer[#ALL],6)</f>
        <v>Male</v>
      </c>
      <c r="E1950" s="23">
        <f>Sales[Order_Date]</f>
        <v>45663</v>
      </c>
      <c r="F1950" s="21" t="str">
        <f>Sales[Store_ID]</f>
        <v>STORE11</v>
      </c>
      <c r="G1950" s="21" t="str">
        <f t="array" ref="G1950">INDEX(Store[Store_Name],MATCH(F1950,Store[Store_ID],0))</f>
        <v>Aguirre-Keller</v>
      </c>
      <c r="H1950" s="21" t="str">
        <f>Sales[Product_ID]</f>
        <v>PROD73</v>
      </c>
      <c r="I1950" s="21" t="str">
        <f>VLOOKUP(H1950,Products[],2)</f>
        <v>Shin Guards – Adult</v>
      </c>
      <c r="J1950" s="24">
        <f>Sales[Total_Amount]</f>
        <v>1069.5303</v>
      </c>
      <c r="K1950" s="21" t="str">
        <f t="shared" si="1"/>
        <v>Jan</v>
      </c>
      <c r="L1950" s="21">
        <f t="shared" si="2"/>
        <v>2025</v>
      </c>
      <c r="N1950" s="33"/>
      <c r="O1950" s="34"/>
    </row>
    <row r="1951" ht="22.5" customHeight="1">
      <c r="A1951" s="21" t="s">
        <v>3916</v>
      </c>
      <c r="B1951" s="21" t="s">
        <v>1462</v>
      </c>
      <c r="C1951" s="21" t="str">
        <f t="array" ref="C1951">XLOOKUP(B1951,Customer[Customer_ID],Customer[Name(Cleaned)])</f>
        <v>James Foster</v>
      </c>
      <c r="D1951" s="22" t="str">
        <f>VLOOKUP(B1951,Customer[#ALL],6)</f>
        <v>Female</v>
      </c>
      <c r="E1951" s="23">
        <f>Sales[Order_Date]</f>
        <v>45377</v>
      </c>
      <c r="F1951" s="21" t="str">
        <f>Sales[Store_ID]</f>
        <v>STORE8</v>
      </c>
      <c r="G1951" s="21" t="str">
        <f t="array" ref="G1951">INDEX(Store[Store_Name],MATCH(F1951,Store[Store_ID],0))</f>
        <v>Bean, Jones and Park</v>
      </c>
      <c r="H1951" s="21" t="str">
        <f>Sales[Product_ID]</f>
        <v>PROD87</v>
      </c>
      <c r="I1951" s="21" t="str">
        <f>VLOOKUP(H1951,Products[],2)</f>
        <v>LED Bedside Lamp</v>
      </c>
      <c r="J1951" s="24">
        <f>Sales[Total_Amount]</f>
        <v>1968.5754</v>
      </c>
      <c r="K1951" s="21" t="str">
        <f t="shared" si="1"/>
        <v>Mar</v>
      </c>
      <c r="L1951" s="21">
        <f t="shared" si="2"/>
        <v>2024</v>
      </c>
      <c r="N1951" s="33"/>
      <c r="O1951" s="34"/>
    </row>
    <row r="1952" ht="22.5" customHeight="1">
      <c r="A1952" s="21" t="s">
        <v>3917</v>
      </c>
      <c r="B1952" s="21" t="s">
        <v>1543</v>
      </c>
      <c r="C1952" s="21" t="str">
        <f t="array" ref="C1952">XLOOKUP(B1952,Customer[Customer_ID],Customer[Name(Cleaned)])</f>
        <v>Sarah Marsh</v>
      </c>
      <c r="D1952" s="22" t="str">
        <f>VLOOKUP(B1952,Customer[#ALL],6)</f>
        <v>Male</v>
      </c>
      <c r="E1952" s="23">
        <f>Sales[Order_Date]</f>
        <v>45412</v>
      </c>
      <c r="F1952" s="21" t="str">
        <f>Sales[Store_ID]</f>
        <v>STORE16</v>
      </c>
      <c r="G1952" s="21" t="str">
        <f t="array" ref="G1952">INDEX(Store[Store_Name],MATCH(F1952,Store[Store_ID],0))</f>
        <v>Frederick-Wright</v>
      </c>
      <c r="H1952" s="21" t="str">
        <f>Sales[Product_ID]</f>
        <v>PROD6</v>
      </c>
      <c r="I1952" s="21" t="str">
        <f>VLOOKUP(H1952,Products[],2)</f>
        <v>Men's Hair Styling Gel</v>
      </c>
      <c r="J1952" s="24">
        <f>Sales[Total_Amount]</f>
        <v>1483.812</v>
      </c>
      <c r="K1952" s="21" t="str">
        <f t="shared" si="1"/>
        <v>Apr</v>
      </c>
      <c r="L1952" s="21">
        <f t="shared" si="2"/>
        <v>2024</v>
      </c>
      <c r="N1952" s="33"/>
      <c r="O1952" s="34"/>
    </row>
    <row r="1953" ht="22.5" customHeight="1">
      <c r="A1953" s="21" t="s">
        <v>3918</v>
      </c>
      <c r="B1953" s="21" t="s">
        <v>404</v>
      </c>
      <c r="C1953" s="21" t="str">
        <f t="array" ref="C1953">XLOOKUP(B1953,Customer[Customer_ID],Customer[Name(Cleaned)])</f>
        <v>Edward Hall</v>
      </c>
      <c r="D1953" s="22" t="str">
        <f>VLOOKUP(B1953,Customer[#ALL],6)</f>
        <v>Female</v>
      </c>
      <c r="E1953" s="23">
        <f>Sales[Order_Date]</f>
        <v>45349</v>
      </c>
      <c r="F1953" s="21" t="str">
        <f>Sales[Store_ID]</f>
        <v>STORE8</v>
      </c>
      <c r="G1953" s="21" t="str">
        <f t="array" ref="G1953">INDEX(Store[Store_Name],MATCH(F1953,Store[Store_ID],0))</f>
        <v>Bean, Jones and Park</v>
      </c>
      <c r="H1953" s="21" t="str">
        <f>Sales[Product_ID]</f>
        <v>PROD59</v>
      </c>
      <c r="I1953" s="21" t="str">
        <f>VLOOKUP(H1953,Products[],2)</f>
        <v>Men's Hair Styling Gel</v>
      </c>
      <c r="J1953" s="24">
        <f>Sales[Total_Amount]</f>
        <v>345.3248</v>
      </c>
      <c r="K1953" s="21" t="str">
        <f t="shared" si="1"/>
        <v>Feb</v>
      </c>
      <c r="L1953" s="21">
        <f t="shared" si="2"/>
        <v>2024</v>
      </c>
      <c r="N1953" s="33"/>
      <c r="O1953" s="34"/>
    </row>
    <row r="1954" ht="22.5" customHeight="1">
      <c r="A1954" s="21" t="s">
        <v>3919</v>
      </c>
      <c r="B1954" s="21" t="s">
        <v>1134</v>
      </c>
      <c r="C1954" s="21" t="str">
        <f t="array" ref="C1954">XLOOKUP(B1954,Customer[Customer_ID],Customer[Name(Cleaned)])</f>
        <v>Manuel Castillo</v>
      </c>
      <c r="D1954" s="22" t="str">
        <f>VLOOKUP(B1954,Customer[#ALL],6)</f>
        <v>Female</v>
      </c>
      <c r="E1954" s="23">
        <f>Sales[Order_Date]</f>
        <v>45486</v>
      </c>
      <c r="F1954" s="21" t="str">
        <f>Sales[Store_ID]</f>
        <v>STORE6</v>
      </c>
      <c r="G1954" s="21" t="str">
        <f t="array" ref="G1954">INDEX(Store[Store_Name],MATCH(F1954,Store[Store_ID],0))</f>
        <v>Benson-Elliott</v>
      </c>
      <c r="H1954" s="21" t="str">
        <f>Sales[Product_ID]</f>
        <v>PROD88</v>
      </c>
      <c r="I1954" s="21" t="str">
        <f>VLOOKUP(H1954,Products[],2)</f>
        <v>Sports Wrist Sweatbands</v>
      </c>
      <c r="J1954" s="24">
        <f>Sales[Total_Amount]</f>
        <v>59.5935</v>
      </c>
      <c r="K1954" s="21" t="str">
        <f t="shared" si="1"/>
        <v>Jul</v>
      </c>
      <c r="L1954" s="21">
        <f t="shared" si="2"/>
        <v>2024</v>
      </c>
      <c r="N1954" s="33"/>
      <c r="O1954" s="34"/>
    </row>
    <row r="1955" ht="22.5" customHeight="1">
      <c r="A1955" s="21" t="s">
        <v>3920</v>
      </c>
      <c r="B1955" s="21" t="s">
        <v>628</v>
      </c>
      <c r="C1955" s="21" t="str">
        <f t="array" ref="C1955">XLOOKUP(B1955,Customer[Customer_ID],Customer[Name(Cleaned)])</f>
        <v>Dr. Suzanne Bullock</v>
      </c>
      <c r="D1955" s="22" t="str">
        <f>VLOOKUP(B1955,Customer[#ALL],6)</f>
        <v>Male</v>
      </c>
      <c r="E1955" s="23">
        <f>Sales[Order_Date]</f>
        <v>45761</v>
      </c>
      <c r="F1955" s="21" t="str">
        <f>Sales[Store_ID]</f>
        <v>STORE8</v>
      </c>
      <c r="G1955" s="21" t="str">
        <f t="array" ref="G1955">INDEX(Store[Store_Name],MATCH(F1955,Store[Store_ID],0))</f>
        <v>Bean, Jones and Park</v>
      </c>
      <c r="H1955" s="21" t="str">
        <f>Sales[Product_ID]</f>
        <v>PROD36</v>
      </c>
      <c r="I1955" s="21" t="str">
        <f>VLOOKUP(H1955,Products[],2)</f>
        <v>Women's Summer Dress</v>
      </c>
      <c r="J1955" s="24">
        <f>Sales[Total_Amount]</f>
        <v>568.0962</v>
      </c>
      <c r="K1955" s="21" t="str">
        <f t="shared" si="1"/>
        <v>Apr</v>
      </c>
      <c r="L1955" s="21">
        <f t="shared" si="2"/>
        <v>2025</v>
      </c>
      <c r="N1955" s="33"/>
      <c r="O1955" s="34"/>
    </row>
    <row r="1956" ht="22.5" customHeight="1">
      <c r="A1956" s="21" t="s">
        <v>3921</v>
      </c>
      <c r="B1956" s="21" t="s">
        <v>1350</v>
      </c>
      <c r="C1956" s="21" t="str">
        <f t="array" ref="C1956">XLOOKUP(B1956,Customer[Customer_ID],Customer[Name(Cleaned)])</f>
        <v>Kimberly Roberts</v>
      </c>
      <c r="D1956" s="22" t="str">
        <f>VLOOKUP(B1956,Customer[#ALL],6)</f>
        <v>Male</v>
      </c>
      <c r="E1956" s="23">
        <f>Sales[Order_Date]</f>
        <v>45639</v>
      </c>
      <c r="F1956" s="21" t="str">
        <f>Sales[Store_ID]</f>
        <v>STORE14</v>
      </c>
      <c r="G1956" s="21" t="str">
        <f t="array" ref="G1956">INDEX(Store[Store_Name],MATCH(F1956,Store[Store_ID],0))</f>
        <v>Mcdonald Inc</v>
      </c>
      <c r="H1956" s="21" t="str">
        <f>Sales[Product_ID]</f>
        <v>PROD78</v>
      </c>
      <c r="I1956" s="21" t="str">
        <f>VLOOKUP(H1956,Products[],2)</f>
        <v>Essential Oil Diffuser</v>
      </c>
      <c r="J1956" s="24">
        <f>Sales[Total_Amount]</f>
        <v>671.0229</v>
      </c>
      <c r="K1956" s="21" t="str">
        <f t="shared" si="1"/>
        <v>Dec</v>
      </c>
      <c r="L1956" s="21">
        <f t="shared" si="2"/>
        <v>2024</v>
      </c>
      <c r="N1956" s="33"/>
      <c r="O1956" s="34"/>
    </row>
    <row r="1957" ht="22.5" customHeight="1">
      <c r="A1957" s="21" t="s">
        <v>3922</v>
      </c>
      <c r="B1957" s="21" t="s">
        <v>1209</v>
      </c>
      <c r="C1957" s="21" t="str">
        <f t="array" ref="C1957">XLOOKUP(B1957,Customer[Customer_ID],Customer[Name(Cleaned)])</f>
        <v>Martha Brown</v>
      </c>
      <c r="D1957" s="22" t="str">
        <f>VLOOKUP(B1957,Customer[#ALL],6)</f>
        <v>Male</v>
      </c>
      <c r="E1957" s="23">
        <f>Sales[Order_Date]</f>
        <v>45893</v>
      </c>
      <c r="F1957" s="21" t="str">
        <f>Sales[Store_ID]</f>
        <v>STORE14</v>
      </c>
      <c r="G1957" s="21" t="str">
        <f t="array" ref="G1957">INDEX(Store[Store_Name],MATCH(F1957,Store[Store_ID],0))</f>
        <v>Mcdonald Inc</v>
      </c>
      <c r="H1957" s="21" t="str">
        <f>Sales[Product_ID]</f>
        <v>PROD25</v>
      </c>
      <c r="I1957" s="21" t="str">
        <f>VLOOKUP(H1957,Products[],2)</f>
        <v>Women's Scarf Set</v>
      </c>
      <c r="J1957" s="24">
        <f>Sales[Total_Amount]</f>
        <v>1573.936</v>
      </c>
      <c r="K1957" s="21" t="str">
        <f t="shared" si="1"/>
        <v>Aug</v>
      </c>
      <c r="L1957" s="21">
        <f t="shared" si="2"/>
        <v>2025</v>
      </c>
      <c r="N1957" s="33"/>
      <c r="O1957" s="34"/>
    </row>
    <row r="1958" ht="22.5" customHeight="1">
      <c r="A1958" s="21" t="s">
        <v>3923</v>
      </c>
      <c r="B1958" s="21" t="s">
        <v>797</v>
      </c>
      <c r="C1958" s="21" t="str">
        <f t="array" ref="C1958">XLOOKUP(B1958,Customer[Customer_ID],Customer[Name(Cleaned)])</f>
        <v>Nancy Page</v>
      </c>
      <c r="D1958" s="22" t="str">
        <f>VLOOKUP(B1958,Customer[#ALL],6)</f>
        <v>Female</v>
      </c>
      <c r="E1958" s="23">
        <f>Sales[Order_Date]</f>
        <v>45523</v>
      </c>
      <c r="F1958" s="21" t="str">
        <f>Sales[Store_ID]</f>
        <v>STORE10</v>
      </c>
      <c r="G1958" s="21" t="str">
        <f t="array" ref="G1958">INDEX(Store[Store_Name],MATCH(F1958,Store[Store_ID],0))</f>
        <v>Hill, Wagner and Ballard</v>
      </c>
      <c r="H1958" s="21" t="str">
        <f>Sales[Product_ID]</f>
        <v>PROD50</v>
      </c>
      <c r="I1958" s="21" t="str">
        <f>VLOOKUP(H1958,Products[],2)</f>
        <v>Boxing Hand Wraps</v>
      </c>
      <c r="J1958" s="24">
        <f>Sales[Total_Amount]</f>
        <v>792.326</v>
      </c>
      <c r="K1958" s="21" t="str">
        <f t="shared" si="1"/>
        <v>Aug</v>
      </c>
      <c r="L1958" s="21">
        <f t="shared" si="2"/>
        <v>2024</v>
      </c>
      <c r="N1958" s="33"/>
      <c r="O1958" s="34"/>
    </row>
    <row r="1959" ht="22.5" customHeight="1">
      <c r="A1959" s="21" t="s">
        <v>3924</v>
      </c>
      <c r="B1959" s="21" t="s">
        <v>47</v>
      </c>
      <c r="C1959" s="21" t="str">
        <f t="array" ref="C1959">XLOOKUP(B1959,Customer[Customer_ID],Customer[Name(Cleaned)])</f>
        <v>Daniel Boyd</v>
      </c>
      <c r="D1959" s="22" t="str">
        <f>VLOOKUP(B1959,Customer[#ALL],6)</f>
        <v>Male</v>
      </c>
      <c r="E1959" s="23">
        <f>Sales[Order_Date]</f>
        <v>45227</v>
      </c>
      <c r="F1959" s="21" t="str">
        <f>Sales[Store_ID]</f>
        <v>STORE7</v>
      </c>
      <c r="G1959" s="21" t="str">
        <f t="array" ref="G1959">INDEX(Store[Store_Name],MATCH(F1959,Store[Store_ID],0))</f>
        <v>Martinez-Mullins</v>
      </c>
      <c r="H1959" s="21" t="str">
        <f>Sales[Product_ID]</f>
        <v>PROD90</v>
      </c>
      <c r="I1959" s="21" t="str">
        <f>VLOOKUP(H1959,Products[],2)</f>
        <v>Gaming Mouse Pad XL</v>
      </c>
      <c r="J1959" s="24">
        <f>Sales[Total_Amount]</f>
        <v>488.9066</v>
      </c>
      <c r="K1959" s="21" t="str">
        <f t="shared" si="1"/>
        <v>Oct</v>
      </c>
      <c r="L1959" s="21">
        <f t="shared" si="2"/>
        <v>2023</v>
      </c>
      <c r="N1959" s="33"/>
      <c r="O1959" s="34"/>
    </row>
    <row r="1960" ht="22.5" customHeight="1">
      <c r="A1960" s="21" t="s">
        <v>3925</v>
      </c>
      <c r="B1960" s="21" t="s">
        <v>1215</v>
      </c>
      <c r="C1960" s="21" t="str">
        <f t="array" ref="C1960">XLOOKUP(B1960,Customer[Customer_ID],Customer[Name(Cleaned)])</f>
        <v>Andrew Mason</v>
      </c>
      <c r="D1960" s="22" t="str">
        <f>VLOOKUP(B1960,Customer[#ALL],6)</f>
        <v>Male</v>
      </c>
      <c r="E1960" s="23">
        <f>Sales[Order_Date]</f>
        <v>45637</v>
      </c>
      <c r="F1960" s="21" t="str">
        <f>Sales[Store_ID]</f>
        <v>STORE10</v>
      </c>
      <c r="G1960" s="21" t="str">
        <f t="array" ref="G1960">INDEX(Store[Store_Name],MATCH(F1960,Store[Store_ID],0))</f>
        <v>Hill, Wagner and Ballard</v>
      </c>
      <c r="H1960" s="21" t="str">
        <f>Sales[Product_ID]</f>
        <v>PROD51</v>
      </c>
      <c r="I1960" s="21" t="str">
        <f>VLOOKUP(H1960,Products[],2)</f>
        <v>HDMI Cable – 2m</v>
      </c>
      <c r="J1960" s="24">
        <f>Sales[Total_Amount]</f>
        <v>2286.4674</v>
      </c>
      <c r="K1960" s="21" t="str">
        <f t="shared" si="1"/>
        <v>Dec</v>
      </c>
      <c r="L1960" s="21">
        <f t="shared" si="2"/>
        <v>2024</v>
      </c>
      <c r="N1960" s="33"/>
      <c r="O1960" s="34"/>
    </row>
    <row r="1961" ht="22.5" customHeight="1">
      <c r="A1961" s="21" t="s">
        <v>3926</v>
      </c>
      <c r="B1961" s="21" t="s">
        <v>349</v>
      </c>
      <c r="C1961" s="21" t="str">
        <f t="array" ref="C1961">XLOOKUP(B1961,Customer[Customer_ID],Customer[Name(Cleaned)])</f>
        <v>Amy Fowler</v>
      </c>
      <c r="D1961" s="22" t="str">
        <f>VLOOKUP(B1961,Customer[#ALL],6)</f>
        <v>Male</v>
      </c>
      <c r="E1961" s="23">
        <f>Sales[Order_Date]</f>
        <v>45472</v>
      </c>
      <c r="F1961" s="21" t="str">
        <f>Sales[Store_ID]</f>
        <v>STORE9</v>
      </c>
      <c r="G1961" s="21" t="str">
        <f t="array" ref="G1961">INDEX(Store[Store_Name],MATCH(F1961,Store[Store_ID],0))</f>
        <v>Moore, Padilla and Butler</v>
      </c>
      <c r="H1961" s="21" t="str">
        <f>Sales[Product_ID]</f>
        <v>PROD6</v>
      </c>
      <c r="I1961" s="21" t="str">
        <f>VLOOKUP(H1961,Products[],2)</f>
        <v>Men's Hair Styling Gel</v>
      </c>
      <c r="J1961" s="24">
        <f>Sales[Total_Amount]</f>
        <v>1901.416</v>
      </c>
      <c r="K1961" s="21" t="str">
        <f t="shared" si="1"/>
        <v>Jun</v>
      </c>
      <c r="L1961" s="21">
        <f t="shared" si="2"/>
        <v>2024</v>
      </c>
      <c r="N1961" s="33"/>
      <c r="O1961" s="34"/>
    </row>
    <row r="1962" ht="22.5" customHeight="1">
      <c r="A1962" s="21" t="s">
        <v>3927</v>
      </c>
      <c r="B1962" s="21" t="s">
        <v>501</v>
      </c>
      <c r="C1962" s="21" t="str">
        <f t="array" ref="C1962">XLOOKUP(B1962,Customer[Customer_ID],Customer[Name(Cleaned)])</f>
        <v>Cameron Simpson</v>
      </c>
      <c r="D1962" s="22" t="str">
        <f>VLOOKUP(B1962,Customer[#ALL],6)</f>
        <v>Female</v>
      </c>
      <c r="E1962" s="23">
        <f>Sales[Order_Date]</f>
        <v>45710</v>
      </c>
      <c r="F1962" s="21" t="str">
        <f>Sales[Store_ID]</f>
        <v>STORE6</v>
      </c>
      <c r="G1962" s="21" t="str">
        <f t="array" ref="G1962">INDEX(Store[Store_Name],MATCH(F1962,Store[Store_ID],0))</f>
        <v>Benson-Elliott</v>
      </c>
      <c r="H1962" s="21" t="str">
        <f>Sales[Product_ID]</f>
        <v>PROD43</v>
      </c>
      <c r="I1962" s="21" t="str">
        <f>VLOOKUP(H1962,Products[],2)</f>
        <v>USB External Hard Drive</v>
      </c>
      <c r="J1962" s="24">
        <f>Sales[Total_Amount]</f>
        <v>675.9424</v>
      </c>
      <c r="K1962" s="21" t="str">
        <f t="shared" si="1"/>
        <v>Feb</v>
      </c>
      <c r="L1962" s="21">
        <f t="shared" si="2"/>
        <v>2025</v>
      </c>
      <c r="N1962" s="33"/>
      <c r="O1962" s="34"/>
    </row>
    <row r="1963" ht="22.5" customHeight="1">
      <c r="A1963" s="21" t="s">
        <v>3928</v>
      </c>
      <c r="B1963" s="21" t="s">
        <v>392</v>
      </c>
      <c r="C1963" s="21" t="str">
        <f t="array" ref="C1963">XLOOKUP(B1963,Customer[Customer_ID],Customer[Name(Cleaned)])</f>
        <v>Amy Walker</v>
      </c>
      <c r="D1963" s="22" t="str">
        <f>VLOOKUP(B1963,Customer[#ALL],6)</f>
        <v>Female</v>
      </c>
      <c r="E1963" s="23">
        <f>Sales[Order_Date]</f>
        <v>45682</v>
      </c>
      <c r="F1963" s="21" t="str">
        <f>Sales[Store_ID]</f>
        <v>STORE15</v>
      </c>
      <c r="G1963" s="21" t="str">
        <f t="array" ref="G1963">INDEX(Store[Store_Name],MATCH(F1963,Store[Store_ID],0))</f>
        <v>Shelton PLC</v>
      </c>
      <c r="H1963" s="21" t="str">
        <f>Sales[Product_ID]</f>
        <v>PROD46</v>
      </c>
      <c r="I1963" s="21" t="str">
        <f>VLOOKUP(H1963,Products[],2)</f>
        <v>Men's Winter Jacket</v>
      </c>
      <c r="J1963" s="24">
        <f>Sales[Total_Amount]</f>
        <v>2066.3664</v>
      </c>
      <c r="K1963" s="21" t="str">
        <f t="shared" si="1"/>
        <v>Jan</v>
      </c>
      <c r="L1963" s="21">
        <f t="shared" si="2"/>
        <v>2025</v>
      </c>
      <c r="N1963" s="33"/>
      <c r="O1963" s="34"/>
    </row>
    <row r="1964" ht="22.5" customHeight="1">
      <c r="A1964" s="21" t="s">
        <v>3929</v>
      </c>
      <c r="B1964" s="21" t="s">
        <v>450</v>
      </c>
      <c r="C1964" s="21" t="str">
        <f t="array" ref="C1964">XLOOKUP(B1964,Customer[Customer_ID],Customer[Name(Cleaned)])</f>
        <v>Susan Mcdonald</v>
      </c>
      <c r="D1964" s="22" t="str">
        <f>VLOOKUP(B1964,Customer[#ALL],6)</f>
        <v>Female</v>
      </c>
      <c r="E1964" s="23">
        <f>Sales[Order_Date]</f>
        <v>45730</v>
      </c>
      <c r="F1964" s="21" t="str">
        <f>Sales[Store_ID]</f>
        <v>STORE0</v>
      </c>
      <c r="G1964" s="21" t="str">
        <f t="array" ref="G1964">INDEX(Store[Store_Name],MATCH(F1964,Store[Store_ID],0))</f>
        <v>Rivera-Warner</v>
      </c>
      <c r="H1964" s="21" t="str">
        <f>Sales[Product_ID]</f>
        <v>PROD62</v>
      </c>
      <c r="I1964" s="21" t="str">
        <f>VLOOKUP(H1964,Products[],2)</f>
        <v>Laptop Cooling Pad</v>
      </c>
      <c r="J1964" s="24">
        <f>Sales[Total_Amount]</f>
        <v>711.4296</v>
      </c>
      <c r="K1964" s="21" t="str">
        <f t="shared" si="1"/>
        <v>Mar</v>
      </c>
      <c r="L1964" s="21">
        <f t="shared" si="2"/>
        <v>2025</v>
      </c>
      <c r="N1964" s="33"/>
      <c r="O1964" s="34"/>
    </row>
    <row r="1965" ht="22.5" customHeight="1">
      <c r="A1965" s="21" t="s">
        <v>3930</v>
      </c>
      <c r="B1965" s="21" t="s">
        <v>528</v>
      </c>
      <c r="C1965" s="21" t="str">
        <f t="array" ref="C1965">XLOOKUP(B1965,Customer[Customer_ID],Customer[Name(Cleaned)])</f>
        <v>Julie Hale</v>
      </c>
      <c r="D1965" s="22" t="str">
        <f>VLOOKUP(B1965,Customer[#ALL],6)</f>
        <v>Male</v>
      </c>
      <c r="E1965" s="23">
        <f>Sales[Order_Date]</f>
        <v>45629</v>
      </c>
      <c r="F1965" s="21" t="str">
        <f>Sales[Store_ID]</f>
        <v>STORE14</v>
      </c>
      <c r="G1965" s="21" t="str">
        <f t="array" ref="G1965">INDEX(Store[Store_Name],MATCH(F1965,Store[Store_ID],0))</f>
        <v>Mcdonald Inc</v>
      </c>
      <c r="H1965" s="21" t="str">
        <f>Sales[Product_ID]</f>
        <v>PROD62</v>
      </c>
      <c r="I1965" s="21" t="str">
        <f>VLOOKUP(H1965,Products[],2)</f>
        <v>Laptop Cooling Pad</v>
      </c>
      <c r="J1965" s="24">
        <f>Sales[Total_Amount]</f>
        <v>443.327</v>
      </c>
      <c r="K1965" s="21" t="str">
        <f t="shared" si="1"/>
        <v>Dec</v>
      </c>
      <c r="L1965" s="21">
        <f t="shared" si="2"/>
        <v>2024</v>
      </c>
      <c r="N1965" s="33"/>
      <c r="O1965" s="34"/>
    </row>
    <row r="1966" ht="22.5" customHeight="1">
      <c r="A1966" s="21" t="s">
        <v>3931</v>
      </c>
      <c r="B1966" s="21" t="s">
        <v>809</v>
      </c>
      <c r="C1966" s="21" t="str">
        <f t="array" ref="C1966">XLOOKUP(B1966,Customer[Customer_ID],Customer[Name(Cleaned)])</f>
        <v>Nicholas Webb</v>
      </c>
      <c r="D1966" s="22" t="str">
        <f>VLOOKUP(B1966,Customer[#ALL],6)</f>
        <v>Female</v>
      </c>
      <c r="E1966" s="23">
        <f>Sales[Order_Date]</f>
        <v>45783</v>
      </c>
      <c r="F1966" s="21" t="str">
        <f>Sales[Store_ID]</f>
        <v>STORE18</v>
      </c>
      <c r="G1966" s="21" t="str">
        <f t="array" ref="G1966">INDEX(Store[Store_Name],MATCH(F1966,Store[Store_ID],0))</f>
        <v>Guerrero-Schmitt</v>
      </c>
      <c r="H1966" s="21" t="str">
        <f>Sales[Product_ID]</f>
        <v>PROD39</v>
      </c>
      <c r="I1966" s="21" t="str">
        <f>VLOOKUP(H1966,Products[],2)</f>
        <v>Portable Power Bank</v>
      </c>
      <c r="J1966" s="24">
        <f>Sales[Total_Amount]</f>
        <v>1255.8393</v>
      </c>
      <c r="K1966" s="21" t="str">
        <f t="shared" si="1"/>
        <v>May</v>
      </c>
      <c r="L1966" s="21">
        <f t="shared" si="2"/>
        <v>2025</v>
      </c>
      <c r="N1966" s="33"/>
      <c r="O1966" s="34"/>
    </row>
    <row r="1967" ht="22.5" customHeight="1">
      <c r="A1967" s="21" t="s">
        <v>3932</v>
      </c>
      <c r="B1967" s="21" t="s">
        <v>1520</v>
      </c>
      <c r="C1967" s="21" t="str">
        <f t="array" ref="C1967">XLOOKUP(B1967,Customer[Customer_ID],Customer[Name(Cleaned)])</f>
        <v>Melinda Thomas</v>
      </c>
      <c r="D1967" s="22" t="str">
        <f>VLOOKUP(B1967,Customer[#ALL],6)</f>
        <v>Male</v>
      </c>
      <c r="E1967" s="23">
        <f>Sales[Order_Date]</f>
        <v>45518</v>
      </c>
      <c r="F1967" s="21" t="str">
        <f>Sales[Store_ID]</f>
        <v>STORE1</v>
      </c>
      <c r="G1967" s="21" t="str">
        <f t="array" ref="G1967">INDEX(Store[Store_Name],MATCH(F1967,Store[Store_ID],0))</f>
        <v>Martinez, Adkins and Johnson</v>
      </c>
      <c r="H1967" s="21" t="str">
        <f>Sales[Product_ID]</f>
        <v>PROD92</v>
      </c>
      <c r="I1967" s="21" t="str">
        <f>VLOOKUP(H1967,Products[],2)</f>
        <v>Microwave Oven</v>
      </c>
      <c r="J1967" s="24">
        <f>Sales[Total_Amount]</f>
        <v>1583.806</v>
      </c>
      <c r="K1967" s="21" t="str">
        <f t="shared" si="1"/>
        <v>Aug</v>
      </c>
      <c r="L1967" s="21">
        <f t="shared" si="2"/>
        <v>2024</v>
      </c>
      <c r="N1967" s="33"/>
      <c r="O1967" s="34"/>
    </row>
    <row r="1968" ht="22.5" customHeight="1">
      <c r="A1968" s="21" t="s">
        <v>3933</v>
      </c>
      <c r="B1968" s="21" t="s">
        <v>1032</v>
      </c>
      <c r="C1968" s="21" t="str">
        <f t="array" ref="C1968">XLOOKUP(B1968,Customer[Customer_ID],Customer[Name(Cleaned)])</f>
        <v>Kristy Dunlap</v>
      </c>
      <c r="D1968" s="22" t="str">
        <f>VLOOKUP(B1968,Customer[#ALL],6)</f>
        <v>Male</v>
      </c>
      <c r="E1968" s="23">
        <f>Sales[Order_Date]</f>
        <v>45274</v>
      </c>
      <c r="F1968" s="21" t="str">
        <f>Sales[Store_ID]</f>
        <v>STORE7</v>
      </c>
      <c r="G1968" s="21" t="str">
        <f t="array" ref="G1968">INDEX(Store[Store_Name],MATCH(F1968,Store[Store_ID],0))</f>
        <v>Martinez-Mullins</v>
      </c>
      <c r="H1968" s="21" t="str">
        <f>Sales[Product_ID]</f>
        <v>PROD65</v>
      </c>
      <c r="I1968" s="21" t="str">
        <f>VLOOKUP(H1968,Products[],2)</f>
        <v>Adjustable Dumbbells 20kg</v>
      </c>
      <c r="J1968" s="24">
        <f>Sales[Total_Amount]</f>
        <v>355.2384</v>
      </c>
      <c r="K1968" s="21" t="str">
        <f t="shared" si="1"/>
        <v>Dec</v>
      </c>
      <c r="L1968" s="21">
        <f t="shared" si="2"/>
        <v>2023</v>
      </c>
      <c r="N1968" s="33"/>
      <c r="O1968" s="34"/>
    </row>
    <row r="1969" ht="22.5" customHeight="1">
      <c r="A1969" s="21" t="s">
        <v>3934</v>
      </c>
      <c r="B1969" s="21" t="s">
        <v>926</v>
      </c>
      <c r="C1969" s="21" t="str">
        <f t="array" ref="C1969">XLOOKUP(B1969,Customer[Customer_ID],Customer[Name(Cleaned)])</f>
        <v>Cynthia Roberts</v>
      </c>
      <c r="D1969" s="22" t="str">
        <f>VLOOKUP(B1969,Customer[#ALL],6)</f>
        <v>Male</v>
      </c>
      <c r="E1969" s="23">
        <f>Sales[Order_Date]</f>
        <v>45587</v>
      </c>
      <c r="F1969" s="21" t="str">
        <f>Sales[Store_ID]</f>
        <v>STORE3</v>
      </c>
      <c r="G1969" s="21" t="str">
        <f t="array" ref="G1969">INDEX(Store[Store_Name],MATCH(F1969,Store[Store_ID],0))</f>
        <v>Johnson-Wright</v>
      </c>
      <c r="H1969" s="21" t="str">
        <f>Sales[Product_ID]</f>
        <v>PROD3</v>
      </c>
      <c r="I1969" s="21" t="str">
        <f>VLOOKUP(H1969,Products[],2)</f>
        <v>Fabric Sofa Throw Blanket</v>
      </c>
      <c r="J1969" s="24">
        <f>Sales[Total_Amount]</f>
        <v>1669.3068</v>
      </c>
      <c r="K1969" s="21" t="str">
        <f t="shared" si="1"/>
        <v>Oct</v>
      </c>
      <c r="L1969" s="21">
        <f t="shared" si="2"/>
        <v>2024</v>
      </c>
      <c r="N1969" s="33"/>
      <c r="O1969" s="34"/>
    </row>
    <row r="1970" ht="22.5" customHeight="1">
      <c r="A1970" s="21" t="s">
        <v>3935</v>
      </c>
      <c r="B1970" s="21" t="s">
        <v>235</v>
      </c>
      <c r="C1970" s="21" t="str">
        <f t="array" ref="C1970">XLOOKUP(B1970,Customer[Customer_ID],Customer[Name(Cleaned)])</f>
        <v>Kristin Stein</v>
      </c>
      <c r="D1970" s="22" t="str">
        <f>VLOOKUP(B1970,Customer[#ALL],6)</f>
        <v>Female</v>
      </c>
      <c r="E1970" s="23">
        <f>Sales[Order_Date]</f>
        <v>45297</v>
      </c>
      <c r="F1970" s="21" t="str">
        <f>Sales[Store_ID]</f>
        <v>STORE19</v>
      </c>
      <c r="G1970" s="21" t="str">
        <f t="array" ref="G1970">INDEX(Store[Store_Name],MATCH(F1970,Store[Store_ID],0))</f>
        <v>Mann-Austin</v>
      </c>
      <c r="H1970" s="21" t="str">
        <f>Sales[Product_ID]</f>
        <v>PROD96</v>
      </c>
      <c r="I1970" s="21" t="str">
        <f>VLOOKUP(H1970,Products[],2)</f>
        <v>Women's Formal Blazer</v>
      </c>
      <c r="J1970" s="24">
        <f>Sales[Total_Amount]</f>
        <v>1813.1728</v>
      </c>
      <c r="K1970" s="21" t="str">
        <f t="shared" si="1"/>
        <v>Jan</v>
      </c>
      <c r="L1970" s="21">
        <f t="shared" si="2"/>
        <v>2024</v>
      </c>
      <c r="N1970" s="33"/>
      <c r="O1970" s="34"/>
    </row>
    <row r="1971" ht="22.5" customHeight="1">
      <c r="A1971" s="21" t="s">
        <v>3936</v>
      </c>
      <c r="B1971" s="21" t="s">
        <v>905</v>
      </c>
      <c r="C1971" s="21" t="str">
        <f t="array" ref="C1971">XLOOKUP(B1971,Customer[Customer_ID],Customer[Name(Cleaned)])</f>
        <v>Antonio Leon</v>
      </c>
      <c r="D1971" s="22" t="str">
        <f>VLOOKUP(B1971,Customer[#ALL],6)</f>
        <v>Female</v>
      </c>
      <c r="E1971" s="23">
        <f>Sales[Order_Date]</f>
        <v>45530</v>
      </c>
      <c r="F1971" s="21" t="str">
        <f>Sales[Store_ID]</f>
        <v>STORE13</v>
      </c>
      <c r="G1971" s="21" t="str">
        <f t="array" ref="G1971">INDEX(Store[Store_Name],MATCH(F1971,Store[Store_ID],0))</f>
        <v>Gardner, Humphrey and Contreras</v>
      </c>
      <c r="H1971" s="21" t="str">
        <f>Sales[Product_ID]</f>
        <v>PROD91</v>
      </c>
      <c r="I1971" s="21" t="str">
        <f>VLOOKUP(H1971,Products[],2)</f>
        <v>Women's High Heels</v>
      </c>
      <c r="J1971" s="24">
        <f>Sales[Total_Amount]</f>
        <v>2593.9104</v>
      </c>
      <c r="K1971" s="21" t="str">
        <f t="shared" si="1"/>
        <v>Aug</v>
      </c>
      <c r="L1971" s="21">
        <f t="shared" si="2"/>
        <v>2024</v>
      </c>
      <c r="N1971" s="33"/>
      <c r="O1971" s="34"/>
    </row>
    <row r="1972" ht="22.5" customHeight="1">
      <c r="A1972" s="21" t="s">
        <v>3937</v>
      </c>
      <c r="B1972" s="21" t="s">
        <v>1279</v>
      </c>
      <c r="C1972" s="21" t="str">
        <f t="array" ref="C1972">XLOOKUP(B1972,Customer[Customer_ID],Customer[Name(Cleaned)])</f>
        <v>David Lozano</v>
      </c>
      <c r="D1972" s="22" t="str">
        <f>VLOOKUP(B1972,Customer[#ALL],6)</f>
        <v>Male</v>
      </c>
      <c r="E1972" s="23">
        <f>Sales[Order_Date]</f>
        <v>45740</v>
      </c>
      <c r="F1972" s="21" t="str">
        <f>Sales[Store_ID]</f>
        <v>STORE16</v>
      </c>
      <c r="G1972" s="21" t="str">
        <f t="array" ref="G1972">INDEX(Store[Store_Name],MATCH(F1972,Store[Store_ID],0))</f>
        <v>Frederick-Wright</v>
      </c>
      <c r="H1972" s="21" t="str">
        <f>Sales[Product_ID]</f>
        <v>PROD3</v>
      </c>
      <c r="I1972" s="21" t="str">
        <f>VLOOKUP(H1972,Products[],2)</f>
        <v>Fabric Sofa Throw Blanket</v>
      </c>
      <c r="J1972" s="24">
        <f>Sales[Total_Amount]</f>
        <v>326.0007</v>
      </c>
      <c r="K1972" s="21" t="str">
        <f t="shared" si="1"/>
        <v>Mar</v>
      </c>
      <c r="L1972" s="21">
        <f t="shared" si="2"/>
        <v>2025</v>
      </c>
      <c r="N1972" s="33"/>
      <c r="O1972" s="34"/>
    </row>
    <row r="1973" ht="22.5" customHeight="1">
      <c r="A1973" s="21" t="s">
        <v>3938</v>
      </c>
      <c r="B1973" s="21" t="s">
        <v>1268</v>
      </c>
      <c r="C1973" s="21" t="str">
        <f t="array" ref="C1973">XLOOKUP(B1973,Customer[Customer_ID],Customer[Name(Cleaned)])</f>
        <v>Cassandra Perez</v>
      </c>
      <c r="D1973" s="22" t="str">
        <f>VLOOKUP(B1973,Customer[#ALL],6)</f>
        <v>Female</v>
      </c>
      <c r="E1973" s="23">
        <f>Sales[Order_Date]</f>
        <v>45311</v>
      </c>
      <c r="F1973" s="21" t="str">
        <f>Sales[Store_ID]</f>
        <v>STORE18</v>
      </c>
      <c r="G1973" s="21" t="str">
        <f t="array" ref="G1973">INDEX(Store[Store_Name],MATCH(F1973,Store[Store_ID],0))</f>
        <v>Guerrero-Schmitt</v>
      </c>
      <c r="H1973" s="21" t="str">
        <f>Sales[Product_ID]</f>
        <v>PROD54</v>
      </c>
      <c r="I1973" s="21" t="str">
        <f>VLOOKUP(H1973,Products[],2)</f>
        <v>Sports Stopwatch Pro</v>
      </c>
      <c r="J1973" s="24">
        <f>Sales[Total_Amount]</f>
        <v>803.016</v>
      </c>
      <c r="K1973" s="21" t="str">
        <f t="shared" si="1"/>
        <v>Jan</v>
      </c>
      <c r="L1973" s="21">
        <f t="shared" si="2"/>
        <v>2024</v>
      </c>
      <c r="N1973" s="33"/>
      <c r="O1973" s="34"/>
    </row>
    <row r="1974" ht="22.5" customHeight="1">
      <c r="A1974" s="21" t="s">
        <v>3939</v>
      </c>
      <c r="B1974" s="21" t="s">
        <v>1390</v>
      </c>
      <c r="C1974" s="21" t="str">
        <f t="array" ref="C1974">XLOOKUP(B1974,Customer[Customer_ID],Customer[Name(Cleaned)])</f>
        <v>Cheryl Carr</v>
      </c>
      <c r="D1974" s="22" t="str">
        <f>VLOOKUP(B1974,Customer[#ALL],6)</f>
        <v>Female</v>
      </c>
      <c r="E1974" s="23">
        <f>Sales[Order_Date]</f>
        <v>45667</v>
      </c>
      <c r="F1974" s="21" t="str">
        <f>Sales[Store_ID]</f>
        <v>STORE6</v>
      </c>
      <c r="G1974" s="21" t="str">
        <f t="array" ref="G1974">INDEX(Store[Store_Name],MATCH(F1974,Store[Store_ID],0))</f>
        <v>Benson-Elliott</v>
      </c>
      <c r="H1974" s="21" t="str">
        <f>Sales[Product_ID]</f>
        <v>PROD10</v>
      </c>
      <c r="I1974" s="21" t="str">
        <f>VLOOKUP(H1974,Products[],2)</f>
        <v>Men's Graphic T-Shirt</v>
      </c>
      <c r="J1974" s="24">
        <f>Sales[Total_Amount]</f>
        <v>1799.55</v>
      </c>
      <c r="K1974" s="21" t="str">
        <f t="shared" si="1"/>
        <v>Jan</v>
      </c>
      <c r="L1974" s="21">
        <f t="shared" si="2"/>
        <v>2025</v>
      </c>
      <c r="N1974" s="33"/>
      <c r="O1974" s="34"/>
    </row>
    <row r="1975" ht="22.5" customHeight="1">
      <c r="A1975" s="21" t="s">
        <v>3940</v>
      </c>
      <c r="B1975" s="21" t="s">
        <v>972</v>
      </c>
      <c r="C1975" s="21" t="str">
        <f t="array" ref="C1975">XLOOKUP(B1975,Customer[Customer_ID],Customer[Name(Cleaned)])</f>
        <v>John Sloan</v>
      </c>
      <c r="D1975" s="22" t="str">
        <f>VLOOKUP(B1975,Customer[#ALL],6)</f>
        <v>Male</v>
      </c>
      <c r="E1975" s="23">
        <f>Sales[Order_Date]</f>
        <v>45281</v>
      </c>
      <c r="F1975" s="21" t="str">
        <f>Sales[Store_ID]</f>
        <v>STORE9</v>
      </c>
      <c r="G1975" s="21" t="str">
        <f t="array" ref="G1975">INDEX(Store[Store_Name],MATCH(F1975,Store[Store_ID],0))</f>
        <v>Moore, Padilla and Butler</v>
      </c>
      <c r="H1975" s="21" t="str">
        <f>Sales[Product_ID]</f>
        <v>PROD16</v>
      </c>
      <c r="I1975" s="21" t="str">
        <f>VLOOKUP(H1975,Products[],2)</f>
        <v>Beard Grooming Kit</v>
      </c>
      <c r="J1975" s="24">
        <f>Sales[Total_Amount]</f>
        <v>113.0128</v>
      </c>
      <c r="K1975" s="21" t="str">
        <f t="shared" si="1"/>
        <v>Dec</v>
      </c>
      <c r="L1975" s="21">
        <f t="shared" si="2"/>
        <v>2023</v>
      </c>
      <c r="N1975" s="33"/>
      <c r="O1975" s="34"/>
    </row>
    <row r="1976" ht="22.5" customHeight="1">
      <c r="A1976" s="21" t="s">
        <v>3941</v>
      </c>
      <c r="B1976" s="21" t="s">
        <v>812</v>
      </c>
      <c r="C1976" s="21" t="str">
        <f t="array" ref="C1976">XLOOKUP(B1976,Customer[Customer_ID],Customer[Name(Cleaned)])</f>
        <v>Lauren George</v>
      </c>
      <c r="D1976" s="22" t="str">
        <f>VLOOKUP(B1976,Customer[#ALL],6)</f>
        <v>Male</v>
      </c>
      <c r="E1976" s="23">
        <f>Sales[Order_Date]</f>
        <v>45693</v>
      </c>
      <c r="F1976" s="21" t="str">
        <f>Sales[Store_ID]</f>
        <v>STORE10</v>
      </c>
      <c r="G1976" s="21" t="str">
        <f t="array" ref="G1976">INDEX(Store[Store_Name],MATCH(F1976,Store[Store_ID],0))</f>
        <v>Hill, Wagner and Ballard</v>
      </c>
      <c r="H1976" s="21" t="str">
        <f>Sales[Product_ID]</f>
        <v>PROD19</v>
      </c>
      <c r="I1976" s="21" t="str">
        <f>VLOOKUP(H1976,Products[],2)</f>
        <v>Knee Support Brace</v>
      </c>
      <c r="J1976" s="24">
        <f>Sales[Total_Amount]</f>
        <v>820.8992</v>
      </c>
      <c r="K1976" s="21" t="str">
        <f t="shared" si="1"/>
        <v>Feb</v>
      </c>
      <c r="L1976" s="21">
        <f t="shared" si="2"/>
        <v>2025</v>
      </c>
      <c r="N1976" s="33"/>
      <c r="O1976" s="34"/>
    </row>
    <row r="1977" ht="22.5" customHeight="1">
      <c r="A1977" s="21" t="s">
        <v>3942</v>
      </c>
      <c r="B1977" s="21" t="s">
        <v>361</v>
      </c>
      <c r="C1977" s="21" t="str">
        <f t="array" ref="C1977">XLOOKUP(B1977,Customer[Customer_ID],Customer[Name(Cleaned)])</f>
        <v>Sheila Wilson</v>
      </c>
      <c r="D1977" s="22" t="str">
        <f>VLOOKUP(B1977,Customer[#ALL],6)</f>
        <v>Female</v>
      </c>
      <c r="E1977" s="23">
        <f>Sales[Order_Date]</f>
        <v>45857</v>
      </c>
      <c r="F1977" s="21" t="str">
        <f>Sales[Store_ID]</f>
        <v>STORE5</v>
      </c>
      <c r="G1977" s="21" t="str">
        <f t="array" ref="G1977">INDEX(Store[Store_Name],MATCH(F1977,Store[Store_ID],0))</f>
        <v>Gray Ltd</v>
      </c>
      <c r="H1977" s="21" t="str">
        <f>Sales[Product_ID]</f>
        <v>PROD31</v>
      </c>
      <c r="I1977" s="21" t="str">
        <f>VLOOKUP(H1977,Products[],2)</f>
        <v>Basketball</v>
      </c>
      <c r="J1977" s="24">
        <f>Sales[Total_Amount]</f>
        <v>1968.1116</v>
      </c>
      <c r="K1977" s="21" t="str">
        <f t="shared" si="1"/>
        <v>Jul</v>
      </c>
      <c r="L1977" s="21">
        <f t="shared" si="2"/>
        <v>2025</v>
      </c>
      <c r="N1977" s="33"/>
      <c r="O1977" s="34"/>
    </row>
    <row r="1978" ht="22.5" customHeight="1">
      <c r="A1978" s="21" t="s">
        <v>3943</v>
      </c>
      <c r="B1978" s="21" t="s">
        <v>957</v>
      </c>
      <c r="C1978" s="21" t="str">
        <f t="array" ref="C1978">XLOOKUP(B1978,Customer[Customer_ID],Customer[Name(Cleaned)])</f>
        <v>Tracy Stephens</v>
      </c>
      <c r="D1978" s="22" t="str">
        <f>VLOOKUP(B1978,Customer[#ALL],6)</f>
        <v>Female</v>
      </c>
      <c r="E1978" s="23">
        <f>Sales[Order_Date]</f>
        <v>45737</v>
      </c>
      <c r="F1978" s="21" t="str">
        <f>Sales[Store_ID]</f>
        <v>STORE13</v>
      </c>
      <c r="G1978" s="21" t="str">
        <f t="array" ref="G1978">INDEX(Store[Store_Name],MATCH(F1978,Store[Store_ID],0))</f>
        <v>Gardner, Humphrey and Contreras</v>
      </c>
      <c r="H1978" s="21" t="str">
        <f>Sales[Product_ID]</f>
        <v>PROD19</v>
      </c>
      <c r="I1978" s="21" t="str">
        <f>VLOOKUP(H1978,Products[],2)</f>
        <v>Knee Support Brace</v>
      </c>
      <c r="J1978" s="24">
        <f>Sales[Total_Amount]</f>
        <v>1930.761</v>
      </c>
      <c r="K1978" s="21" t="str">
        <f t="shared" si="1"/>
        <v>Mar</v>
      </c>
      <c r="L1978" s="21">
        <f t="shared" si="2"/>
        <v>2025</v>
      </c>
      <c r="N1978" s="33"/>
      <c r="O1978" s="34"/>
    </row>
    <row r="1979" ht="22.5" customHeight="1">
      <c r="A1979" s="21" t="s">
        <v>3944</v>
      </c>
      <c r="B1979" s="21" t="s">
        <v>1047</v>
      </c>
      <c r="C1979" s="21" t="str">
        <f t="array" ref="C1979">XLOOKUP(B1979,Customer[Customer_ID],Customer[Name(Cleaned)])</f>
        <v>Mario Harvey Jr.</v>
      </c>
      <c r="D1979" s="22" t="str">
        <f>VLOOKUP(B1979,Customer[#ALL],6)</f>
        <v>Female</v>
      </c>
      <c r="E1979" s="23">
        <f>Sales[Order_Date]</f>
        <v>45771</v>
      </c>
      <c r="F1979" s="21" t="str">
        <f>Sales[Store_ID]</f>
        <v>STORE1</v>
      </c>
      <c r="G1979" s="21" t="str">
        <f t="array" ref="G1979">INDEX(Store[Store_Name],MATCH(F1979,Store[Store_ID],0))</f>
        <v>Martinez, Adkins and Johnson</v>
      </c>
      <c r="H1979" s="21" t="str">
        <f>Sales[Product_ID]</f>
        <v>PROD21</v>
      </c>
      <c r="I1979" s="21" t="str">
        <f>VLOOKUP(H1979,Products[],2)</f>
        <v>Multi-Purpose Storage Box</v>
      </c>
      <c r="J1979" s="24">
        <f>Sales[Total_Amount]</f>
        <v>1733.2566</v>
      </c>
      <c r="K1979" s="21" t="str">
        <f t="shared" si="1"/>
        <v>Apr</v>
      </c>
      <c r="L1979" s="21">
        <f t="shared" si="2"/>
        <v>2025</v>
      </c>
      <c r="N1979" s="33"/>
      <c r="O1979" s="34"/>
    </row>
    <row r="1980" ht="22.5" customHeight="1">
      <c r="A1980" s="21" t="s">
        <v>3945</v>
      </c>
      <c r="B1980" s="21" t="s">
        <v>460</v>
      </c>
      <c r="C1980" s="21" t="str">
        <f t="array" ref="C1980">XLOOKUP(B1980,Customer[Customer_ID],Customer[Name(Cleaned)])</f>
        <v>Joseph Richards</v>
      </c>
      <c r="D1980" s="22" t="str">
        <f>VLOOKUP(B1980,Customer[#ALL],6)</f>
        <v>Male</v>
      </c>
      <c r="E1980" s="23">
        <f>Sales[Order_Date]</f>
        <v>45580</v>
      </c>
      <c r="F1980" s="21" t="str">
        <f>Sales[Store_ID]</f>
        <v>STORE7</v>
      </c>
      <c r="G1980" s="21" t="str">
        <f t="array" ref="G1980">INDEX(Store[Store_Name],MATCH(F1980,Store[Store_ID],0))</f>
        <v>Martinez-Mullins</v>
      </c>
      <c r="H1980" s="21" t="str">
        <f>Sales[Product_ID]</f>
        <v>PROD56</v>
      </c>
      <c r="I1980" s="21" t="str">
        <f>VLOOKUP(H1980,Products[],2)</f>
        <v>Premium Blanket Throw</v>
      </c>
      <c r="J1980" s="24">
        <f>Sales[Total_Amount]</f>
        <v>1581.2496</v>
      </c>
      <c r="K1980" s="21" t="str">
        <f t="shared" si="1"/>
        <v>Oct</v>
      </c>
      <c r="L1980" s="21">
        <f t="shared" si="2"/>
        <v>2024</v>
      </c>
      <c r="N1980" s="33"/>
      <c r="O1980" s="34"/>
    </row>
    <row r="1981" ht="22.5" customHeight="1">
      <c r="A1981" s="21" t="s">
        <v>3946</v>
      </c>
      <c r="B1981" s="21" t="s">
        <v>761</v>
      </c>
      <c r="C1981" s="21" t="str">
        <f t="array" ref="C1981">XLOOKUP(B1981,Customer[Customer_ID],Customer[Name(Cleaned)])</f>
        <v>Christy Hill</v>
      </c>
      <c r="D1981" s="22" t="str">
        <f>VLOOKUP(B1981,Customer[#ALL],6)</f>
        <v>Male</v>
      </c>
      <c r="E1981" s="23">
        <f>Sales[Order_Date]</f>
        <v>45272</v>
      </c>
      <c r="F1981" s="21" t="str">
        <f>Sales[Store_ID]</f>
        <v>STORE8</v>
      </c>
      <c r="G1981" s="21" t="str">
        <f t="array" ref="G1981">INDEX(Store[Store_Name],MATCH(F1981,Store[Store_ID],0))</f>
        <v>Bean, Jones and Park</v>
      </c>
      <c r="H1981" s="21" t="str">
        <f>Sales[Product_ID]</f>
        <v>PROD66</v>
      </c>
      <c r="I1981" s="21" t="str">
        <f>VLOOKUP(H1981,Products[],2)</f>
        <v>Women's Hair Dryer Brush</v>
      </c>
      <c r="J1981" s="24">
        <f>Sales[Total_Amount]</f>
        <v>2312.2912</v>
      </c>
      <c r="K1981" s="21" t="str">
        <f t="shared" si="1"/>
        <v>Dec</v>
      </c>
      <c r="L1981" s="21">
        <f t="shared" si="2"/>
        <v>2023</v>
      </c>
      <c r="N1981" s="33"/>
      <c r="O1981" s="34"/>
    </row>
    <row r="1982" ht="22.5" customHeight="1">
      <c r="A1982" s="21" t="s">
        <v>3947</v>
      </c>
      <c r="B1982" s="21" t="s">
        <v>1393</v>
      </c>
      <c r="C1982" s="21" t="str">
        <f t="array" ref="C1982">XLOOKUP(B1982,Customer[Customer_ID],Customer[Name(Cleaned)])</f>
        <v>Gene Lee</v>
      </c>
      <c r="D1982" s="22" t="str">
        <f>VLOOKUP(B1982,Customer[#ALL],6)</f>
        <v>Male</v>
      </c>
      <c r="E1982" s="23">
        <f>Sales[Order_Date]</f>
        <v>45481</v>
      </c>
      <c r="F1982" s="21" t="str">
        <f>Sales[Store_ID]</f>
        <v>STORE8</v>
      </c>
      <c r="G1982" s="21" t="str">
        <f t="array" ref="G1982">INDEX(Store[Store_Name],MATCH(F1982,Store[Store_ID],0))</f>
        <v>Bean, Jones and Park</v>
      </c>
      <c r="H1982" s="21" t="str">
        <f>Sales[Product_ID]</f>
        <v>PROD85</v>
      </c>
      <c r="I1982" s="21" t="str">
        <f>VLOOKUP(H1982,Products[],2)</f>
        <v>Women's Beanie Hat</v>
      </c>
      <c r="J1982" s="24">
        <f>Sales[Total_Amount]</f>
        <v>1472.5308</v>
      </c>
      <c r="K1982" s="21" t="str">
        <f t="shared" si="1"/>
        <v>Jul</v>
      </c>
      <c r="L1982" s="21">
        <f t="shared" si="2"/>
        <v>2024</v>
      </c>
      <c r="N1982" s="33"/>
      <c r="O1982" s="34"/>
    </row>
    <row r="1983" ht="22.5" customHeight="1">
      <c r="A1983" s="21" t="s">
        <v>3948</v>
      </c>
      <c r="B1983" s="21" t="s">
        <v>561</v>
      </c>
      <c r="C1983" s="21" t="str">
        <f t="array" ref="C1983">XLOOKUP(B1983,Customer[Customer_ID],Customer[Name(Cleaned)])</f>
        <v>Jason Wheeler</v>
      </c>
      <c r="D1983" s="22" t="str">
        <f>VLOOKUP(B1983,Customer[#ALL],6)</f>
        <v>Male</v>
      </c>
      <c r="E1983" s="23">
        <f>Sales[Order_Date]</f>
        <v>45228</v>
      </c>
      <c r="F1983" s="21" t="str">
        <f>Sales[Store_ID]</f>
        <v>STORE8</v>
      </c>
      <c r="G1983" s="21" t="str">
        <f t="array" ref="G1983">INDEX(Store[Store_Name],MATCH(F1983,Store[Store_ID],0))</f>
        <v>Bean, Jones and Park</v>
      </c>
      <c r="H1983" s="21" t="str">
        <f>Sales[Product_ID]</f>
        <v>PROD31</v>
      </c>
      <c r="I1983" s="21" t="str">
        <f>VLOOKUP(H1983,Products[],2)</f>
        <v>Basketball</v>
      </c>
      <c r="J1983" s="24">
        <f>Sales[Total_Amount]</f>
        <v>2090.2724</v>
      </c>
      <c r="K1983" s="21" t="str">
        <f t="shared" si="1"/>
        <v>Oct</v>
      </c>
      <c r="L1983" s="21">
        <f t="shared" si="2"/>
        <v>2023</v>
      </c>
      <c r="N1983" s="33"/>
      <c r="O1983" s="34"/>
    </row>
    <row r="1984" ht="22.5" customHeight="1">
      <c r="A1984" s="21" t="s">
        <v>3949</v>
      </c>
      <c r="B1984" s="21" t="s">
        <v>326</v>
      </c>
      <c r="C1984" s="21" t="str">
        <f t="array" ref="C1984">XLOOKUP(B1984,Customer[Customer_ID],Customer[Name(Cleaned)])</f>
        <v>Timothy Wright</v>
      </c>
      <c r="D1984" s="22" t="str">
        <f>VLOOKUP(B1984,Customer[#ALL],6)</f>
        <v>Female</v>
      </c>
      <c r="E1984" s="23">
        <f>Sales[Order_Date]</f>
        <v>45432</v>
      </c>
      <c r="F1984" s="21" t="str">
        <f>Sales[Store_ID]</f>
        <v>STORE8</v>
      </c>
      <c r="G1984" s="21" t="str">
        <f t="array" ref="G1984">INDEX(Store[Store_Name],MATCH(F1984,Store[Store_ID],0))</f>
        <v>Bean, Jones and Park</v>
      </c>
      <c r="H1984" s="21" t="str">
        <f>Sales[Product_ID]</f>
        <v>PROD66</v>
      </c>
      <c r="I1984" s="21" t="str">
        <f>VLOOKUP(H1984,Products[],2)</f>
        <v>Women's Hair Dryer Brush</v>
      </c>
      <c r="J1984" s="24">
        <f>Sales[Total_Amount]</f>
        <v>1690.7814</v>
      </c>
      <c r="K1984" s="21" t="str">
        <f t="shared" si="1"/>
        <v>May</v>
      </c>
      <c r="L1984" s="21">
        <f t="shared" si="2"/>
        <v>2024</v>
      </c>
      <c r="N1984" s="33"/>
      <c r="O1984" s="34"/>
    </row>
    <row r="1985" ht="22.5" customHeight="1">
      <c r="A1985" s="21" t="s">
        <v>3950</v>
      </c>
      <c r="B1985" s="21" t="s">
        <v>1526</v>
      </c>
      <c r="C1985" s="21" t="str">
        <f t="array" ref="C1985">XLOOKUP(B1985,Customer[Customer_ID],Customer[Name(Cleaned)])</f>
        <v>Kaitlin Brown</v>
      </c>
      <c r="D1985" s="22" t="str">
        <f>VLOOKUP(B1985,Customer[#ALL],6)</f>
        <v>Male</v>
      </c>
      <c r="E1985" s="23">
        <f>Sales[Order_Date]</f>
        <v>45914</v>
      </c>
      <c r="F1985" s="21" t="str">
        <f>Sales[Store_ID]</f>
        <v>STORE4</v>
      </c>
      <c r="G1985" s="21" t="str">
        <f t="array" ref="G1985">INDEX(Store[Store_Name],MATCH(F1985,Store[Store_ID],0))</f>
        <v>Alexander Group</v>
      </c>
      <c r="H1985" s="21" t="str">
        <f>Sales[Product_ID]</f>
        <v>PROD29</v>
      </c>
      <c r="I1985" s="21" t="str">
        <f>VLOOKUP(H1985,Products[],2)</f>
        <v>Fabric Sofa Throw Blanket</v>
      </c>
      <c r="J1985" s="24">
        <f>Sales[Total_Amount]</f>
        <v>1377.6432</v>
      </c>
      <c r="K1985" s="21" t="str">
        <f t="shared" si="1"/>
        <v>Sep</v>
      </c>
      <c r="L1985" s="21">
        <f t="shared" si="2"/>
        <v>2025</v>
      </c>
      <c r="N1985" s="33"/>
      <c r="O1985" s="34"/>
    </row>
    <row r="1986" ht="22.5" customHeight="1">
      <c r="A1986" s="21" t="s">
        <v>3951</v>
      </c>
      <c r="B1986" s="21" t="s">
        <v>216</v>
      </c>
      <c r="C1986" s="21" t="str">
        <f t="array" ref="C1986">XLOOKUP(B1986,Customer[Customer_ID],Customer[Name(Cleaned)])</f>
        <v>Wayne Mcpherson</v>
      </c>
      <c r="D1986" s="22" t="str">
        <f>VLOOKUP(B1986,Customer[#ALL],6)</f>
        <v>Male</v>
      </c>
      <c r="E1986" s="23">
        <f>Sales[Order_Date]</f>
        <v>45758</v>
      </c>
      <c r="F1986" s="21" t="str">
        <f>Sales[Store_ID]</f>
        <v>STORE11</v>
      </c>
      <c r="G1986" s="21" t="str">
        <f t="array" ref="G1986">INDEX(Store[Store_Name],MATCH(F1986,Store[Store_ID],0))</f>
        <v>Aguirre-Keller</v>
      </c>
      <c r="H1986" s="21" t="str">
        <f>Sales[Product_ID]</f>
        <v>PROD1</v>
      </c>
      <c r="I1986" s="21" t="str">
        <f>VLOOKUP(H1986,Products[],2)</f>
        <v>Men's Graphic T-Shirt</v>
      </c>
      <c r="J1986" s="24">
        <f>Sales[Total_Amount]</f>
        <v>3133.7256</v>
      </c>
      <c r="K1986" s="21" t="str">
        <f t="shared" si="1"/>
        <v>Apr</v>
      </c>
      <c r="L1986" s="21">
        <f t="shared" si="2"/>
        <v>2025</v>
      </c>
      <c r="N1986" s="33"/>
      <c r="O1986" s="34"/>
    </row>
    <row r="1987" ht="22.5" customHeight="1">
      <c r="A1987" s="21" t="s">
        <v>3952</v>
      </c>
      <c r="B1987" s="21" t="s">
        <v>1503</v>
      </c>
      <c r="C1987" s="21" t="str">
        <f t="array" ref="C1987">XLOOKUP(B1987,Customer[Customer_ID],Customer[Name(Cleaned)])</f>
        <v>Sarah Smith</v>
      </c>
      <c r="D1987" s="22" t="str">
        <f>VLOOKUP(B1987,Customer[#ALL],6)</f>
        <v>Female</v>
      </c>
      <c r="E1987" s="23">
        <f>Sales[Order_Date]</f>
        <v>45429</v>
      </c>
      <c r="F1987" s="21" t="str">
        <f>Sales[Store_ID]</f>
        <v>STORE11</v>
      </c>
      <c r="G1987" s="21" t="str">
        <f t="array" ref="G1987">INDEX(Store[Store_Name],MATCH(F1987,Store[Store_ID],0))</f>
        <v>Aguirre-Keller</v>
      </c>
      <c r="H1987" s="21" t="str">
        <f>Sales[Product_ID]</f>
        <v>PROD51</v>
      </c>
      <c r="I1987" s="21" t="str">
        <f>VLOOKUP(H1987,Products[],2)</f>
        <v>HDMI Cable – 2m</v>
      </c>
      <c r="J1987" s="24">
        <f>Sales[Total_Amount]</f>
        <v>981.9726</v>
      </c>
      <c r="K1987" s="21" t="str">
        <f t="shared" si="1"/>
        <v>May</v>
      </c>
      <c r="L1987" s="21">
        <f t="shared" si="2"/>
        <v>2024</v>
      </c>
      <c r="N1987" s="33"/>
      <c r="O1987" s="34"/>
    </row>
    <row r="1988" ht="22.5" customHeight="1">
      <c r="A1988" s="21" t="s">
        <v>3953</v>
      </c>
      <c r="B1988" s="21" t="s">
        <v>118</v>
      </c>
      <c r="C1988" s="21" t="str">
        <f t="array" ref="C1988">XLOOKUP(B1988,Customer[Customer_ID],Customer[Name(Cleaned)])</f>
        <v>Amber Carlson</v>
      </c>
      <c r="D1988" s="22" t="str">
        <f>VLOOKUP(B1988,Customer[#ALL],6)</f>
        <v>Male</v>
      </c>
      <c r="E1988" s="23">
        <f>Sales[Order_Date]</f>
        <v>45578</v>
      </c>
      <c r="F1988" s="21" t="str">
        <f>Sales[Store_ID]</f>
        <v>STORE13</v>
      </c>
      <c r="G1988" s="21" t="str">
        <f t="array" ref="G1988">INDEX(Store[Store_Name],MATCH(F1988,Store[Store_ID],0))</f>
        <v>Gardner, Humphrey and Contreras</v>
      </c>
      <c r="H1988" s="21" t="str">
        <f>Sales[Product_ID]</f>
        <v>PROD25</v>
      </c>
      <c r="I1988" s="21" t="str">
        <f>VLOOKUP(H1988,Products[],2)</f>
        <v>Women's Scarf Set</v>
      </c>
      <c r="J1988" s="24">
        <f>Sales[Total_Amount]</f>
        <v>441.5517</v>
      </c>
      <c r="K1988" s="21" t="str">
        <f t="shared" si="1"/>
        <v>Oct</v>
      </c>
      <c r="L1988" s="21">
        <f t="shared" si="2"/>
        <v>2024</v>
      </c>
      <c r="N1988" s="33"/>
      <c r="O1988" s="34"/>
    </row>
    <row r="1989" ht="22.5" customHeight="1">
      <c r="A1989" s="21" t="s">
        <v>3954</v>
      </c>
      <c r="B1989" s="21" t="s">
        <v>35</v>
      </c>
      <c r="C1989" s="21" t="str">
        <f t="array" ref="C1989">XLOOKUP(B1989,Customer[Customer_ID],Customer[Name(Cleaned)])</f>
        <v>Caroline Collins</v>
      </c>
      <c r="D1989" s="22" t="str">
        <f>VLOOKUP(B1989,Customer[#ALL],6)</f>
        <v>Male</v>
      </c>
      <c r="E1989" s="23">
        <f>Sales[Order_Date]</f>
        <v>45486</v>
      </c>
      <c r="F1989" s="21" t="str">
        <f>Sales[Store_ID]</f>
        <v>STORE17</v>
      </c>
      <c r="G1989" s="21" t="str">
        <f t="array" ref="G1989">INDEX(Store[Store_Name],MATCH(F1989,Store[Store_ID],0))</f>
        <v>Holloway Ltd</v>
      </c>
      <c r="H1989" s="21" t="str">
        <f>Sales[Product_ID]</f>
        <v>PROD47</v>
      </c>
      <c r="I1989" s="21" t="str">
        <f>VLOOKUP(H1989,Products[],2)</f>
        <v>Makeup Brush Set</v>
      </c>
      <c r="J1989" s="24">
        <f>Sales[Total_Amount]</f>
        <v>476.9166</v>
      </c>
      <c r="K1989" s="21" t="str">
        <f t="shared" si="1"/>
        <v>Jul</v>
      </c>
      <c r="L1989" s="21">
        <f t="shared" si="2"/>
        <v>2024</v>
      </c>
      <c r="N1989" s="33"/>
      <c r="O1989" s="34"/>
    </row>
    <row r="1990" ht="22.5" customHeight="1">
      <c r="A1990" s="21" t="s">
        <v>3955</v>
      </c>
      <c r="B1990" s="21" t="s">
        <v>1387</v>
      </c>
      <c r="C1990" s="21" t="str">
        <f t="array" ref="C1990">XLOOKUP(B1990,Customer[Customer_ID],Customer[Name(Cleaned)])</f>
        <v>Adam Castro</v>
      </c>
      <c r="D1990" s="22" t="str">
        <f>VLOOKUP(B1990,Customer[#ALL],6)</f>
        <v>Female</v>
      </c>
      <c r="E1990" s="23">
        <f>Sales[Order_Date]</f>
        <v>45694</v>
      </c>
      <c r="F1990" s="21" t="str">
        <f>Sales[Store_ID]</f>
        <v>STORE10</v>
      </c>
      <c r="G1990" s="21" t="str">
        <f t="array" ref="G1990">INDEX(Store[Store_Name],MATCH(F1990,Store[Store_ID],0))</f>
        <v>Hill, Wagner and Ballard</v>
      </c>
      <c r="H1990" s="21" t="str">
        <f>Sales[Product_ID]</f>
        <v>PROD88</v>
      </c>
      <c r="I1990" s="21" t="str">
        <f>VLOOKUP(H1990,Products[],2)</f>
        <v>Sports Wrist Sweatbands</v>
      </c>
      <c r="J1990" s="24">
        <f>Sales[Total_Amount]</f>
        <v>56.8804</v>
      </c>
      <c r="K1990" s="21" t="str">
        <f t="shared" si="1"/>
        <v>Feb</v>
      </c>
      <c r="L1990" s="21">
        <f t="shared" si="2"/>
        <v>2025</v>
      </c>
      <c r="N1990" s="33"/>
      <c r="O1990" s="34"/>
    </row>
    <row r="1991" ht="22.5" customHeight="1">
      <c r="A1991" s="21" t="s">
        <v>3956</v>
      </c>
      <c r="B1991" s="21" t="s">
        <v>1038</v>
      </c>
      <c r="C1991" s="21" t="str">
        <f t="array" ref="C1991">XLOOKUP(B1991,Customer[Customer_ID],Customer[Name(Cleaned)])</f>
        <v>Andrew Smith</v>
      </c>
      <c r="D1991" s="22" t="str">
        <f>VLOOKUP(B1991,Customer[#ALL],6)</f>
        <v>Female</v>
      </c>
      <c r="E1991" s="23">
        <f>Sales[Order_Date]</f>
        <v>45479</v>
      </c>
      <c r="F1991" s="21" t="str">
        <f>Sales[Store_ID]</f>
        <v>STORE3</v>
      </c>
      <c r="G1991" s="21" t="str">
        <f t="array" ref="G1991">INDEX(Store[Store_Name],MATCH(F1991,Store[Store_ID],0))</f>
        <v>Johnson-Wright</v>
      </c>
      <c r="H1991" s="21" t="str">
        <f>Sales[Product_ID]</f>
        <v>PROD54</v>
      </c>
      <c r="I1991" s="21" t="str">
        <f>VLOOKUP(H1991,Products[],2)</f>
        <v>Sports Stopwatch Pro</v>
      </c>
      <c r="J1991" s="24">
        <f>Sales[Total_Amount]</f>
        <v>1235.7372</v>
      </c>
      <c r="K1991" s="21" t="str">
        <f t="shared" si="1"/>
        <v>Jul</v>
      </c>
      <c r="L1991" s="21">
        <f t="shared" si="2"/>
        <v>2024</v>
      </c>
      <c r="N1991" s="33"/>
      <c r="O1991" s="34"/>
    </row>
    <row r="1992" ht="22.5" customHeight="1">
      <c r="A1992" s="21" t="s">
        <v>3957</v>
      </c>
      <c r="B1992" s="21" t="s">
        <v>289</v>
      </c>
      <c r="C1992" s="21" t="str">
        <f t="array" ref="C1992">XLOOKUP(B1992,Customer[Customer_ID],Customer[Name(Cleaned)])</f>
        <v>Katherine Young</v>
      </c>
      <c r="D1992" s="22" t="str">
        <f>VLOOKUP(B1992,Customer[#ALL],6)</f>
        <v>Female</v>
      </c>
      <c r="E1992" s="23">
        <f>Sales[Order_Date]</f>
        <v>45875</v>
      </c>
      <c r="F1992" s="21" t="str">
        <f>Sales[Store_ID]</f>
        <v>STORE9</v>
      </c>
      <c r="G1992" s="21" t="str">
        <f t="array" ref="G1992">INDEX(Store[Store_Name],MATCH(F1992,Store[Store_ID],0))</f>
        <v>Moore, Padilla and Butler</v>
      </c>
      <c r="H1992" s="21" t="str">
        <f>Sales[Product_ID]</f>
        <v>PROD20</v>
      </c>
      <c r="I1992" s="21" t="str">
        <f>VLOOKUP(H1992,Products[],2)</f>
        <v>Outdoor Sports Water Bottle</v>
      </c>
      <c r="J1992" s="24">
        <f>Sales[Total_Amount]</f>
        <v>2408.6664</v>
      </c>
      <c r="K1992" s="21" t="str">
        <f t="shared" si="1"/>
        <v>Aug</v>
      </c>
      <c r="L1992" s="21">
        <f t="shared" si="2"/>
        <v>2025</v>
      </c>
      <c r="N1992" s="33"/>
      <c r="O1992" s="34"/>
    </row>
    <row r="1993" ht="22.5" customHeight="1">
      <c r="A1993" s="21" t="s">
        <v>3958</v>
      </c>
      <c r="B1993" s="21" t="s">
        <v>1020</v>
      </c>
      <c r="C1993" s="21" t="str">
        <f t="array" ref="C1993">XLOOKUP(B1993,Customer[Customer_ID],Customer[Name(Cleaned)])</f>
        <v>Casey Simpson</v>
      </c>
      <c r="D1993" s="22" t="str">
        <f>VLOOKUP(B1993,Customer[#ALL],6)</f>
        <v>Female</v>
      </c>
      <c r="E1993" s="23">
        <f>Sales[Order_Date]</f>
        <v>45432</v>
      </c>
      <c r="F1993" s="21" t="str">
        <f>Sales[Store_ID]</f>
        <v>STORE12</v>
      </c>
      <c r="G1993" s="21" t="str">
        <f t="array" ref="G1993">INDEX(Store[Store_Name],MATCH(F1993,Store[Store_ID],0))</f>
        <v>Thomas, Bridges and Harris</v>
      </c>
      <c r="H1993" s="21" t="str">
        <f>Sales[Product_ID]</f>
        <v>PROD22</v>
      </c>
      <c r="I1993" s="21" t="str">
        <f>VLOOKUP(H1993,Products[],2)</f>
        <v>Carbon Fiber Tennis Racket</v>
      </c>
      <c r="J1993" s="24">
        <f>Sales[Total_Amount]</f>
        <v>787.2804</v>
      </c>
      <c r="K1993" s="21" t="str">
        <f t="shared" si="1"/>
        <v>May</v>
      </c>
      <c r="L1993" s="21">
        <f t="shared" si="2"/>
        <v>2024</v>
      </c>
      <c r="N1993" s="33"/>
      <c r="O1993" s="34"/>
    </row>
    <row r="1994" ht="22.5" customHeight="1">
      <c r="A1994" s="21" t="s">
        <v>3959</v>
      </c>
      <c r="B1994" s="21" t="s">
        <v>12</v>
      </c>
      <c r="C1994" s="21" t="str">
        <f t="array" ref="C1994">XLOOKUP(B1994,Customer[Customer_ID],Customer[Name(Cleaned)])</f>
        <v>Sheena Bonilla</v>
      </c>
      <c r="D1994" s="22" t="str">
        <f>VLOOKUP(B1994,Customer[#ALL],6)</f>
        <v>Female</v>
      </c>
      <c r="E1994" s="23">
        <f>Sales[Order_Date]</f>
        <v>45575</v>
      </c>
      <c r="F1994" s="21" t="str">
        <f>Sales[Store_ID]</f>
        <v>STORE7</v>
      </c>
      <c r="G1994" s="21" t="str">
        <f t="array" ref="G1994">INDEX(Store[Store_Name],MATCH(F1994,Store[Store_ID],0))</f>
        <v>Martinez-Mullins</v>
      </c>
      <c r="H1994" s="21" t="str">
        <f>Sales[Product_ID]</f>
        <v>PROD40</v>
      </c>
      <c r="I1994" s="21" t="str">
        <f>VLOOKUP(H1994,Products[],2)</f>
        <v>Noise-Canceling Headphones</v>
      </c>
      <c r="J1994" s="24">
        <f>Sales[Total_Amount]</f>
        <v>1087.8444</v>
      </c>
      <c r="K1994" s="21" t="str">
        <f t="shared" si="1"/>
        <v>Oct</v>
      </c>
      <c r="L1994" s="21">
        <f t="shared" si="2"/>
        <v>2024</v>
      </c>
      <c r="N1994" s="33"/>
      <c r="O1994" s="34"/>
    </row>
    <row r="1995" ht="22.5" customHeight="1">
      <c r="A1995" s="21" t="s">
        <v>3960</v>
      </c>
      <c r="B1995" s="21" t="s">
        <v>1152</v>
      </c>
      <c r="C1995" s="21" t="str">
        <f t="array" ref="C1995">XLOOKUP(B1995,Customer[Customer_ID],Customer[Name(Cleaned)])</f>
        <v>Elizabeth Smith</v>
      </c>
      <c r="D1995" s="22" t="str">
        <f>VLOOKUP(B1995,Customer[#ALL],6)</f>
        <v>Female</v>
      </c>
      <c r="E1995" s="23">
        <f>Sales[Order_Date]</f>
        <v>45340</v>
      </c>
      <c r="F1995" s="21" t="str">
        <f>Sales[Store_ID]</f>
        <v>STORE6</v>
      </c>
      <c r="G1995" s="21" t="str">
        <f t="array" ref="G1995">INDEX(Store[Store_Name],MATCH(F1995,Store[Store_ID],0))</f>
        <v>Benson-Elliott</v>
      </c>
      <c r="H1995" s="21" t="str">
        <f>Sales[Product_ID]</f>
        <v>PROD19</v>
      </c>
      <c r="I1995" s="21" t="str">
        <f>VLOOKUP(H1995,Products[],2)</f>
        <v>Knee Support Brace</v>
      </c>
      <c r="J1995" s="24">
        <f>Sales[Total_Amount]</f>
        <v>1723.572</v>
      </c>
      <c r="K1995" s="21" t="str">
        <f t="shared" si="1"/>
        <v>Feb</v>
      </c>
      <c r="L1995" s="21">
        <f t="shared" si="2"/>
        <v>2024</v>
      </c>
      <c r="N1995" s="33"/>
      <c r="O1995" s="34"/>
    </row>
    <row r="1996" ht="22.5" customHeight="1">
      <c r="A1996" s="21" t="s">
        <v>3961</v>
      </c>
      <c r="B1996" s="21" t="s">
        <v>1050</v>
      </c>
      <c r="C1996" s="21" t="str">
        <f t="array" ref="C1996">XLOOKUP(B1996,Customer[Customer_ID],Customer[Name(Cleaned)])</f>
        <v>Victor Mcintosh</v>
      </c>
      <c r="D1996" s="22" t="str">
        <f>VLOOKUP(B1996,Customer[#ALL],6)</f>
        <v>Male</v>
      </c>
      <c r="E1996" s="23">
        <f>Sales[Order_Date]</f>
        <v>45926</v>
      </c>
      <c r="F1996" s="21" t="str">
        <f>Sales[Store_ID]</f>
        <v>STORE13</v>
      </c>
      <c r="G1996" s="21" t="str">
        <f t="array" ref="G1996">INDEX(Store[Store_Name],MATCH(F1996,Store[Store_ID],0))</f>
        <v>Gardner, Humphrey and Contreras</v>
      </c>
      <c r="H1996" s="21" t="str">
        <f>Sales[Product_ID]</f>
        <v>PROD99</v>
      </c>
      <c r="I1996" s="21" t="str">
        <f>VLOOKUP(H1996,Products[],2)</f>
        <v>Stainless Steel Cookware Set</v>
      </c>
      <c r="J1996" s="24">
        <f>Sales[Total_Amount]</f>
        <v>584.784</v>
      </c>
      <c r="K1996" s="21" t="str">
        <f t="shared" si="1"/>
        <v>Sep</v>
      </c>
      <c r="L1996" s="21">
        <f t="shared" si="2"/>
        <v>2025</v>
      </c>
      <c r="N1996" s="33"/>
      <c r="O1996" s="34"/>
    </row>
    <row r="1997" ht="22.5" customHeight="1">
      <c r="A1997" s="21" t="s">
        <v>3962</v>
      </c>
      <c r="B1997" s="21" t="s">
        <v>1245</v>
      </c>
      <c r="C1997" s="21" t="str">
        <f t="array" ref="C1997">XLOOKUP(B1997,Customer[Customer_ID],Customer[Name(Cleaned)])</f>
        <v>Alejandro Evans</v>
      </c>
      <c r="D1997" s="22" t="str">
        <f>VLOOKUP(B1997,Customer[#ALL],6)</f>
        <v>Male</v>
      </c>
      <c r="E1997" s="23">
        <f>Sales[Order_Date]</f>
        <v>45373</v>
      </c>
      <c r="F1997" s="21" t="str">
        <f>Sales[Store_ID]</f>
        <v>STORE6</v>
      </c>
      <c r="G1997" s="21" t="str">
        <f t="array" ref="G1997">INDEX(Store[Store_Name],MATCH(F1997,Store[Store_ID],0))</f>
        <v>Benson-Elliott</v>
      </c>
      <c r="H1997" s="21" t="str">
        <f>Sales[Product_ID]</f>
        <v>PROD24</v>
      </c>
      <c r="I1997" s="21" t="str">
        <f>VLOOKUP(H1997,Products[],2)</f>
        <v>Foldable Camping Chair</v>
      </c>
      <c r="J1997" s="24">
        <f>Sales[Total_Amount]</f>
        <v>1281.8937</v>
      </c>
      <c r="K1997" s="21" t="str">
        <f t="shared" si="1"/>
        <v>Mar</v>
      </c>
      <c r="L1997" s="21">
        <f t="shared" si="2"/>
        <v>2024</v>
      </c>
      <c r="N1997" s="33"/>
      <c r="O1997" s="34"/>
    </row>
    <row r="1998" ht="22.5" customHeight="1">
      <c r="A1998" s="21" t="s">
        <v>3963</v>
      </c>
      <c r="B1998" s="21" t="s">
        <v>1227</v>
      </c>
      <c r="C1998" s="21" t="str">
        <f t="array" ref="C1998">XLOOKUP(B1998,Customer[Customer_ID],Customer[Name(Cleaned)])</f>
        <v>Timothy Valenzuela</v>
      </c>
      <c r="D1998" s="22" t="str">
        <f>VLOOKUP(B1998,Customer[#ALL],6)</f>
        <v>Female</v>
      </c>
      <c r="E1998" s="23">
        <f>Sales[Order_Date]</f>
        <v>45579</v>
      </c>
      <c r="F1998" s="21" t="str">
        <f>Sales[Store_ID]</f>
        <v>STORE6</v>
      </c>
      <c r="G1998" s="21" t="str">
        <f t="array" ref="G1998">INDEX(Store[Store_Name],MATCH(F1998,Store[Store_ID],0))</f>
        <v>Benson-Elliott</v>
      </c>
      <c r="H1998" s="21" t="str">
        <f>Sales[Product_ID]</f>
        <v>PROD48</v>
      </c>
      <c r="I1998" s="21" t="str">
        <f>VLOOKUP(H1998,Products[],2)</f>
        <v>Car Dashboard Phone Holder</v>
      </c>
      <c r="J1998" s="24">
        <f>Sales[Total_Amount]</f>
        <v>2380.464</v>
      </c>
      <c r="K1998" s="21" t="str">
        <f t="shared" si="1"/>
        <v>Oct</v>
      </c>
      <c r="L1998" s="21">
        <f t="shared" si="2"/>
        <v>2024</v>
      </c>
      <c r="N1998" s="33"/>
      <c r="O1998" s="34"/>
    </row>
    <row r="1999" ht="22.5" customHeight="1">
      <c r="A1999" s="21" t="s">
        <v>3964</v>
      </c>
      <c r="B1999" s="21" t="s">
        <v>637</v>
      </c>
      <c r="C1999" s="21" t="str">
        <f t="array" ref="C1999">XLOOKUP(B1999,Customer[Customer_ID],Customer[Name(Cleaned)])</f>
        <v>Christopher Stewart</v>
      </c>
      <c r="D1999" s="22" t="str">
        <f>VLOOKUP(B1999,Customer[#ALL],6)</f>
        <v>Female</v>
      </c>
      <c r="E1999" s="23">
        <f>Sales[Order_Date]</f>
        <v>45805</v>
      </c>
      <c r="F1999" s="21" t="str">
        <f>Sales[Store_ID]</f>
        <v>STORE3</v>
      </c>
      <c r="G1999" s="21" t="str">
        <f t="array" ref="G1999">INDEX(Store[Store_Name],MATCH(F1999,Store[Store_ID],0))</f>
        <v>Johnson-Wright</v>
      </c>
      <c r="H1999" s="21" t="str">
        <f>Sales[Product_ID]</f>
        <v>PROD27</v>
      </c>
      <c r="I1999" s="21" t="str">
        <f>VLOOKUP(H1999,Products[],2)</f>
        <v>Decorative Floor Vase</v>
      </c>
      <c r="J1999" s="24">
        <f>Sales[Total_Amount]</f>
        <v>1304.2182</v>
      </c>
      <c r="K1999" s="21" t="str">
        <f t="shared" si="1"/>
        <v>May</v>
      </c>
      <c r="L1999" s="21">
        <f t="shared" si="2"/>
        <v>2025</v>
      </c>
      <c r="N1999" s="33"/>
      <c r="O1999" s="34"/>
    </row>
    <row r="2000" ht="22.5" customHeight="1">
      <c r="A2000" s="21" t="s">
        <v>3965</v>
      </c>
      <c r="B2000" s="21" t="s">
        <v>1282</v>
      </c>
      <c r="C2000" s="21" t="str">
        <f t="array" ref="C2000">XLOOKUP(B2000,Customer[Customer_ID],Customer[Name(Cleaned)])</f>
        <v>Joseph Mendoza</v>
      </c>
      <c r="D2000" s="22" t="str">
        <f>VLOOKUP(B2000,Customer[#ALL],6)</f>
        <v>Female</v>
      </c>
      <c r="E2000" s="23">
        <f>Sales[Order_Date]</f>
        <v>45522</v>
      </c>
      <c r="F2000" s="21" t="str">
        <f>Sales[Store_ID]</f>
        <v>STORE17</v>
      </c>
      <c r="G2000" s="21" t="str">
        <f t="array" ref="G2000">INDEX(Store[Store_Name],MATCH(F2000,Store[Store_ID],0))</f>
        <v>Holloway Ltd</v>
      </c>
      <c r="H2000" s="21" t="str">
        <f>Sales[Product_ID]</f>
        <v>PROD34</v>
      </c>
      <c r="I2000" s="21" t="str">
        <f>VLOOKUP(H2000,Products[],2)</f>
        <v>Gaming Mechanical Keyboard</v>
      </c>
      <c r="J2000" s="24">
        <f>Sales[Total_Amount]</f>
        <v>968.1696</v>
      </c>
      <c r="K2000" s="21" t="str">
        <f t="shared" si="1"/>
        <v>Aug</v>
      </c>
      <c r="L2000" s="21">
        <f t="shared" si="2"/>
        <v>2024</v>
      </c>
      <c r="N2000" s="33"/>
      <c r="O2000" s="34"/>
    </row>
    <row r="2001" ht="22.5" customHeight="1">
      <c r="A2001" s="21" t="s">
        <v>3966</v>
      </c>
      <c r="B2001" s="21" t="s">
        <v>1323</v>
      </c>
      <c r="C2001" s="21" t="str">
        <f t="array" ref="C2001">XLOOKUP(B2001,Customer[Customer_ID],Customer[Name(Cleaned)])</f>
        <v>Holly Robinson</v>
      </c>
      <c r="D2001" s="22" t="str">
        <f>VLOOKUP(B2001,Customer[#ALL],6)</f>
        <v>Male</v>
      </c>
      <c r="E2001" s="23">
        <f>Sales[Order_Date]</f>
        <v>45304</v>
      </c>
      <c r="F2001" s="21" t="str">
        <f>Sales[Store_ID]</f>
        <v>STORE8</v>
      </c>
      <c r="G2001" s="21" t="str">
        <f t="array" ref="G2001">INDEX(Store[Store_Name],MATCH(F2001,Store[Store_ID],0))</f>
        <v>Bean, Jones and Park</v>
      </c>
      <c r="H2001" s="21" t="str">
        <f>Sales[Product_ID]</f>
        <v>PROD81</v>
      </c>
      <c r="I2001" s="21" t="str">
        <f>VLOOKUP(H2001,Products[],2)</f>
        <v>Badminton Racket Set</v>
      </c>
      <c r="J2001" s="24">
        <f>Sales[Total_Amount]</f>
        <v>65.7292</v>
      </c>
      <c r="K2001" s="21" t="str">
        <f t="shared" si="1"/>
        <v>Jan</v>
      </c>
      <c r="L2001" s="21">
        <f t="shared" si="2"/>
        <v>2024</v>
      </c>
      <c r="N2001" s="33"/>
      <c r="O2001" s="34"/>
    </row>
  </sheetData>
  <mergeCells count="1">
    <mergeCell ref="N1:O1"/>
  </mergeCells>
  <dataValidations>
    <dataValidation type="custom" allowBlank="1" showDropDown="1" sqref="J2:J2001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0.29"/>
    <col customWidth="1" min="2" max="2" width="13.43"/>
    <col customWidth="1" min="4" max="4" width="38.43"/>
    <col customWidth="1" min="5" max="5" width="13.43"/>
    <col customWidth="1" min="7" max="7" width="23.86"/>
    <col customWidth="1" min="8" max="8" width="13.43"/>
    <col customWidth="1" min="9" max="9" width="20.29"/>
    <col customWidth="1" min="11" max="11" width="20.71"/>
    <col customWidth="1" min="12" max="12" width="14.86"/>
    <col customWidth="1" min="14" max="14" width="30.29"/>
    <col customWidth="1" min="15" max="15" width="13.29"/>
    <col customWidth="1" min="17" max="17" width="29.14"/>
    <col customWidth="1" min="18" max="18" width="12.57"/>
  </cols>
  <sheetData>
    <row r="1">
      <c r="A1" s="35" t="s">
        <v>3983</v>
      </c>
      <c r="D1" s="35" t="s">
        <v>3984</v>
      </c>
      <c r="G1" s="35" t="s">
        <v>3985</v>
      </c>
      <c r="K1" s="35" t="s">
        <v>3986</v>
      </c>
      <c r="N1" s="36" t="s">
        <v>3987</v>
      </c>
      <c r="O1" s="5"/>
      <c r="Q1" s="36" t="s">
        <v>3988</v>
      </c>
      <c r="R1" s="5"/>
    </row>
    <row r="2">
      <c r="N2" s="39" t="s">
        <v>3994</v>
      </c>
      <c r="O2" s="39" t="s">
        <v>3993</v>
      </c>
      <c r="Q2" s="39" t="s">
        <v>1553</v>
      </c>
      <c r="R2" s="39" t="s">
        <v>3993</v>
      </c>
    </row>
    <row r="3">
      <c r="N3" s="42" t="str">
        <f t="shared" ref="N3:N12" si="1">XLOOKUP(O3,L3:L492,K3:K492)</f>
        <v>Jordan Wells</v>
      </c>
      <c r="O3" s="43">
        <f>IFERROR(__xludf.DUMMYFUNCTION("QUERY(L3:L492,""limit 10"")"),17147.713)</f>
        <v>17147.713</v>
      </c>
      <c r="Q3" s="44" t="str">
        <f t="shared" ref="Q3:Q12" si="2">XLOOKUP(R3,E3:E92,D3:D92)</f>
        <v>Men's Graphic T-Shirt</v>
      </c>
      <c r="R3" s="45">
        <f>IFERROR(__xludf.DUMMYFUNCTION("QUERY(E3:E92,""limit 10"")"),61150.329300000005)</f>
        <v>61150.3293</v>
      </c>
    </row>
    <row r="4">
      <c r="N4" s="42" t="str">
        <f t="shared" si="1"/>
        <v>Christy Hoffman</v>
      </c>
      <c r="O4" s="43">
        <f>IFERROR(__xludf.DUMMYFUNCTION("""COMPUTED_VALUE"""),15477.1014)</f>
        <v>15477.1014</v>
      </c>
      <c r="Q4" s="44" t="str">
        <f t="shared" si="2"/>
        <v>Portable Power Bank</v>
      </c>
      <c r="R4" s="45">
        <f>IFERROR(__xludf.DUMMYFUNCTION("""COMPUTED_VALUE"""),57518.3568)</f>
        <v>57518.3568</v>
      </c>
    </row>
    <row r="5">
      <c r="N5" s="42" t="str">
        <f t="shared" si="1"/>
        <v>Jay Patel</v>
      </c>
      <c r="O5" s="43">
        <f>IFERROR(__xludf.DUMMYFUNCTION("""COMPUTED_VALUE"""),14803.395400000001)</f>
        <v>14803.3954</v>
      </c>
      <c r="Q5" s="44" t="str">
        <f t="shared" si="2"/>
        <v>Men's Roll-On Perfume</v>
      </c>
      <c r="R5" s="45">
        <f>IFERROR(__xludf.DUMMYFUNCTION("""COMPUTED_VALUE"""),45507.1743)</f>
        <v>45507.1743</v>
      </c>
    </row>
    <row r="6">
      <c r="N6" s="42" t="str">
        <f t="shared" si="1"/>
        <v>Casey Simpson</v>
      </c>
      <c r="O6" s="43">
        <f>IFERROR(__xludf.DUMMYFUNCTION("""COMPUTED_VALUE"""),13620.3848)</f>
        <v>13620.3848</v>
      </c>
      <c r="Q6" s="44" t="str">
        <f t="shared" si="2"/>
        <v>Men's Sports Shorts</v>
      </c>
      <c r="R6" s="45">
        <f>IFERROR(__xludf.DUMMYFUNCTION("""COMPUTED_VALUE"""),41987.17009999999)</f>
        <v>41987.1701</v>
      </c>
    </row>
    <row r="7">
      <c r="G7" s="35" t="s">
        <v>3996</v>
      </c>
      <c r="N7" s="42" t="str">
        <f t="shared" si="1"/>
        <v>Amber Mcclain</v>
      </c>
      <c r="O7" s="43">
        <f>IFERROR(__xludf.DUMMYFUNCTION("""COMPUTED_VALUE"""),13610.901800000001)</f>
        <v>13610.9018</v>
      </c>
      <c r="Q7" s="44" t="str">
        <f t="shared" si="2"/>
        <v>Knee Support Brace</v>
      </c>
      <c r="R7" s="45">
        <f>IFERROR(__xludf.DUMMYFUNCTION("""COMPUTED_VALUE"""),41738.3991)</f>
        <v>41738.3991</v>
      </c>
    </row>
    <row r="8">
      <c r="N8" s="42" t="str">
        <f t="shared" si="1"/>
        <v>Daniel Contreras</v>
      </c>
      <c r="O8" s="43">
        <f>IFERROR(__xludf.DUMMYFUNCTION("""COMPUTED_VALUE"""),13208.5434)</f>
        <v>13208.5434</v>
      </c>
      <c r="Q8" s="44" t="str">
        <f t="shared" si="2"/>
        <v>Face Foundation Kit</v>
      </c>
      <c r="R8" s="45">
        <f>IFERROR(__xludf.DUMMYFUNCTION("""COMPUTED_VALUE"""),41353.51209999999)</f>
        <v>41353.5121</v>
      </c>
    </row>
    <row r="9">
      <c r="N9" s="42" t="str">
        <f t="shared" si="1"/>
        <v>Nathan Hernandez</v>
      </c>
      <c r="O9" s="43">
        <f>IFERROR(__xludf.DUMMYFUNCTION("""COMPUTED_VALUE"""),13005.767)</f>
        <v>13005.767</v>
      </c>
      <c r="Q9" s="44" t="str">
        <f t="shared" si="2"/>
        <v>Men's Hair Styling Gel</v>
      </c>
      <c r="R9" s="45">
        <f>IFERROR(__xludf.DUMMYFUNCTION("""COMPUTED_VALUE"""),40173.78800000001)</f>
        <v>40173.788</v>
      </c>
    </row>
    <row r="10">
      <c r="N10" s="42" t="str">
        <f t="shared" si="1"/>
        <v>Sara Ingram</v>
      </c>
      <c r="O10" s="43">
        <f>IFERROR(__xludf.DUMMYFUNCTION("""COMPUTED_VALUE"""),12657.0066)</f>
        <v>12657.0066</v>
      </c>
      <c r="Q10" s="44" t="str">
        <f t="shared" si="2"/>
        <v>Shin Guards – Adult</v>
      </c>
      <c r="R10" s="45">
        <f>IFERROR(__xludf.DUMMYFUNCTION("""COMPUTED_VALUE"""),38281.01529999999)</f>
        <v>38281.0153</v>
      </c>
    </row>
    <row r="11">
      <c r="N11" s="42" t="str">
        <f t="shared" si="1"/>
        <v>Manuel Fisher</v>
      </c>
      <c r="O11" s="43">
        <f>IFERROR(__xludf.DUMMYFUNCTION("""COMPUTED_VALUE"""),11986.549599999998)</f>
        <v>11986.5496</v>
      </c>
      <c r="Q11" s="44" t="str">
        <f t="shared" si="2"/>
        <v>Fabric Sofa Throw Blanket</v>
      </c>
      <c r="R11" s="45">
        <f>IFERROR(__xludf.DUMMYFUNCTION("""COMPUTED_VALUE"""),36977.48269999999)</f>
        <v>36977.4827</v>
      </c>
    </row>
    <row r="12">
      <c r="N12" s="42" t="str">
        <f t="shared" si="1"/>
        <v>Katherine Dorsey</v>
      </c>
      <c r="O12" s="43">
        <f>IFERROR(__xludf.DUMMYFUNCTION("""COMPUTED_VALUE"""),11836.852400000002)</f>
        <v>11836.8524</v>
      </c>
      <c r="Q12" s="44" t="str">
        <f t="shared" si="2"/>
        <v>Men's Casual Sneakers</v>
      </c>
      <c r="R12" s="45">
        <f>IFERROR(__xludf.DUMMYFUNCTION("""COMPUTED_VALUE"""),35489.6198)</f>
        <v>35489.6198</v>
      </c>
    </row>
    <row r="13">
      <c r="N13" s="46" t="s">
        <v>4003</v>
      </c>
      <c r="O13" s="47">
        <f>SUM(O3:O12)</f>
        <v>137354.2154</v>
      </c>
      <c r="Q13" s="46" t="s">
        <v>4003</v>
      </c>
      <c r="R13" s="47">
        <f>SUM(R3:R12)</f>
        <v>440176.8475</v>
      </c>
    </row>
    <row r="14">
      <c r="N14" s="48"/>
    </row>
    <row r="15">
      <c r="N15" s="49" t="s">
        <v>4006</v>
      </c>
      <c r="O15" s="5"/>
    </row>
    <row r="16">
      <c r="N16" s="50" t="s">
        <v>1889</v>
      </c>
      <c r="O16" s="50" t="s">
        <v>3993</v>
      </c>
    </row>
    <row r="17">
      <c r="N17" s="42" t="str">
        <f t="shared" ref="N17:N26" si="3">XLOOKUP(O17,B3:B22,A3:A22)</f>
        <v>Bean, Jones and Park</v>
      </c>
      <c r="O17" s="43">
        <f>IFERROR(__xludf.DUMMYFUNCTION("QUERY(B3:B22,""limit 10"")"),158971.46240000002)</f>
        <v>158971.4624</v>
      </c>
    </row>
    <row r="18">
      <c r="N18" s="42" t="str">
        <f t="shared" si="3"/>
        <v>Johnson-Wright</v>
      </c>
      <c r="O18" s="43">
        <f>IFERROR(__xludf.DUMMYFUNCTION("""COMPUTED_VALUE"""),125011.82850000003)</f>
        <v>125011.8285</v>
      </c>
    </row>
    <row r="19">
      <c r="N19" s="42" t="str">
        <f t="shared" si="3"/>
        <v>Holloway Ltd</v>
      </c>
      <c r="O19" s="43">
        <f>IFERROR(__xludf.DUMMYFUNCTION("""COMPUTED_VALUE"""),122176.54709999997)</f>
        <v>122176.5471</v>
      </c>
    </row>
    <row r="20">
      <c r="N20" s="42" t="str">
        <f t="shared" si="3"/>
        <v>Alexander Group</v>
      </c>
      <c r="O20" s="43">
        <f>IFERROR(__xludf.DUMMYFUNCTION("""COMPUTED_VALUE"""),118814.11569999998)</f>
        <v>118814.1157</v>
      </c>
    </row>
    <row r="21">
      <c r="N21" s="42" t="str">
        <f t="shared" si="3"/>
        <v>Thomas, Bridges and Harris</v>
      </c>
      <c r="O21" s="43">
        <f>IFERROR(__xludf.DUMMYFUNCTION("""COMPUTED_VALUE"""),116829.22060000002)</f>
        <v>116829.2206</v>
      </c>
    </row>
    <row r="22">
      <c r="N22" s="42" t="str">
        <f t="shared" si="3"/>
        <v>Benson-Elliott</v>
      </c>
      <c r="O22" s="43">
        <f>IFERROR(__xludf.DUMMYFUNCTION("""COMPUTED_VALUE"""),114533.79659999997)</f>
        <v>114533.7966</v>
      </c>
    </row>
    <row r="23">
      <c r="N23" s="42" t="str">
        <f t="shared" si="3"/>
        <v>Gardner, Humphrey and Contreras</v>
      </c>
      <c r="O23" s="43">
        <f>IFERROR(__xludf.DUMMYFUNCTION("""COMPUTED_VALUE"""),114401.47150000001)</f>
        <v>114401.4715</v>
      </c>
    </row>
    <row r="24">
      <c r="N24" s="42" t="str">
        <f t="shared" si="3"/>
        <v>Frederick-Wright</v>
      </c>
      <c r="O24" s="43">
        <f>IFERROR(__xludf.DUMMYFUNCTION("""COMPUTED_VALUE"""),111704.94359999998)</f>
        <v>111704.9436</v>
      </c>
    </row>
    <row r="25">
      <c r="N25" s="42" t="str">
        <f t="shared" si="3"/>
        <v>Moore, Padilla and Butler</v>
      </c>
      <c r="O25" s="43">
        <f>IFERROR(__xludf.DUMMYFUNCTION("""COMPUTED_VALUE"""),110102.39899999999)</f>
        <v>110102.399</v>
      </c>
    </row>
    <row r="26">
      <c r="N26" s="42" t="str">
        <f t="shared" si="3"/>
        <v>Hill, Wagner and Ballard</v>
      </c>
      <c r="O26" s="43">
        <f>IFERROR(__xludf.DUMMYFUNCTION("""COMPUTED_VALUE"""),109791.71519999998)</f>
        <v>109791.7152</v>
      </c>
    </row>
    <row r="27">
      <c r="N27" s="46" t="s">
        <v>4003</v>
      </c>
      <c r="O27" s="47">
        <f>SUM(O17:O26)</f>
        <v>1202337.5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</sheetData>
  <mergeCells count="9">
    <mergeCell ref="N14:O14"/>
    <mergeCell ref="N15:O15"/>
    <mergeCell ref="A1:B1"/>
    <mergeCell ref="D1:E1"/>
    <mergeCell ref="G1:H1"/>
    <mergeCell ref="K1:L1"/>
    <mergeCell ref="N1:O1"/>
    <mergeCell ref="Q1:R1"/>
    <mergeCell ref="G7:I7"/>
  </mergeCells>
  <conditionalFormatting sqref="C1">
    <cfRule type="notContainsBlanks" dxfId="5" priority="1">
      <formula>LEN(TRIM(C1))&gt;0</formula>
    </cfRule>
  </conditionalFormatting>
  <conditionalFormatting sqref="H2">
    <cfRule type="colorScale" priority="2">
      <colorScale>
        <cfvo type="min"/>
        <cfvo type="max"/>
        <color rgb="FFFFFFFF"/>
        <color rgb="FF57BB8A"/>
      </colorScale>
    </cfRule>
  </conditionalFormatting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9">
      <c r="A19" s="51"/>
    </row>
    <row r="32">
      <c r="D32" s="5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3" t="s">
        <v>4033</v>
      </c>
      <c r="B1" s="54" t="s">
        <v>4034</v>
      </c>
    </row>
    <row r="2">
      <c r="A2" s="53"/>
    </row>
    <row r="3">
      <c r="A3" s="53" t="s">
        <v>4035</v>
      </c>
    </row>
    <row r="4">
      <c r="A4" s="52" t="s">
        <v>4036</v>
      </c>
      <c r="C4" s="54"/>
    </row>
    <row r="5">
      <c r="A5" s="54" t="s">
        <v>4037</v>
      </c>
      <c r="C5" s="54"/>
    </row>
    <row r="6">
      <c r="A6" s="54" t="s">
        <v>4038</v>
      </c>
      <c r="C6" s="54"/>
    </row>
    <row r="7">
      <c r="A7" s="54" t="s">
        <v>4039</v>
      </c>
    </row>
    <row r="8">
      <c r="A8" s="55"/>
    </row>
    <row r="9">
      <c r="A9" s="55" t="s">
        <v>4040</v>
      </c>
    </row>
    <row r="10">
      <c r="A10" s="54" t="s">
        <v>4041</v>
      </c>
    </row>
    <row r="11">
      <c r="A11" s="54" t="s">
        <v>4042</v>
      </c>
    </row>
    <row r="12">
      <c r="A12" s="54" t="s">
        <v>4043</v>
      </c>
    </row>
    <row r="14">
      <c r="A14" s="55" t="s">
        <v>4044</v>
      </c>
    </row>
    <row r="15">
      <c r="A15" s="54" t="s">
        <v>4045</v>
      </c>
    </row>
    <row r="16">
      <c r="A16" s="54" t="s">
        <v>4046</v>
      </c>
    </row>
    <row r="18">
      <c r="A18" s="55" t="s">
        <v>4047</v>
      </c>
    </row>
    <row r="19">
      <c r="A19" s="54" t="s">
        <v>4048</v>
      </c>
    </row>
    <row r="20">
      <c r="A20" s="54" t="s">
        <v>4049</v>
      </c>
    </row>
    <row r="22">
      <c r="A22" s="55" t="s">
        <v>4050</v>
      </c>
    </row>
    <row r="23">
      <c r="A23" s="54" t="s">
        <v>4051</v>
      </c>
    </row>
  </sheetData>
  <drawing r:id="rId1"/>
</worksheet>
</file>